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'Sheet1'!$A$1:$BT$10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 wrapText="1"/>
    </xf>
    <xf numFmtId="165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1" fillId="2" borderId="1" applyAlignment="1" pivotButton="0" quotePrefix="0" xfId="0">
      <alignment horizontal="left"/>
    </xf>
    <xf numFmtId="2" fontId="1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1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27" customWidth="1" min="3" max="3"/>
    <col width="20" customWidth="1" min="4" max="4"/>
    <col width="21" customWidth="1" min="5" max="5"/>
    <col width="21" customWidth="1" min="6" max="6"/>
    <col width="16" customWidth="1" min="7" max="7"/>
    <col width="40" customWidth="1" min="8" max="8"/>
    <col width="16" customWidth="1" min="9" max="9"/>
    <col width="24" customWidth="1" min="10" max="10"/>
    <col width="22" customWidth="1" min="11" max="11"/>
    <col width="21" customWidth="1" min="12" max="12"/>
    <col width="17" customWidth="1" min="13" max="13"/>
    <col width="20" customWidth="1" min="14" max="14"/>
    <col width="20" customWidth="1" min="15" max="15"/>
    <col width="20" customWidth="1" min="16" max="16"/>
    <col width="20" customWidth="1" min="17" max="17"/>
    <col width="18" customWidth="1" min="18" max="18"/>
    <col width="19" customWidth="1" min="19" max="19"/>
    <col width="11" customWidth="1" min="20" max="20"/>
    <col width="17" customWidth="1" min="21" max="21"/>
    <col width="15" customWidth="1" min="22" max="22"/>
    <col width="20" customWidth="1" min="23" max="23"/>
    <col width="11" customWidth="1" min="24" max="24"/>
    <col width="9" customWidth="1" min="25" max="25"/>
    <col width="16" customWidth="1" min="26" max="26"/>
    <col width="12" customWidth="1" min="27" max="27"/>
    <col width="26" customWidth="1" min="28" max="28"/>
    <col width="23" customWidth="1" min="29" max="29"/>
    <col width="12" customWidth="1" min="30" max="30"/>
    <col width="18" customWidth="1" min="31" max="31"/>
    <col width="23" customWidth="1" min="32" max="32"/>
    <col width="12" customWidth="1" min="33" max="33"/>
    <col width="18" customWidth="1" min="34" max="34"/>
    <col width="23" customWidth="1" min="35" max="35"/>
    <col width="23" customWidth="1" min="36" max="36"/>
    <col width="38" customWidth="1" min="37" max="37"/>
    <col width="34" customWidth="1" min="38" max="38"/>
    <col width="21" customWidth="1" min="39" max="39"/>
    <col width="35" customWidth="1" min="40" max="40"/>
    <col width="32" customWidth="1" min="41" max="41"/>
    <col width="17" customWidth="1" min="42" max="42"/>
    <col width="31" customWidth="1" min="43" max="43"/>
    <col width="28" customWidth="1" min="44" max="44"/>
    <col width="22" customWidth="1" min="45" max="45"/>
    <col width="36" customWidth="1" min="46" max="46"/>
    <col width="33" customWidth="1" min="47" max="47"/>
    <col width="21" customWidth="1" min="48" max="48"/>
    <col width="27" customWidth="1" min="49" max="49"/>
    <col width="32" customWidth="1" min="50" max="50"/>
    <col width="21" customWidth="1" min="51" max="51"/>
    <col width="27" customWidth="1" min="52" max="52"/>
    <col width="32" customWidth="1" min="53" max="53"/>
    <col width="9" customWidth="1" min="54" max="54"/>
    <col width="23" customWidth="1" min="55" max="55"/>
    <col width="20" customWidth="1" min="56" max="56"/>
    <col width="15" customWidth="1" min="57" max="57"/>
    <col width="21" customWidth="1" min="58" max="58"/>
    <col width="26" customWidth="1" min="59" max="59"/>
    <col width="18" customWidth="1" min="60" max="60"/>
    <col width="32" customWidth="1" min="61" max="61"/>
    <col width="29" customWidth="1" min="62" max="62"/>
    <col width="10" customWidth="1" min="63" max="63"/>
    <col width="24" customWidth="1" min="64" max="64"/>
    <col width="21" customWidth="1" min="65" max="65"/>
    <col width="10" customWidth="1" min="66" max="66"/>
    <col width="24" customWidth="1" min="67" max="67"/>
    <col width="21" customWidth="1" min="68" max="68"/>
    <col width="12" customWidth="1" min="69" max="69"/>
    <col width="26" customWidth="1" min="70" max="70"/>
    <col width="23" customWidth="1" min="71" max="71"/>
    <col width="40" customWidth="1" min="72" max="72"/>
  </cols>
  <sheetData>
    <row r="1">
      <c r="A1" s="2" t="inlineStr">
        <is>
          <t>source_file</t>
        </is>
      </c>
      <c r="B1" s="2" t="inlineStr">
        <is>
          <t>supplier_template</t>
        </is>
      </c>
      <c r="C1" s="2" t="inlineStr">
        <is>
          <t>supplier_name</t>
        </is>
      </c>
      <c r="D1" s="2" t="inlineStr">
        <is>
          <t>invoice_number</t>
        </is>
      </c>
      <c r="E1" s="2" t="inlineStr">
        <is>
          <t>invoice_date</t>
        </is>
      </c>
      <c r="F1" s="2" t="inlineStr">
        <is>
          <t>due_date</t>
        </is>
      </c>
      <c r="G1" s="2" t="inlineStr">
        <is>
          <t>customer_name</t>
        </is>
      </c>
      <c r="H1" s="2" t="inlineStr">
        <is>
          <t>supply_address</t>
        </is>
      </c>
      <c r="I1" s="2" t="inlineStr">
        <is>
          <t>pod_code</t>
        </is>
      </c>
      <c r="J1" s="2" t="inlineStr">
        <is>
          <t>tariff_code</t>
        </is>
      </c>
      <c r="K1" s="2" t="inlineStr">
        <is>
          <t>billing_period_start</t>
        </is>
      </c>
      <c r="L1" s="2" t="inlineStr">
        <is>
          <t>billing_period_end</t>
        </is>
      </c>
      <c r="M1" s="2" t="inlineStr">
        <is>
          <t>consumption_kwh</t>
        </is>
      </c>
      <c r="N1" s="2" t="inlineStr">
        <is>
          <t>consumption_f1_kwh</t>
        </is>
      </c>
      <c r="O1" s="2" t="inlineStr">
        <is>
          <t>consumption_f2_kwh</t>
        </is>
      </c>
      <c r="P1" s="2" t="inlineStr">
        <is>
          <t>consumption_f3_kwh</t>
        </is>
      </c>
      <c r="Q1" s="2" t="inlineStr">
        <is>
          <t>committed_power_kw</t>
        </is>
      </c>
      <c r="R1" s="2" t="inlineStr">
        <is>
          <t>total_amount_eur</t>
        </is>
      </c>
      <c r="S1" s="2" t="inlineStr">
        <is>
          <t>invoice_total_eur</t>
        </is>
      </c>
      <c r="T1" s="2" t="inlineStr">
        <is>
          <t>bonus_eur</t>
        </is>
      </c>
      <c r="U1" s="2" t="inlineStr">
        <is>
          <t>energy_cost_eur</t>
        </is>
      </c>
      <c r="V1" s="2" t="inlineStr">
        <is>
          <t>transport_eur</t>
        </is>
      </c>
      <c r="W1" s="2" t="inlineStr">
        <is>
          <t>system_charges_eur</t>
        </is>
      </c>
      <c r="X1" s="2" t="inlineStr">
        <is>
          <t>taxes_eur</t>
        </is>
      </c>
      <c r="Y1" s="2" t="inlineStr">
        <is>
          <t>vat_eur</t>
        </is>
      </c>
      <c r="Z1" s="2" t="inlineStr">
        <is>
          <t>tv_license_eur</t>
        </is>
      </c>
      <c r="AA1" s="2" t="inlineStr">
        <is>
          <t>energy_qty</t>
        </is>
      </c>
      <c r="AB1" s="2" t="inlineStr">
        <is>
          <t>energy_unit_rate (€/kWh)</t>
        </is>
      </c>
      <c r="AC1" s="2" t="inlineStr">
        <is>
          <t>energy_imponibile_eur</t>
        </is>
      </c>
      <c r="AD1" s="2" t="inlineStr">
        <is>
          <t>losses_qty</t>
        </is>
      </c>
      <c r="AE1" s="2" t="inlineStr">
        <is>
          <t>losses_unit_rate</t>
        </is>
      </c>
      <c r="AF1" s="2" t="inlineStr">
        <is>
          <t>losses_imponibile_eur</t>
        </is>
      </c>
      <c r="AG1" s="2" t="inlineStr">
        <is>
          <t>dispbt_qty</t>
        </is>
      </c>
      <c r="AH1" s="2" t="inlineStr">
        <is>
          <t>dispbt_unit_rate</t>
        </is>
      </c>
      <c r="AI1" s="2" t="inlineStr">
        <is>
          <t>dispbt_imponibile_eur</t>
        </is>
      </c>
      <c r="AJ1" s="2" t="inlineStr">
        <is>
          <t>commercialization_qty</t>
        </is>
      </c>
      <c r="AK1" s="2" t="inlineStr">
        <is>
          <t>commercialization_unit_rate (€/mese)</t>
        </is>
      </c>
      <c r="AL1" s="2" t="inlineStr">
        <is>
          <t>commercialization_imponibile_eur</t>
        </is>
      </c>
      <c r="AM1" s="2" t="inlineStr">
        <is>
          <t>capacity_market_qty</t>
        </is>
      </c>
      <c r="AN1" s="2" t="inlineStr">
        <is>
          <t>capacity_market_unit_rate (€/kWh)</t>
        </is>
      </c>
      <c r="AO1" s="2" t="inlineStr">
        <is>
          <t>capacity_market_imponibile_eur</t>
        </is>
      </c>
      <c r="AP1" s="2" t="inlineStr">
        <is>
          <t>dispatching_qty</t>
        </is>
      </c>
      <c r="AQ1" s="2" t="inlineStr">
        <is>
          <t>dispatching_unit_rate (€/kWh)</t>
        </is>
      </c>
      <c r="AR1" s="2" t="inlineStr">
        <is>
          <t>dispatching_imponibile_eur</t>
        </is>
      </c>
      <c r="AS1" s="2" t="inlineStr">
        <is>
          <t>transport_energy_qty</t>
        </is>
      </c>
      <c r="AT1" s="2" t="inlineStr">
        <is>
          <t>transport_energy_unit_rate (€/kWh)</t>
        </is>
      </c>
      <c r="AU1" s="2" t="inlineStr">
        <is>
          <t>transport_energy_imponibile_eur</t>
        </is>
      </c>
      <c r="AV1" s="2" t="inlineStr">
        <is>
          <t>transport_fixed_qty</t>
        </is>
      </c>
      <c r="AW1" s="2" t="inlineStr">
        <is>
          <t>transport_fixed_unit_rate</t>
        </is>
      </c>
      <c r="AX1" s="2" t="inlineStr">
        <is>
          <t>transport_fixed_imponibile_eur</t>
        </is>
      </c>
      <c r="AY1" s="2" t="inlineStr">
        <is>
          <t>transport_power_qty</t>
        </is>
      </c>
      <c r="AZ1" s="2" t="inlineStr">
        <is>
          <t>transport_power_unit_rate</t>
        </is>
      </c>
      <c r="BA1" s="2" t="inlineStr">
        <is>
          <t>transport_power_imponibile_eur</t>
        </is>
      </c>
      <c r="BB1" s="2" t="inlineStr">
        <is>
          <t>uc3_qty</t>
        </is>
      </c>
      <c r="BC1" s="2" t="inlineStr">
        <is>
          <t>uc3_unit_rate (€/kWh)</t>
        </is>
      </c>
      <c r="BD1" s="2" t="inlineStr">
        <is>
          <t>uc3_imponibile_eur</t>
        </is>
      </c>
      <c r="BE1" s="2" t="inlineStr">
        <is>
          <t>uc6_fixed_qty</t>
        </is>
      </c>
      <c r="BF1" s="2" t="inlineStr">
        <is>
          <t>uc6_fixed_unit_rate</t>
        </is>
      </c>
      <c r="BG1" s="2" t="inlineStr">
        <is>
          <t>uc6_fixed_imponibile_eur</t>
        </is>
      </c>
      <c r="BH1" s="2" t="inlineStr">
        <is>
          <t>uc6_variable_qty</t>
        </is>
      </c>
      <c r="BI1" s="2" t="inlineStr">
        <is>
          <t>uc6_variable_unit_rate (€/kWh)</t>
        </is>
      </c>
      <c r="BJ1" s="2" t="inlineStr">
        <is>
          <t>uc6_variable_imponibile_eur</t>
        </is>
      </c>
      <c r="BK1" s="2" t="inlineStr">
        <is>
          <t>arim_qty</t>
        </is>
      </c>
      <c r="BL1" s="2" t="inlineStr">
        <is>
          <t>arim_unit_rate (€/kWh)</t>
        </is>
      </c>
      <c r="BM1" s="2" t="inlineStr">
        <is>
          <t>arim_imponibile_eur</t>
        </is>
      </c>
      <c r="BN1" s="2" t="inlineStr">
        <is>
          <t>asos_qty</t>
        </is>
      </c>
      <c r="BO1" s="2" t="inlineStr">
        <is>
          <t>asos_unit_rate (€/kWh)</t>
        </is>
      </c>
      <c r="BP1" s="2" t="inlineStr">
        <is>
          <t>asos_imponibile_eur</t>
        </is>
      </c>
      <c r="BQ1" s="2" t="inlineStr">
        <is>
          <t>excise_qty</t>
        </is>
      </c>
      <c r="BR1" s="2" t="inlineStr">
        <is>
          <t>excise_unit_rate (€/kWh)</t>
        </is>
      </c>
      <c r="BS1" s="2" t="inlineStr">
        <is>
          <t>excise_imponibile_eur</t>
        </is>
      </c>
      <c r="BT1" s="2" t="inlineStr">
        <is>
          <t>notes</t>
        </is>
      </c>
    </row>
    <row r="2" ht="15" customHeight="1">
      <c r="A2" s="3" t="inlineStr">
        <is>
          <t>0003760417_922400747873.pdf</t>
        </is>
      </c>
      <c r="B2" s="3" t="inlineStr">
        <is>
          <t>acea_conguaglio</t>
        </is>
      </c>
      <c r="C2" s="3" t="inlineStr">
        <is>
          <t>Acea Energia S.p.A.</t>
        </is>
      </c>
      <c r="D2" s="3" t="inlineStr">
        <is>
          <t>922400747873</t>
        </is>
      </c>
      <c r="E2" s="4" t="n">
        <v>45341</v>
      </c>
      <c r="F2" s="4" t="n">
        <v>45364</v>
      </c>
      <c r="G2" s="3" t="inlineStr">
        <is>
          <t>SILVANA RUMIEL</t>
        </is>
      </c>
      <c r="H2" s="3" t="inlineStr">
        <is>
          <t>VIA BORGO DI SOTTO,74 33079 SESTO AL REGHENA PN</t>
        </is>
      </c>
      <c r="I2" s="3" t="inlineStr">
        <is>
          <t>IT001E38292321</t>
        </is>
      </c>
      <c r="J2" s="3" t="inlineStr">
        <is>
          <t>ACEA CHIARA CASA</t>
        </is>
      </c>
      <c r="K2" s="4" t="n">
        <v>45261</v>
      </c>
      <c r="L2" s="4" t="n">
        <v>45322</v>
      </c>
      <c r="M2" s="5" t="n">
        <v>1947</v>
      </c>
      <c r="N2" s="5" t="n">
        <v>520</v>
      </c>
      <c r="O2" s="5" t="n">
        <v>484</v>
      </c>
      <c r="P2" s="5" t="n">
        <v>943</v>
      </c>
      <c r="Q2" s="6" t="n">
        <v>6</v>
      </c>
      <c r="R2" s="6" t="n">
        <v>508.21</v>
      </c>
      <c r="S2" s="6" t="n">
        <v>508.21</v>
      </c>
      <c r="T2" s="6" t="inlineStr"/>
      <c r="U2" s="6" t="n">
        <v>311.25</v>
      </c>
      <c r="V2" s="6" t="n">
        <v>46.12</v>
      </c>
      <c r="W2" s="6" t="n">
        <v>60.45</v>
      </c>
      <c r="X2" s="6" t="n">
        <v>90.39</v>
      </c>
      <c r="Y2" s="6" t="n">
        <v>46.2</v>
      </c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6" t="inlineStr"/>
      <c r="AY2" s="6" t="inlineStr"/>
      <c r="AZ2" s="6" t="inlineStr"/>
      <c r="BA2" s="6" t="inlineStr"/>
      <c r="BB2" s="6" t="inlineStr"/>
      <c r="BC2" s="6" t="inlineStr"/>
      <c r="BD2" s="6" t="inlineStr"/>
      <c r="BE2" s="6" t="inlineStr"/>
      <c r="BF2" s="6" t="inlineStr"/>
      <c r="BG2" s="6" t="inlineStr"/>
      <c r="BH2" s="6" t="inlineStr"/>
      <c r="BI2" s="6" t="inlineStr"/>
      <c r="BJ2" s="6" t="inlineStr"/>
      <c r="BK2" s="6" t="inlineStr"/>
      <c r="BL2" s="6" t="inlineStr"/>
      <c r="BM2" s="6" t="inlineStr"/>
      <c r="BN2" s="6" t="inlineStr"/>
      <c r="BO2" s="6" t="inlineStr"/>
      <c r="BP2" s="6" t="inlineStr"/>
      <c r="BQ2" s="6" t="inlineStr"/>
      <c r="BR2" s="6" t="inlineStr"/>
      <c r="BS2" s="6" t="inlineStr"/>
      <c r="BT2" s="3" t="inlineStr">
        <is>
          <t>Bolletta Acea con conguaglio: dettagli componente lasciati vuoti per evitare somme fuorvianti su periodi storici/ricalcoli; Campi mancanti: bonus_eur, tv_license_eur, energy_qty, energy_unit_rate, energy_imponibile_eur, losses_qty, losses_unit_rate, losses_imponibile_eur, dispbt_qty, dispbt_unit_rate, dispbt_imponibile_eur, commercialization_qty, commercialization_unit_rate, commercialization_imponibile_eur, capacity_market_qty, capacity_market_unit_rate, capacity_market_imponibile_eur, dispatching_qty, dispatching_unit_rate, dispatching_imponibile_eur, transport_energy_qty, transport_energy_unit_rate, transport_energy_imponibile_eur, transport_fixed_qty, transport_fixed_unit_rate, transport_fixed_imponibile_eur, transport_power_qty, transport_power_unit_rate, transport_power_imponibile_eur, uc3_qty, uc3_unit_rate, uc3_imponibile_eur, uc6_fixed_qty, uc6_fixed_unit_rate, uc6_fixed_imponibile_eur, uc6_variable_qty, uc6_variable_unit_rate, uc6_variable_imponibile_eur, arim_qty, arim_unit_rate, arim_imponibile_eur, asos_qty, asos_unit_rate, asos_imponibile_eur, excise_qty, excise_unit_rate, excise_imponibile_eur</t>
        </is>
      </c>
    </row>
    <row r="3" ht="15" customHeight="1">
      <c r="A3" s="3" t="inlineStr">
        <is>
          <t>0003760417_922402440068.pdf</t>
        </is>
      </c>
      <c r="B3" s="3" t="inlineStr">
        <is>
          <t>acea_conguaglio</t>
        </is>
      </c>
      <c r="C3" s="3" t="inlineStr">
        <is>
          <t>Acea Energia S.p.A.</t>
        </is>
      </c>
      <c r="D3" s="3" t="inlineStr">
        <is>
          <t>922402440068</t>
        </is>
      </c>
      <c r="E3" s="4" t="n">
        <v>45450</v>
      </c>
      <c r="F3" s="4" t="n">
        <v>45470</v>
      </c>
      <c r="G3" s="3" t="inlineStr">
        <is>
          <t>SILVANA RUMIEL</t>
        </is>
      </c>
      <c r="H3" s="3" t="inlineStr">
        <is>
          <t>VIA BORGO DI SOTTO,74 33079 SESTO AL REGHENA PN</t>
        </is>
      </c>
      <c r="I3" s="3" t="inlineStr">
        <is>
          <t>IT001E38292321</t>
        </is>
      </c>
      <c r="J3" s="3" t="inlineStr">
        <is>
          <t>ACEA CHIARA CASA</t>
        </is>
      </c>
      <c r="K3" s="4" t="n">
        <v>45292</v>
      </c>
      <c r="L3" s="4" t="n">
        <v>45443</v>
      </c>
      <c r="M3" s="5" t="n">
        <v>730</v>
      </c>
      <c r="N3" s="5" t="n">
        <v>398</v>
      </c>
      <c r="O3" s="5" t="n">
        <v>400</v>
      </c>
      <c r="P3" s="5" t="n">
        <v>922</v>
      </c>
      <c r="Q3" s="6" t="n">
        <v>6</v>
      </c>
      <c r="R3" s="6" t="n">
        <v>238.47</v>
      </c>
      <c r="S3" s="6" t="n">
        <v>224.47</v>
      </c>
      <c r="T3" s="6" t="inlineStr"/>
      <c r="U3" s="6" t="n">
        <v>124.32</v>
      </c>
      <c r="V3" s="6" t="n">
        <v>34.97</v>
      </c>
      <c r="W3" s="6" t="n">
        <v>28.2</v>
      </c>
      <c r="X3" s="6" t="n">
        <v>36.98</v>
      </c>
      <c r="Y3" s="6" t="n">
        <v>20.41</v>
      </c>
      <c r="Z3" s="6" t="n">
        <v>14</v>
      </c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  <c r="AY3" s="6" t="inlineStr"/>
      <c r="AZ3" s="6" t="inlineStr"/>
      <c r="BA3" s="6" t="inlineStr"/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6" t="inlineStr"/>
      <c r="BM3" s="6" t="inlineStr"/>
      <c r="BN3" s="6" t="inlineStr"/>
      <c r="BO3" s="6" t="inlineStr"/>
      <c r="BP3" s="6" t="inlineStr"/>
      <c r="BQ3" s="6" t="inlineStr"/>
      <c r="BR3" s="6" t="inlineStr"/>
      <c r="BS3" s="6" t="inlineStr"/>
      <c r="BT3" s="3" t="inlineStr">
        <is>
          <t>Bolletta Acea con conguaglio: dettagli componente lasciati vuoti per evitare somme fuorvianti su periodi storici/ricalcoli; Campi mancanti: bonus_eur, energy_qty, energy_unit_rate, energy_imponibile_eur, losses_qty, losses_unit_rate, losses_imponibile_eur, dispbt_qty, dispbt_unit_rate, dispbt_imponibile_eur, commercialization_qty, commercialization_unit_rate, commercialization_imponibile_eur, capacity_market_qty, capacity_market_unit_rate, capacity_market_imponibile_eur, dispatching_qty, dispatching_unit_rate, dispatching_imponibile_eur, transport_energy_qty, transport_energy_unit_rate, transport_energy_imponibile_eur, transport_fixed_qty, transport_fixed_unit_rate, transport_fixed_imponibile_eur, transport_power_qty, transport_power_unit_rate, transport_power_imponibile_eur, uc3_qty, uc3_unit_rate, uc3_imponibile_eur, uc6_fixed_qty, uc6_fixed_unit_rate, uc6_fixed_imponibile_eur, uc6_variable_qty, uc6_variable_unit_rate, uc6_variable_imponibile_eur, arim_qty, arim_unit_rate, arim_imponibile_eur, asos_qty, asos_unit_rate, asos_imponibile_eur, excise_qty, excise_unit_rate, excise_imponibile_eur</t>
        </is>
      </c>
    </row>
    <row r="4" ht="15" customHeight="1">
      <c r="A4" s="3" t="inlineStr">
        <is>
          <t>0003760417_922401647027.pdf</t>
        </is>
      </c>
      <c r="B4" s="3" t="inlineStr">
        <is>
          <t>acea_standard</t>
        </is>
      </c>
      <c r="C4" s="3" t="inlineStr">
        <is>
          <t>Acea Energia S.p.A.</t>
        </is>
      </c>
      <c r="D4" s="3" t="inlineStr">
        <is>
          <t>922401647027</t>
        </is>
      </c>
      <c r="E4" s="4" t="n">
        <v>45399</v>
      </c>
      <c r="F4" s="4" t="n">
        <v>45422</v>
      </c>
      <c r="G4" s="3" t="inlineStr">
        <is>
          <t>SILVANA RUMIEL</t>
        </is>
      </c>
      <c r="H4" s="3" t="inlineStr">
        <is>
          <t>VIA BORGO DI SOTTO,74 33079 SESTO AL REGHENA PN</t>
        </is>
      </c>
      <c r="I4" s="3" t="inlineStr">
        <is>
          <t>IT001E38292321</t>
        </is>
      </c>
      <c r="J4" s="3" t="inlineStr">
        <is>
          <t>ACEA CHIARA CASA</t>
        </is>
      </c>
      <c r="K4" s="4" t="n">
        <v>45323</v>
      </c>
      <c r="L4" s="4" t="n">
        <v>45382</v>
      </c>
      <c r="M4" s="5" t="n">
        <v>1615</v>
      </c>
      <c r="N4" s="5" t="n">
        <v>414</v>
      </c>
      <c r="O4" s="5" t="n">
        <v>448</v>
      </c>
      <c r="P4" s="5" t="n">
        <v>753</v>
      </c>
      <c r="Q4" s="6" t="n">
        <v>6</v>
      </c>
      <c r="R4" s="6" t="n">
        <v>433.13</v>
      </c>
      <c r="S4" s="6" t="n">
        <v>426.13</v>
      </c>
      <c r="T4" s="6" t="inlineStr"/>
      <c r="U4" s="6" t="n">
        <v>252.63</v>
      </c>
      <c r="V4" s="6" t="n">
        <v>45.79</v>
      </c>
      <c r="W4" s="6" t="n">
        <v>52.31</v>
      </c>
      <c r="X4" s="6" t="n">
        <v>75.40000000000001</v>
      </c>
      <c r="Y4" s="6" t="n">
        <v>38.74</v>
      </c>
      <c r="Z4" s="6" t="n">
        <v>7</v>
      </c>
      <c r="AA4" s="6" t="n">
        <v>1615</v>
      </c>
      <c r="AB4" s="6" t="n">
        <v>0.117648</v>
      </c>
      <c r="AC4" s="6" t="n">
        <v>190</v>
      </c>
      <c r="AD4" s="6" t="n">
        <v>322</v>
      </c>
      <c r="AE4" s="6" t="n">
        <v>0.06549199999999999</v>
      </c>
      <c r="AF4" s="6" t="n">
        <v>21.09</v>
      </c>
      <c r="AG4" s="6" t="inlineStr"/>
      <c r="AH4" s="6" t="inlineStr"/>
      <c r="AI4" s="6" t="inlineStr"/>
      <c r="AJ4" s="6" t="n">
        <v>60</v>
      </c>
      <c r="AK4" s="6" t="n">
        <v>10</v>
      </c>
      <c r="AL4" s="6" t="n">
        <v>20</v>
      </c>
      <c r="AM4" s="6" t="inlineStr"/>
      <c r="AN4" s="6" t="inlineStr"/>
      <c r="AO4" s="6" t="inlineStr"/>
      <c r="AP4" s="6" t="n">
        <v>1615</v>
      </c>
      <c r="AQ4" s="6" t="n">
        <v>0.013337</v>
      </c>
      <c r="AR4" s="6" t="n">
        <v>21.54</v>
      </c>
      <c r="AS4" s="6" t="n">
        <v>1615</v>
      </c>
      <c r="AT4" s="6" t="n">
        <v>0.0122</v>
      </c>
      <c r="AU4" s="6" t="n">
        <v>19.71</v>
      </c>
      <c r="AV4" s="6" t="n">
        <v>60</v>
      </c>
      <c r="AW4" s="6" t="n">
        <v>22.08</v>
      </c>
      <c r="AX4" s="6" t="n">
        <v>3.68</v>
      </c>
      <c r="AY4" s="6" t="n">
        <v>12</v>
      </c>
      <c r="AZ4" s="6" t="n">
        <v>22.2</v>
      </c>
      <c r="BA4" s="6" t="n">
        <v>22.2</v>
      </c>
      <c r="BB4" s="6" t="inlineStr"/>
      <c r="BC4" s="6" t="inlineStr"/>
      <c r="BD4" s="6" t="inlineStr"/>
      <c r="BE4" s="6" t="n">
        <v>12</v>
      </c>
      <c r="BF4" s="6" t="n">
        <v>0.1988</v>
      </c>
      <c r="BG4" s="6" t="n">
        <v>0.2</v>
      </c>
      <c r="BH4" s="6" t="inlineStr"/>
      <c r="BI4" s="6" t="inlineStr"/>
      <c r="BJ4" s="6" t="inlineStr"/>
      <c r="BK4" s="6" t="n">
        <v>1615</v>
      </c>
      <c r="BL4" s="6" t="n">
        <v>0.006987</v>
      </c>
      <c r="BM4" s="6" t="n">
        <v>11.29</v>
      </c>
      <c r="BN4" s="6" t="n">
        <v>1615</v>
      </c>
      <c r="BO4" s="6" t="n">
        <v>0.025398</v>
      </c>
      <c r="BP4" s="6" t="n">
        <v>41.02</v>
      </c>
      <c r="BQ4" s="6" t="n">
        <v>1615</v>
      </c>
      <c r="BR4" s="6" t="n">
        <v>0.0227</v>
      </c>
      <c r="BS4" s="6" t="n">
        <v>36.66</v>
      </c>
      <c r="BT4" s="3" t="inlineStr">
        <is>
          <t>Campi mancanti: bonus_eur, dispbt_qty, dispbt_unit_rate, dispbt_imponibile_eur, capacity_market_qty, capacity_market_unit_rate, capacity_market_imponibile_eur, uc3_qty, uc3_unit_rate, uc3_imponibile_eur, uc6_variable_qty, uc6_variable_unit_rate, uc6_variable_imponibile_eur</t>
        </is>
      </c>
    </row>
    <row r="5" ht="15" customHeight="1">
      <c r="A5" s="3" t="inlineStr">
        <is>
          <t>0003760417_922403736563.pdf</t>
        </is>
      </c>
      <c r="B5" s="3" t="inlineStr">
        <is>
          <t>acea_standard</t>
        </is>
      </c>
      <c r="C5" s="3" t="inlineStr">
        <is>
          <t>Acea Energia S.p.A.</t>
        </is>
      </c>
      <c r="D5" s="3" t="inlineStr">
        <is>
          <t>922403736563</t>
        </is>
      </c>
      <c r="E5" s="4" t="n">
        <v>45524</v>
      </c>
      <c r="F5" s="4" t="n">
        <v>45547</v>
      </c>
      <c r="G5" s="3" t="inlineStr">
        <is>
          <t>SILVANA RUMIEL</t>
        </is>
      </c>
      <c r="H5" s="3" t="inlineStr">
        <is>
          <t>VIA BORGO DI SOTTO,74 33079 SESTO AL REGHENA PN</t>
        </is>
      </c>
      <c r="I5" s="3" t="inlineStr">
        <is>
          <t>IT001E38292321</t>
        </is>
      </c>
      <c r="J5" s="3" t="inlineStr">
        <is>
          <t>ACEA CHIARA CASA</t>
        </is>
      </c>
      <c r="K5" s="4" t="n">
        <v>45444</v>
      </c>
      <c r="L5" s="4" t="n">
        <v>45504</v>
      </c>
      <c r="M5" s="5" t="n">
        <v>572</v>
      </c>
      <c r="N5" s="5" t="n">
        <v>35</v>
      </c>
      <c r="O5" s="5" t="n">
        <v>48</v>
      </c>
      <c r="P5" s="5" t="n">
        <v>489</v>
      </c>
      <c r="Q5" s="6" t="n">
        <v>6</v>
      </c>
      <c r="R5" s="6" t="n">
        <v>211.81</v>
      </c>
      <c r="S5" s="6" t="n">
        <v>197.81</v>
      </c>
      <c r="T5" s="6" t="inlineStr"/>
      <c r="U5" s="6" t="n">
        <v>111.68</v>
      </c>
      <c r="V5" s="6" t="n">
        <v>33.06</v>
      </c>
      <c r="W5" s="6" t="n">
        <v>22.11</v>
      </c>
      <c r="X5" s="6" t="n">
        <v>30.96</v>
      </c>
      <c r="Y5" s="6" t="n">
        <v>17.98</v>
      </c>
      <c r="Z5" s="6" t="n">
        <v>14</v>
      </c>
      <c r="AA5" s="6" t="n">
        <v>572</v>
      </c>
      <c r="AB5" s="6" t="n">
        <v>0.13324</v>
      </c>
      <c r="AC5" s="6" t="n">
        <v>76.22</v>
      </c>
      <c r="AD5" s="6" t="n">
        <v>116</v>
      </c>
      <c r="AE5" s="6" t="n">
        <v>0.072702</v>
      </c>
      <c r="AF5" s="6" t="n">
        <v>8.390000000000001</v>
      </c>
      <c r="AG5" s="6" t="inlineStr"/>
      <c r="AH5" s="6" t="inlineStr"/>
      <c r="AI5" s="6" t="inlineStr"/>
      <c r="AJ5" s="6" t="n">
        <v>61</v>
      </c>
      <c r="AK5" s="6" t="n">
        <v>10</v>
      </c>
      <c r="AL5" s="6" t="n">
        <v>20</v>
      </c>
      <c r="AM5" s="6" t="inlineStr"/>
      <c r="AN5" s="6" t="inlineStr"/>
      <c r="AO5" s="6" t="inlineStr"/>
      <c r="AP5" s="6" t="n">
        <v>572</v>
      </c>
      <c r="AQ5" s="6" t="n">
        <v>0.012346</v>
      </c>
      <c r="AR5" s="6" t="n">
        <v>7.07</v>
      </c>
      <c r="AS5" s="6" t="n">
        <v>572</v>
      </c>
      <c r="AT5" s="6" t="n">
        <v>0.0122</v>
      </c>
      <c r="AU5" s="6" t="n">
        <v>6.98</v>
      </c>
      <c r="AV5" s="6" t="n">
        <v>61</v>
      </c>
      <c r="AW5" s="6" t="n">
        <v>22.08</v>
      </c>
      <c r="AX5" s="6" t="n">
        <v>3.68</v>
      </c>
      <c r="AY5" s="6" t="n">
        <v>12</v>
      </c>
      <c r="AZ5" s="6" t="n">
        <v>22.2</v>
      </c>
      <c r="BA5" s="6" t="n">
        <v>22.2</v>
      </c>
      <c r="BB5" s="6" t="inlineStr"/>
      <c r="BC5" s="6" t="inlineStr"/>
      <c r="BD5" s="6" t="inlineStr"/>
      <c r="BE5" s="6" t="n">
        <v>12</v>
      </c>
      <c r="BF5" s="6" t="n">
        <v>0.1988</v>
      </c>
      <c r="BG5" s="6" t="n">
        <v>0.2</v>
      </c>
      <c r="BH5" s="6" t="inlineStr"/>
      <c r="BI5" s="6" t="inlineStr"/>
      <c r="BJ5" s="6" t="inlineStr"/>
      <c r="BK5" s="6" t="n">
        <v>572</v>
      </c>
      <c r="BL5" s="6" t="n">
        <v>0.008828000000000001</v>
      </c>
      <c r="BM5" s="6" t="n">
        <v>5.06</v>
      </c>
      <c r="BN5" s="6" t="n">
        <v>572</v>
      </c>
      <c r="BO5" s="6" t="n">
        <v>0.029809</v>
      </c>
      <c r="BP5" s="6" t="n">
        <v>17.05</v>
      </c>
      <c r="BQ5" s="6" t="n">
        <v>572</v>
      </c>
      <c r="BR5" s="6" t="n">
        <v>0.0227</v>
      </c>
      <c r="BS5" s="6" t="n">
        <v>12.98</v>
      </c>
      <c r="BT5" s="3" t="inlineStr">
        <is>
          <t>Campi mancanti: bonus_eur, dispbt_qty, dispbt_unit_rate, dispbt_imponibile_eur, capacity_market_qty, capacity_market_unit_rate, capacity_market_imponibile_eur, uc3_qty, uc3_unit_rate, uc3_imponibile_eur, uc6_variable_qty, uc6_variable_unit_rate, uc6_variable_imponibile_eur</t>
        </is>
      </c>
    </row>
    <row r="6" ht="15" customHeight="1">
      <c r="A6" s="3" t="inlineStr">
        <is>
          <t>0003760417_922500940913.pdf</t>
        </is>
      </c>
      <c r="B6" s="3" t="inlineStr">
        <is>
          <t>acea_standard</t>
        </is>
      </c>
      <c r="C6" s="3" t="inlineStr">
        <is>
          <t>Acea Energia S.p.A.</t>
        </is>
      </c>
      <c r="D6" s="3" t="inlineStr">
        <is>
          <t>922500940913</t>
        </is>
      </c>
      <c r="E6" s="4" t="n">
        <v>45707</v>
      </c>
      <c r="F6" s="4" t="n">
        <v>45730</v>
      </c>
      <c r="G6" s="3" t="inlineStr">
        <is>
          <t>SILVANA RUMIEL</t>
        </is>
      </c>
      <c r="H6" s="3" t="inlineStr">
        <is>
          <t>VIA BORGO DI SOTTO,74 33079 SESTO AL REGHENA PN</t>
        </is>
      </c>
      <c r="I6" s="3" t="inlineStr">
        <is>
          <t>IT001E38292321</t>
        </is>
      </c>
      <c r="J6" s="3" t="inlineStr">
        <is>
          <t>ACEA CHIARA CASA</t>
        </is>
      </c>
      <c r="K6" s="4" t="n">
        <v>45627</v>
      </c>
      <c r="L6" s="4" t="n">
        <v>45688</v>
      </c>
      <c r="M6" s="5" t="n">
        <v>1682</v>
      </c>
      <c r="N6" s="5" t="n">
        <v>339</v>
      </c>
      <c r="O6" s="5" t="n">
        <v>435</v>
      </c>
      <c r="P6" s="5" t="n">
        <v>908</v>
      </c>
      <c r="Q6" s="6" t="n">
        <v>6</v>
      </c>
      <c r="R6" s="6" t="n">
        <v>562.47</v>
      </c>
      <c r="S6" s="6" t="n">
        <v>553.47</v>
      </c>
      <c r="T6" s="6" t="inlineStr"/>
      <c r="U6" s="6" t="n">
        <v>356.31</v>
      </c>
      <c r="V6" s="6" t="n">
        <v>49.24</v>
      </c>
      <c r="W6" s="6" t="n">
        <v>59.42</v>
      </c>
      <c r="X6" s="6" t="n">
        <v>88.5</v>
      </c>
      <c r="Y6" s="6" t="n">
        <v>50.32</v>
      </c>
      <c r="Z6" s="6" t="n">
        <v>9</v>
      </c>
      <c r="AA6" s="6" t="n">
        <v>1682</v>
      </c>
      <c r="AB6" s="6" t="n">
        <v>0.166377</v>
      </c>
      <c r="AC6" s="6" t="n">
        <v>279.85</v>
      </c>
      <c r="AD6" s="6" t="n">
        <v>338</v>
      </c>
      <c r="AE6" s="6" t="n">
        <v>0.090807</v>
      </c>
      <c r="AF6" s="6" t="n">
        <v>30.72</v>
      </c>
      <c r="AG6" s="6" t="n">
        <v>62</v>
      </c>
      <c r="AH6" s="6" t="n">
        <v>1.3183</v>
      </c>
      <c r="AI6" s="6" t="n">
        <v>0.22</v>
      </c>
      <c r="AJ6" s="6" t="n">
        <v>62</v>
      </c>
      <c r="AK6" s="6" t="n">
        <v>10</v>
      </c>
      <c r="AL6" s="6" t="n">
        <v>20</v>
      </c>
      <c r="AM6" s="6" t="inlineStr"/>
      <c r="AN6" s="6" t="inlineStr"/>
      <c r="AO6" s="6" t="inlineStr"/>
      <c r="AP6" s="6" t="n">
        <v>1682</v>
      </c>
      <c r="AQ6" s="6" t="n">
        <v>0.015179</v>
      </c>
      <c r="AR6" s="6" t="n">
        <v>25.52</v>
      </c>
      <c r="AS6" s="6" t="n">
        <v>1682</v>
      </c>
      <c r="AT6" s="6" t="n">
        <v>0.012876</v>
      </c>
      <c r="AU6" s="6" t="n">
        <v>21.66</v>
      </c>
      <c r="AV6" s="6" t="n">
        <v>62</v>
      </c>
      <c r="AW6" s="6" t="n">
        <v>22.44</v>
      </c>
      <c r="AX6" s="6" t="n">
        <v>3.74</v>
      </c>
      <c r="AY6" s="6" t="n">
        <v>12</v>
      </c>
      <c r="AZ6" s="6" t="n">
        <v>23.64</v>
      </c>
      <c r="BA6" s="6" t="n">
        <v>23.64</v>
      </c>
      <c r="BB6" s="6" t="inlineStr"/>
      <c r="BC6" s="6" t="inlineStr"/>
      <c r="BD6" s="6" t="inlineStr"/>
      <c r="BE6" s="6" t="n">
        <v>12</v>
      </c>
      <c r="BF6" s="6" t="n">
        <v>0.1988</v>
      </c>
      <c r="BG6" s="6" t="n">
        <v>0.2</v>
      </c>
      <c r="BH6" s="6" t="inlineStr"/>
      <c r="BI6" s="6" t="inlineStr"/>
      <c r="BJ6" s="6" t="inlineStr"/>
      <c r="BK6" s="6" t="n">
        <v>1682</v>
      </c>
      <c r="BL6" s="6" t="n">
        <v>0.005591</v>
      </c>
      <c r="BM6" s="6" t="n">
        <v>9.4</v>
      </c>
      <c r="BN6" s="6" t="n">
        <v>1682</v>
      </c>
      <c r="BO6" s="6" t="n">
        <v>0.029741</v>
      </c>
      <c r="BP6" s="6" t="n">
        <v>50.02</v>
      </c>
      <c r="BQ6" s="6" t="n">
        <v>1682</v>
      </c>
      <c r="BR6" s="6" t="n">
        <v>0.0227</v>
      </c>
      <c r="BS6" s="6" t="n">
        <v>38.18</v>
      </c>
      <c r="BT6" s="3" t="inlineStr">
        <is>
          <t>Campi mancanti: bonus_eur, capacity_market_qty, capacity_market_unit_rate, capacity_market_imponibile_eur, uc3_qty, uc3_unit_rate, uc3_imponibile_eur, uc6_variable_qty, uc6_variable_unit_rate, uc6_variable_imponibile_eur</t>
        </is>
      </c>
    </row>
    <row r="7" ht="15" customHeight="1">
      <c r="A7" s="3" t="inlineStr">
        <is>
          <t>fattura-A-E59593BF-8017331.pdf</t>
        </is>
      </c>
      <c r="B7" s="3" t="inlineStr">
        <is>
          <t>octopus</t>
        </is>
      </c>
      <c r="C7" s="3" t="inlineStr">
        <is>
          <t>Octopus Energy Italia Srl</t>
        </is>
      </c>
      <c r="D7" s="3" t="inlineStr">
        <is>
          <t>KE-26-E59593BF-001</t>
        </is>
      </c>
      <c r="E7" s="4" t="n">
        <v>46048</v>
      </c>
      <c r="F7" s="4" t="n">
        <v>46069</v>
      </c>
      <c r="G7" s="3" t="inlineStr">
        <is>
          <t>Silvana Rumiel</t>
        </is>
      </c>
      <c r="H7" s="3" t="inlineStr">
        <is>
          <t>Via Borgo Di Sotto 74, 33079 Sesto al Reghena (PN)</t>
        </is>
      </c>
      <c r="I7" s="3" t="inlineStr">
        <is>
          <t>IT001E38292321</t>
        </is>
      </c>
      <c r="J7" s="3" t="inlineStr">
        <is>
          <t>Octopus Go v02</t>
        </is>
      </c>
      <c r="K7" s="4" t="n">
        <v>45992</v>
      </c>
      <c r="L7" s="4" t="n">
        <v>46022</v>
      </c>
      <c r="M7" s="5" t="n">
        <v>758</v>
      </c>
      <c r="N7" s="5" t="n">
        <v>100</v>
      </c>
      <c r="O7" s="5" t="n">
        <v>146</v>
      </c>
      <c r="P7" s="5" t="n">
        <v>512</v>
      </c>
      <c r="Q7" s="6" t="n">
        <v>6</v>
      </c>
      <c r="R7" s="6" t="n">
        <v>164.55</v>
      </c>
      <c r="S7" s="6" t="n">
        <v>194.55</v>
      </c>
      <c r="T7" s="6" t="n">
        <v>-30</v>
      </c>
      <c r="U7" s="6" t="n">
        <v>24.08</v>
      </c>
      <c r="V7" s="6" t="n">
        <v>24.78</v>
      </c>
      <c r="W7" s="6" t="n">
        <v>48.53</v>
      </c>
      <c r="X7" s="6" t="n">
        <v>34.89</v>
      </c>
      <c r="Y7" s="6" t="n">
        <v>17.68</v>
      </c>
      <c r="Z7" s="6" t="inlineStr"/>
      <c r="AA7" s="6" t="n">
        <v>758</v>
      </c>
      <c r="AB7" s="6" t="n">
        <v>0.01189</v>
      </c>
      <c r="AC7" s="6" t="n">
        <v>9.01</v>
      </c>
      <c r="AD7" s="6" t="inlineStr"/>
      <c r="AE7" s="6" t="inlineStr"/>
      <c r="AF7" s="6" t="inlineStr"/>
      <c r="AG7" s="6" t="n">
        <v>1</v>
      </c>
      <c r="AH7" s="6" t="n">
        <v>0.102592</v>
      </c>
      <c r="AI7" s="6" t="n">
        <v>0.1</v>
      </c>
      <c r="AJ7" s="6" t="n">
        <v>1</v>
      </c>
      <c r="AK7" s="6" t="n">
        <v>9</v>
      </c>
      <c r="AL7" s="6" t="n">
        <v>9</v>
      </c>
      <c r="AM7" s="6" t="n">
        <v>833</v>
      </c>
      <c r="AN7" s="6" t="n">
        <v>0.008189</v>
      </c>
      <c r="AO7" s="6" t="n">
        <v>6.82</v>
      </c>
      <c r="AP7" s="6" t="n">
        <v>833</v>
      </c>
      <c r="AQ7" s="6" t="n">
        <v>0.0098</v>
      </c>
      <c r="AR7" s="6" t="n">
        <v>8.16</v>
      </c>
      <c r="AS7" s="6" t="n">
        <v>758</v>
      </c>
      <c r="AT7" s="6" t="n">
        <v>0.01189</v>
      </c>
      <c r="AU7" s="6" t="n">
        <v>9.01</v>
      </c>
      <c r="AV7" s="6" t="n">
        <v>1</v>
      </c>
      <c r="AW7" s="6" t="n">
        <v>1.9</v>
      </c>
      <c r="AX7" s="6" t="n">
        <v>1.9</v>
      </c>
      <c r="AY7" s="6" t="n">
        <v>6</v>
      </c>
      <c r="AZ7" s="6" t="n">
        <v>2.09</v>
      </c>
      <c r="BA7" s="6" t="n">
        <v>12.54</v>
      </c>
      <c r="BB7" s="6" t="n">
        <v>758</v>
      </c>
      <c r="BC7" s="6" t="n">
        <v>0.00156</v>
      </c>
      <c r="BD7" s="6" t="n">
        <v>1.18</v>
      </c>
      <c r="BE7" s="6" t="n">
        <v>6</v>
      </c>
      <c r="BF7" s="6" t="n">
        <v>0.016567</v>
      </c>
      <c r="BG7" s="6" t="n">
        <v>0.1</v>
      </c>
      <c r="BH7" s="6" t="n">
        <v>758</v>
      </c>
      <c r="BI7" s="6" t="n">
        <v>6.999999999999999e-05</v>
      </c>
      <c r="BJ7" s="6" t="n">
        <v>0.05</v>
      </c>
      <c r="BK7" s="6" t="n">
        <v>758</v>
      </c>
      <c r="BL7" s="6" t="n">
        <v>0.001645</v>
      </c>
      <c r="BM7" s="6" t="n">
        <v>1.25</v>
      </c>
      <c r="BN7" s="6" t="n">
        <v>758</v>
      </c>
      <c r="BO7" s="6" t="n">
        <v>0.029677</v>
      </c>
      <c r="BP7" s="6" t="n">
        <v>22.5</v>
      </c>
      <c r="BQ7" s="6" t="n">
        <v>758</v>
      </c>
      <c r="BR7" s="6" t="n">
        <v>0.0227</v>
      </c>
      <c r="BS7" s="6" t="n">
        <v>17.21</v>
      </c>
      <c r="BT7" s="3" t="inlineStr">
        <is>
          <t>Campi mancanti: tv_license_eur, losses_qty, losses_unit_rate, losses_imponibile_eur</t>
        </is>
      </c>
    </row>
    <row r="8" ht="15" customHeight="1">
      <c r="A8" s="3" t="inlineStr">
        <is>
          <t>fattura-A-E59593BF-8736865.pdf</t>
        </is>
      </c>
      <c r="B8" s="3" t="inlineStr">
        <is>
          <t>octopus</t>
        </is>
      </c>
      <c r="C8" s="3" t="inlineStr">
        <is>
          <t>Octopus Energy Italia Srl</t>
        </is>
      </c>
      <c r="D8" s="3" t="inlineStr">
        <is>
          <t>KE-26-E59593BF-002</t>
        </is>
      </c>
      <c r="E8" s="4" t="n">
        <v>46077</v>
      </c>
      <c r="F8" s="4" t="n">
        <v>46097</v>
      </c>
      <c r="G8" s="3" t="inlineStr">
        <is>
          <t>Silvana Rumiel</t>
        </is>
      </c>
      <c r="H8" s="3" t="inlineStr">
        <is>
          <t>Via Borgo Di Sotto 74, 33079 Sesto al Reghena (PN)</t>
        </is>
      </c>
      <c r="I8" s="3" t="inlineStr">
        <is>
          <t>IT001E38292321</t>
        </is>
      </c>
      <c r="J8" s="3" t="inlineStr">
        <is>
          <t>Octopus Fissa 12M v120</t>
        </is>
      </c>
      <c r="K8" s="4" t="n">
        <v>46023</v>
      </c>
      <c r="L8" s="4" t="n">
        <v>46053</v>
      </c>
      <c r="M8" s="5" t="n">
        <v>803</v>
      </c>
      <c r="N8" s="5" t="n">
        <v>151</v>
      </c>
      <c r="O8" s="5" t="n">
        <v>211</v>
      </c>
      <c r="P8" s="5" t="n">
        <v>441</v>
      </c>
      <c r="Q8" s="6" t="n">
        <v>6</v>
      </c>
      <c r="R8" s="6" t="n">
        <v>200.47</v>
      </c>
      <c r="S8" s="6" t="n">
        <v>191.47</v>
      </c>
      <c r="T8" s="6" t="inlineStr"/>
      <c r="U8" s="6" t="n">
        <v>105.88</v>
      </c>
      <c r="V8" s="6" t="n">
        <v>25.62</v>
      </c>
      <c r="W8" s="6" t="n">
        <v>49.95</v>
      </c>
      <c r="X8" s="6" t="n">
        <v>35.64</v>
      </c>
      <c r="Y8" s="6" t="n">
        <v>17.41</v>
      </c>
      <c r="Z8" s="6" t="n">
        <v>9</v>
      </c>
      <c r="AA8" s="6" t="n">
        <v>803</v>
      </c>
      <c r="AB8" s="6" t="n">
        <v>0.09</v>
      </c>
      <c r="AC8" s="6" t="n">
        <v>72.27</v>
      </c>
      <c r="AD8" s="6" t="n">
        <v>80</v>
      </c>
      <c r="AE8" s="6" t="n">
        <v>0.09</v>
      </c>
      <c r="AF8" s="6" t="n">
        <v>7.2</v>
      </c>
      <c r="AG8" s="6" t="n">
        <v>1</v>
      </c>
      <c r="AH8" s="6" t="n">
        <v>0.102592</v>
      </c>
      <c r="AI8" s="6" t="n">
        <v>0.1</v>
      </c>
      <c r="AJ8" s="6" t="n">
        <v>1</v>
      </c>
      <c r="AK8" s="6" t="n">
        <v>6</v>
      </c>
      <c r="AL8" s="6" t="n">
        <v>6</v>
      </c>
      <c r="AM8" s="6" t="n">
        <v>883</v>
      </c>
      <c r="AN8" s="6" t="n">
        <v>0.012345</v>
      </c>
      <c r="AO8" s="6" t="n">
        <v>10.9</v>
      </c>
      <c r="AP8" s="6" t="n">
        <v>883</v>
      </c>
      <c r="AQ8" s="6" t="n">
        <v>0.01066</v>
      </c>
      <c r="AR8" s="6" t="n">
        <v>9.41</v>
      </c>
      <c r="AS8" s="6" t="n">
        <v>803</v>
      </c>
      <c r="AT8" s="6" t="n">
        <v>0.0119</v>
      </c>
      <c r="AU8" s="6" t="n">
        <v>9.56</v>
      </c>
      <c r="AV8" s="6" t="n">
        <v>1</v>
      </c>
      <c r="AW8" s="6" t="n">
        <v>1.92</v>
      </c>
      <c r="AX8" s="6" t="n">
        <v>1.92</v>
      </c>
      <c r="AY8" s="6" t="n">
        <v>6</v>
      </c>
      <c r="AZ8" s="6" t="n">
        <v>1.96</v>
      </c>
      <c r="BA8" s="6" t="n">
        <v>11.76</v>
      </c>
      <c r="BB8" s="6" t="n">
        <v>803</v>
      </c>
      <c r="BC8" s="6" t="n">
        <v>0.00276</v>
      </c>
      <c r="BD8" s="6" t="n">
        <v>2.22</v>
      </c>
      <c r="BE8" s="6" t="n">
        <v>6</v>
      </c>
      <c r="BF8" s="6" t="n">
        <v>0.016567</v>
      </c>
      <c r="BG8" s="6" t="n">
        <v>0.1</v>
      </c>
      <c r="BH8" s="6" t="n">
        <v>803</v>
      </c>
      <c r="BI8" s="6" t="n">
        <v>6.999999999999999e-05</v>
      </c>
      <c r="BJ8" s="6" t="n">
        <v>0.06</v>
      </c>
      <c r="BK8" s="6" t="n">
        <v>803</v>
      </c>
      <c r="BL8" s="6" t="n">
        <v>0.001638</v>
      </c>
      <c r="BM8" s="6" t="n">
        <v>1.32</v>
      </c>
      <c r="BN8" s="6" t="n">
        <v>803</v>
      </c>
      <c r="BO8" s="6" t="n">
        <v>0.028657</v>
      </c>
      <c r="BP8" s="6" t="n">
        <v>23.01</v>
      </c>
      <c r="BQ8" s="6" t="n">
        <v>803</v>
      </c>
      <c r="BR8" s="6" t="n">
        <v>0.0227</v>
      </c>
      <c r="BS8" s="6" t="n">
        <v>18.23</v>
      </c>
      <c r="BT8" s="3" t="inlineStr">
        <is>
          <t>Campi mancanti: bonus_eur</t>
        </is>
      </c>
    </row>
    <row r="9" ht="15" customHeight="1">
      <c r="A9" s="3" t="inlineStr">
        <is>
          <t>fattura-A-E59593BF-9515420.pdf</t>
        </is>
      </c>
      <c r="B9" s="3" t="inlineStr">
        <is>
          <t>octopus</t>
        </is>
      </c>
      <c r="C9" s="3" t="inlineStr">
        <is>
          <t>Octopus Energy Italia Srl</t>
        </is>
      </c>
      <c r="D9" s="3" t="inlineStr">
        <is>
          <t>KE-26-E59593BF-003</t>
        </is>
      </c>
      <c r="E9" s="4" t="n">
        <v>46091</v>
      </c>
      <c r="F9" s="4" t="n">
        <v>46111</v>
      </c>
      <c r="G9" s="3" t="inlineStr">
        <is>
          <t>Silvana Rumiel</t>
        </is>
      </c>
      <c r="H9" s="3" t="inlineStr">
        <is>
          <t>Via Borgo Di Sotto 74, 33079 Sesto al Reghena (PN)</t>
        </is>
      </c>
      <c r="I9" s="3" t="inlineStr">
        <is>
          <t>IT001E38292321</t>
        </is>
      </c>
      <c r="J9" s="3" t="inlineStr">
        <is>
          <t>Octopus Fissa 12M v120</t>
        </is>
      </c>
      <c r="K9" s="4" t="n">
        <v>46054</v>
      </c>
      <c r="L9" s="4" t="n">
        <v>46081</v>
      </c>
      <c r="M9" s="5" t="n">
        <v>585</v>
      </c>
      <c r="N9" s="5" t="n">
        <v>119</v>
      </c>
      <c r="O9" s="5" t="n">
        <v>150</v>
      </c>
      <c r="P9" s="5" t="n">
        <v>316</v>
      </c>
      <c r="Q9" s="6" t="n">
        <v>6</v>
      </c>
      <c r="R9" s="6" t="n">
        <v>153.25</v>
      </c>
      <c r="S9" s="6" t="n">
        <v>144.25</v>
      </c>
      <c r="T9" s="6" t="inlineStr"/>
      <c r="U9" s="6" t="n">
        <v>77.75</v>
      </c>
      <c r="V9" s="6" t="n">
        <v>22.39</v>
      </c>
      <c r="W9" s="6" t="n">
        <v>40.11</v>
      </c>
      <c r="X9" s="6" t="n">
        <v>26.39</v>
      </c>
      <c r="Y9" s="6" t="n">
        <v>13.11</v>
      </c>
      <c r="Z9" s="6" t="n">
        <v>9</v>
      </c>
      <c r="AA9" s="6" t="n">
        <v>585</v>
      </c>
      <c r="AB9" s="6" t="n">
        <v>0.09</v>
      </c>
      <c r="AC9" s="6" t="n">
        <v>52.65</v>
      </c>
      <c r="AD9" s="6" t="n">
        <v>59</v>
      </c>
      <c r="AE9" s="6" t="n">
        <v>0.09</v>
      </c>
      <c r="AF9" s="6" t="n">
        <v>5.31</v>
      </c>
      <c r="AG9" s="6" t="n">
        <v>1</v>
      </c>
      <c r="AH9" s="6" t="n">
        <v>0.102592</v>
      </c>
      <c r="AI9" s="6" t="n">
        <v>0.1</v>
      </c>
      <c r="AJ9" s="6" t="n">
        <v>1</v>
      </c>
      <c r="AK9" s="6" t="n">
        <v>6</v>
      </c>
      <c r="AL9" s="6" t="n">
        <v>6</v>
      </c>
      <c r="AM9" s="6" t="n">
        <v>644</v>
      </c>
      <c r="AN9" s="6" t="n">
        <v>0.010583</v>
      </c>
      <c r="AO9" s="6" t="n">
        <v>6.82</v>
      </c>
      <c r="AP9" s="6" t="n">
        <v>644</v>
      </c>
      <c r="AQ9" s="6" t="n">
        <v>0.01066</v>
      </c>
      <c r="AR9" s="6" t="n">
        <v>6.87</v>
      </c>
      <c r="AS9" s="6" t="n">
        <v>585</v>
      </c>
      <c r="AT9" s="6" t="n">
        <v>0.0119</v>
      </c>
      <c r="AU9" s="6" t="n">
        <v>6.96</v>
      </c>
      <c r="AV9" s="6" t="n">
        <v>1</v>
      </c>
      <c r="AW9" s="6" t="n">
        <v>1.92</v>
      </c>
      <c r="AX9" s="6" t="n">
        <v>1.92</v>
      </c>
      <c r="AY9" s="6" t="n">
        <v>6</v>
      </c>
      <c r="AZ9" s="6" t="n">
        <v>1.96</v>
      </c>
      <c r="BA9" s="6" t="n">
        <v>11.76</v>
      </c>
      <c r="BB9" s="6" t="n">
        <v>585</v>
      </c>
      <c r="BC9" s="6" t="n">
        <v>0.00276</v>
      </c>
      <c r="BD9" s="6" t="n">
        <v>1.61</v>
      </c>
      <c r="BE9" s="6" t="n">
        <v>6</v>
      </c>
      <c r="BF9" s="6" t="n">
        <v>0.016567</v>
      </c>
      <c r="BG9" s="6" t="n">
        <v>0.1</v>
      </c>
      <c r="BH9" s="6" t="n">
        <v>585</v>
      </c>
      <c r="BI9" s="6" t="n">
        <v>6.999999999999999e-05</v>
      </c>
      <c r="BJ9" s="6" t="n">
        <v>0.04</v>
      </c>
      <c r="BK9" s="6" t="n">
        <v>585</v>
      </c>
      <c r="BL9" s="6" t="n">
        <v>0.001638</v>
      </c>
      <c r="BM9" s="6" t="n">
        <v>0.96</v>
      </c>
      <c r="BN9" s="6" t="n">
        <v>585</v>
      </c>
      <c r="BO9" s="6" t="n">
        <v>0.028657</v>
      </c>
      <c r="BP9" s="6" t="n">
        <v>16.76</v>
      </c>
      <c r="BQ9" s="6" t="n">
        <v>585</v>
      </c>
      <c r="BR9" s="6" t="n">
        <v>0.0227</v>
      </c>
      <c r="BS9" s="6" t="n">
        <v>13.28</v>
      </c>
      <c r="BT9" s="3" t="inlineStr">
        <is>
          <t>Campi mancanti: bonus_eur</t>
        </is>
      </c>
    </row>
    <row r="10" ht="15" customHeight="1">
      <c r="A10" s="3" t="inlineStr">
        <is>
          <t>fattura-A-E59593BF-10328930.pdf</t>
        </is>
      </c>
      <c r="B10" s="3" t="inlineStr">
        <is>
          <t>octopus</t>
        </is>
      </c>
      <c r="C10" s="3" t="inlineStr">
        <is>
          <t>Octopus Energy Italia Srl</t>
        </is>
      </c>
      <c r="D10" s="3" t="inlineStr">
        <is>
          <t>KE-26-E59593BF-004</t>
        </is>
      </c>
      <c r="E10" s="4" t="n">
        <v>46118</v>
      </c>
      <c r="F10" s="4" t="n">
        <v>46139</v>
      </c>
      <c r="G10" s="3" t="inlineStr">
        <is>
          <t>Silvana Rumiel</t>
        </is>
      </c>
      <c r="H10" s="3" t="inlineStr">
        <is>
          <t>Via Borgo Di Sotto 74, 33079 Sesto al Reghena (PN)</t>
        </is>
      </c>
      <c r="I10" s="3" t="inlineStr">
        <is>
          <t>IT001E38292321</t>
        </is>
      </c>
      <c r="J10" s="3" t="inlineStr">
        <is>
          <t>Octopus Fissa 12M v120</t>
        </is>
      </c>
      <c r="K10" s="4" t="n">
        <v>46082</v>
      </c>
      <c r="L10" s="4" t="n">
        <v>46112</v>
      </c>
      <c r="M10" s="5" t="n">
        <v>406</v>
      </c>
      <c r="N10" s="5" t="n">
        <v>38</v>
      </c>
      <c r="O10" s="5" t="n">
        <v>72</v>
      </c>
      <c r="P10" s="5" t="n">
        <v>296</v>
      </c>
      <c r="Q10" s="6" t="n">
        <v>6</v>
      </c>
      <c r="R10" s="6" t="n">
        <v>82.75</v>
      </c>
      <c r="S10" s="6" t="n">
        <v>103.75</v>
      </c>
      <c r="T10" s="6" t="n">
        <v>-30</v>
      </c>
      <c r="U10" s="6" t="n">
        <v>53.04</v>
      </c>
      <c r="V10" s="6" t="n">
        <v>19.76</v>
      </c>
      <c r="W10" s="6" t="n">
        <v>32.06</v>
      </c>
      <c r="X10" s="6" t="n">
        <v>18.65</v>
      </c>
      <c r="Y10" s="6" t="n">
        <v>9.43</v>
      </c>
      <c r="Z10" s="6" t="n">
        <v>9</v>
      </c>
      <c r="AA10" s="6" t="n">
        <v>406</v>
      </c>
      <c r="AB10" s="6" t="n">
        <v>0.09</v>
      </c>
      <c r="AC10" s="6" t="n">
        <v>36.54</v>
      </c>
      <c r="AD10" s="6" t="n">
        <v>41</v>
      </c>
      <c r="AE10" s="6" t="n">
        <v>0.09</v>
      </c>
      <c r="AF10" s="6" t="n">
        <v>3.69</v>
      </c>
      <c r="AG10" s="6" t="n">
        <v>1</v>
      </c>
      <c r="AH10" s="6" t="n">
        <v>0.102592</v>
      </c>
      <c r="AI10" s="6" t="n">
        <v>0.1</v>
      </c>
      <c r="AJ10" s="6" t="n">
        <v>1</v>
      </c>
      <c r="AK10" s="6" t="n">
        <v>6</v>
      </c>
      <c r="AL10" s="6" t="n">
        <v>6</v>
      </c>
      <c r="AM10" s="6" t="n">
        <v>447</v>
      </c>
      <c r="AN10" s="6" t="n">
        <v>0.004349</v>
      </c>
      <c r="AO10" s="6" t="n">
        <v>1.94</v>
      </c>
      <c r="AP10" s="6" t="n">
        <v>447</v>
      </c>
      <c r="AQ10" s="6" t="n">
        <v>0.01066</v>
      </c>
      <c r="AR10" s="6" t="n">
        <v>4.77</v>
      </c>
      <c r="AS10" s="6" t="n">
        <v>406</v>
      </c>
      <c r="AT10" s="6" t="n">
        <v>0.0119</v>
      </c>
      <c r="AU10" s="6" t="n">
        <v>4.83</v>
      </c>
      <c r="AV10" s="6" t="n">
        <v>1</v>
      </c>
      <c r="AW10" s="6" t="n">
        <v>1.92</v>
      </c>
      <c r="AX10" s="6" t="n">
        <v>1.92</v>
      </c>
      <c r="AY10" s="6" t="n">
        <v>6</v>
      </c>
      <c r="AZ10" s="6" t="n">
        <v>1.96</v>
      </c>
      <c r="BA10" s="6" t="n">
        <v>11.76</v>
      </c>
      <c r="BB10" s="6" t="n">
        <v>406</v>
      </c>
      <c r="BC10" s="6" t="n">
        <v>0.00276</v>
      </c>
      <c r="BD10" s="6" t="n">
        <v>1.12</v>
      </c>
      <c r="BE10" s="6" t="n">
        <v>6</v>
      </c>
      <c r="BF10" s="6" t="n">
        <v>0.016567</v>
      </c>
      <c r="BG10" s="6" t="n">
        <v>0.1</v>
      </c>
      <c r="BH10" s="6" t="n">
        <v>406</v>
      </c>
      <c r="BI10" s="6" t="n">
        <v>6.999999999999999e-05</v>
      </c>
      <c r="BJ10" s="6" t="n">
        <v>0.03</v>
      </c>
      <c r="BK10" s="6" t="n">
        <v>406</v>
      </c>
      <c r="BL10" s="6" t="n">
        <v>0.001638</v>
      </c>
      <c r="BM10" s="6" t="n">
        <v>0.67</v>
      </c>
      <c r="BN10" s="6" t="n">
        <v>406</v>
      </c>
      <c r="BO10" s="6" t="n">
        <v>0.028657</v>
      </c>
      <c r="BP10" s="6" t="n">
        <v>11.63</v>
      </c>
      <c r="BQ10" s="6" t="n">
        <v>406</v>
      </c>
      <c r="BR10" s="6" t="n">
        <v>0.0227</v>
      </c>
      <c r="BS10" s="6" t="n">
        <v>9.220000000000001</v>
      </c>
      <c r="BT10" s="3" t="inlineStr"/>
    </row>
    <row r="11">
      <c r="A11" s="7" t="inlineStr">
        <is>
          <t>Totale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8">
        <f>SUM(M2:M10)</f>
        <v/>
      </c>
      <c r="N11" s="8">
        <f>SUM(N2:N10)</f>
        <v/>
      </c>
      <c r="O11" s="8">
        <f>SUM(O2:O10)</f>
        <v/>
      </c>
      <c r="P11" s="8">
        <f>SUM(P2:P10)</f>
        <v/>
      </c>
      <c r="Q11" s="8">
        <f>SUM(Q2:Q10)</f>
        <v/>
      </c>
      <c r="R11" s="8">
        <f>SUM(R2:R10)</f>
        <v/>
      </c>
      <c r="S11" s="8">
        <f>SUM(S2:S10)</f>
        <v/>
      </c>
      <c r="T11" s="8">
        <f>SUM(T2:T10)</f>
        <v/>
      </c>
      <c r="U11" s="8">
        <f>SUM(U2:U10)</f>
        <v/>
      </c>
      <c r="V11" s="8">
        <f>SUM(V2:V10)</f>
        <v/>
      </c>
      <c r="W11" s="8">
        <f>SUM(W2:W10)</f>
        <v/>
      </c>
      <c r="X11" s="8">
        <f>SUM(X2:X10)</f>
        <v/>
      </c>
      <c r="Y11" s="8">
        <f>SUM(Y2:Y10)</f>
        <v/>
      </c>
      <c r="Z11" s="8">
        <f>SUM(Z2:Z10)</f>
        <v/>
      </c>
      <c r="AA11" s="8">
        <f>SUM(AA2:AA10)</f>
        <v/>
      </c>
      <c r="AB11" s="8">
        <f>SUM(AB2:AB10)</f>
        <v/>
      </c>
      <c r="AC11" s="8">
        <f>SUM(AC2:AC10)</f>
        <v/>
      </c>
      <c r="AD11" s="8">
        <f>SUM(AD2:AD10)</f>
        <v/>
      </c>
      <c r="AE11" s="8">
        <f>SUM(AE2:AE10)</f>
        <v/>
      </c>
      <c r="AF11" s="8">
        <f>SUM(AF2:AF10)</f>
        <v/>
      </c>
      <c r="AG11" s="8">
        <f>SUM(AG2:AG10)</f>
        <v/>
      </c>
      <c r="AH11" s="8">
        <f>SUM(AH2:AH10)</f>
        <v/>
      </c>
      <c r="AI11" s="8">
        <f>SUM(AI2:AI10)</f>
        <v/>
      </c>
      <c r="AJ11" s="8">
        <f>SUM(AJ2:AJ10)</f>
        <v/>
      </c>
      <c r="AK11" s="8">
        <f>SUM(AK2:AK10)</f>
        <v/>
      </c>
      <c r="AL11" s="8">
        <f>SUM(AL2:AL10)</f>
        <v/>
      </c>
      <c r="AM11" s="8">
        <f>SUM(AM2:AM10)</f>
        <v/>
      </c>
      <c r="AN11" s="8">
        <f>SUM(AN2:AN10)</f>
        <v/>
      </c>
      <c r="AO11" s="8">
        <f>SUM(AO2:AO10)</f>
        <v/>
      </c>
      <c r="AP11" s="8">
        <f>SUM(AP2:AP10)</f>
        <v/>
      </c>
      <c r="AQ11" s="8">
        <f>SUM(AQ2:AQ10)</f>
        <v/>
      </c>
      <c r="AR11" s="8">
        <f>SUM(AR2:AR10)</f>
        <v/>
      </c>
      <c r="AS11" s="8">
        <f>SUM(AS2:AS10)</f>
        <v/>
      </c>
      <c r="AT11" s="8">
        <f>SUM(AT2:AT10)</f>
        <v/>
      </c>
      <c r="AU11" s="8">
        <f>SUM(AU2:AU10)</f>
        <v/>
      </c>
      <c r="AV11" s="8">
        <f>SUM(AV2:AV10)</f>
        <v/>
      </c>
      <c r="AW11" s="8">
        <f>SUM(AW2:AW10)</f>
        <v/>
      </c>
      <c r="AX11" s="8">
        <f>SUM(AX2:AX10)</f>
        <v/>
      </c>
      <c r="AY11" s="8">
        <f>SUM(AY2:AY10)</f>
        <v/>
      </c>
      <c r="AZ11" s="8">
        <f>SUM(AZ2:AZ10)</f>
        <v/>
      </c>
      <c r="BA11" s="8">
        <f>SUM(BA2:BA10)</f>
        <v/>
      </c>
      <c r="BB11" s="8">
        <f>SUM(BB2:BB10)</f>
        <v/>
      </c>
      <c r="BC11" s="8">
        <f>SUM(BC2:BC10)</f>
        <v/>
      </c>
      <c r="BD11" s="8">
        <f>SUM(BD2:BD10)</f>
        <v/>
      </c>
      <c r="BE11" s="8">
        <f>SUM(BE2:BE10)</f>
        <v/>
      </c>
      <c r="BF11" s="8">
        <f>SUM(BF2:BF10)</f>
        <v/>
      </c>
      <c r="BG11" s="8">
        <f>SUM(BG2:BG10)</f>
        <v/>
      </c>
      <c r="BH11" s="8">
        <f>SUM(BH2:BH10)</f>
        <v/>
      </c>
      <c r="BI11" s="8">
        <f>SUM(BI2:BI10)</f>
        <v/>
      </c>
      <c r="BJ11" s="8">
        <f>SUM(BJ2:BJ10)</f>
        <v/>
      </c>
      <c r="BK11" s="8">
        <f>SUM(BK2:BK10)</f>
        <v/>
      </c>
      <c r="BL11" s="8">
        <f>SUM(BL2:BL10)</f>
        <v/>
      </c>
      <c r="BM11" s="8">
        <f>SUM(BM2:BM10)</f>
        <v/>
      </c>
      <c r="BN11" s="8">
        <f>SUM(BN2:BN10)</f>
        <v/>
      </c>
      <c r="BO11" s="8">
        <f>SUM(BO2:BO10)</f>
        <v/>
      </c>
      <c r="BP11" s="8">
        <f>SUM(BP2:BP10)</f>
        <v/>
      </c>
      <c r="BQ11" s="8">
        <f>SUM(BQ2:BQ10)</f>
        <v/>
      </c>
      <c r="BR11" s="8">
        <f>SUM(BR2:BR10)</f>
        <v/>
      </c>
      <c r="BS11" s="8">
        <f>SUM(BS2:BS10)</f>
        <v/>
      </c>
      <c r="BT11" s="2" t="n"/>
    </row>
  </sheetData>
  <autoFilter ref="A1:BT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2026-04-29T11:09:45Z</dcterms:created>
  <dcterms:modified xsi:type="dcterms:W3CDTF">2026-04-29T11:09:45Z</dcterms:modified>
</cp:coreProperties>
</file>