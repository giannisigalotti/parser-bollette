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/Users/gianni/Downloads/Bollette/"/>
    </mc:Choice>
  </mc:AlternateContent>
  <xr:revisionPtr revIDLastSave="0" documentId="13_ncr:1_{65A33471-8D53-8C4C-8797-2D61DA5A5C99}" xr6:coauthVersionLast="47" xr6:coauthVersionMax="47" xr10:uidLastSave="{00000000-0000-0000-0000-000000000000}"/>
  <bookViews>
    <workbookView xWindow="20" yWindow="680" windowWidth="30220" windowHeight="18960" firstSheet="15" activeTab="32" xr2:uid="{00000000-000D-0000-FFFF-FFFF00000000}"/>
  </bookViews>
  <sheets>
    <sheet name="Fabbricati" sheetId="1" r:id="rId1"/>
    <sheet name="Elettricità" sheetId="2" r:id="rId2"/>
    <sheet name="Calcolo" sheetId="3" r:id="rId3"/>
    <sheet name="_TemplateFabbricato (2)" sheetId="6" state="hidden" r:id="rId4"/>
    <sheet name="01" sheetId="5" r:id="rId5"/>
    <sheet name="02" sheetId="7" r:id="rId6"/>
    <sheet name="03" sheetId="8" r:id="rId7"/>
    <sheet name="04" sheetId="9" r:id="rId8"/>
    <sheet name="05" sheetId="10" r:id="rId9"/>
    <sheet name="06" sheetId="11" r:id="rId10"/>
    <sheet name="07" sheetId="12" r:id="rId11"/>
    <sheet name="08" sheetId="13" r:id="rId12"/>
    <sheet name="09" sheetId="14" r:id="rId13"/>
    <sheet name="10" sheetId="15" r:id="rId14"/>
    <sheet name="11" sheetId="16" r:id="rId15"/>
    <sheet name="12" sheetId="17" r:id="rId16"/>
    <sheet name="13" sheetId="18" r:id="rId17"/>
    <sheet name="14" sheetId="19" r:id="rId18"/>
    <sheet name="15" sheetId="20" r:id="rId19"/>
    <sheet name="16" sheetId="21" r:id="rId20"/>
    <sheet name="17" sheetId="22" r:id="rId21"/>
    <sheet name="18" sheetId="23" r:id="rId22"/>
    <sheet name="19" sheetId="24" r:id="rId23"/>
    <sheet name="20" sheetId="25" r:id="rId24"/>
    <sheet name="21" sheetId="26" r:id="rId25"/>
    <sheet name="22" sheetId="27" r:id="rId26"/>
    <sheet name="23" sheetId="28" r:id="rId27"/>
    <sheet name="24" sheetId="29" r:id="rId28"/>
    <sheet name="25" sheetId="30" r:id="rId29"/>
    <sheet name="26" sheetId="31" r:id="rId30"/>
    <sheet name="27" sheetId="32" r:id="rId31"/>
    <sheet name="28" sheetId="33" r:id="rId32"/>
    <sheet name="29" sheetId="34" r:id="rId33"/>
  </sheets>
  <externalReferences>
    <externalReference r:id="rId34"/>
  </externalReferences>
  <definedNames>
    <definedName name="_xlnm._FilterDatabase" localSheetId="2" hidden="1">Calcolo!$A$1:$AN$378</definedName>
    <definedName name="_xlnm._FilterDatabase" localSheetId="1" hidden="1">Elettricità!$A$1:$AI$345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I345" i="3" l="1"/>
  <c r="AH345" i="3"/>
  <c r="AB345" i="3"/>
  <c r="X345" i="3"/>
  <c r="W345" i="3"/>
  <c r="U345" i="3"/>
  <c r="AJ345" i="3" s="1"/>
  <c r="T345" i="3"/>
  <c r="AM345" i="3" s="1"/>
  <c r="S345" i="3"/>
  <c r="R345" i="3"/>
  <c r="Q345" i="3"/>
  <c r="P345" i="3"/>
  <c r="O345" i="3"/>
  <c r="AN345" i="3" s="1"/>
  <c r="N345" i="3"/>
  <c r="M345" i="3"/>
  <c r="L345" i="3"/>
  <c r="AE345" i="3" s="1"/>
  <c r="K345" i="3"/>
  <c r="J345" i="3"/>
  <c r="I345" i="3"/>
  <c r="H345" i="3"/>
  <c r="G345" i="3"/>
  <c r="AD345" i="3" s="1"/>
  <c r="F345" i="3"/>
  <c r="E345" i="3"/>
  <c r="Z345" i="3" s="1"/>
  <c r="AA345" i="3" s="1"/>
  <c r="D345" i="3"/>
  <c r="Y345" i="3" s="1"/>
  <c r="V345" i="3" s="1"/>
  <c r="C345" i="3"/>
  <c r="B345" i="3"/>
  <c r="A345" i="3"/>
  <c r="AH344" i="3"/>
  <c r="AB344" i="3"/>
  <c r="X344" i="3"/>
  <c r="W344" i="3"/>
  <c r="U344" i="3"/>
  <c r="AJ344" i="3" s="1"/>
  <c r="T344" i="3"/>
  <c r="AM344" i="3" s="1"/>
  <c r="S344" i="3"/>
  <c r="R344" i="3"/>
  <c r="Q344" i="3"/>
  <c r="AI344" i="3" s="1"/>
  <c r="P344" i="3"/>
  <c r="O344" i="3"/>
  <c r="AN344" i="3" s="1"/>
  <c r="N344" i="3"/>
  <c r="M344" i="3"/>
  <c r="L344" i="3"/>
  <c r="AE344" i="3" s="1"/>
  <c r="K344" i="3"/>
  <c r="J344" i="3"/>
  <c r="I344" i="3"/>
  <c r="H344" i="3"/>
  <c r="G344" i="3"/>
  <c r="AD344" i="3" s="1"/>
  <c r="F344" i="3"/>
  <c r="E344" i="3"/>
  <c r="Z344" i="3" s="1"/>
  <c r="AA344" i="3" s="1"/>
  <c r="D344" i="3"/>
  <c r="Y344" i="3" s="1"/>
  <c r="V344" i="3" s="1"/>
  <c r="C344" i="3"/>
  <c r="B344" i="3"/>
  <c r="A344" i="3"/>
  <c r="AJ343" i="3"/>
  <c r="AH343" i="3"/>
  <c r="X343" i="3"/>
  <c r="U343" i="3"/>
  <c r="T343" i="3"/>
  <c r="AM343" i="3" s="1"/>
  <c r="S343" i="3"/>
  <c r="R343" i="3"/>
  <c r="Q343" i="3"/>
  <c r="AI343" i="3" s="1"/>
  <c r="P343" i="3"/>
  <c r="O343" i="3"/>
  <c r="AN343" i="3" s="1"/>
  <c r="N343" i="3"/>
  <c r="M343" i="3"/>
  <c r="L343" i="3"/>
  <c r="AE343" i="3" s="1"/>
  <c r="K343" i="3"/>
  <c r="J343" i="3"/>
  <c r="I343" i="3"/>
  <c r="H343" i="3"/>
  <c r="AD343" i="3" s="1"/>
  <c r="G343" i="3"/>
  <c r="F343" i="3"/>
  <c r="AB343" i="3" s="1"/>
  <c r="E343" i="3"/>
  <c r="Z343" i="3" s="1"/>
  <c r="D343" i="3"/>
  <c r="Y343" i="3" s="1"/>
  <c r="V343" i="3" s="1"/>
  <c r="C343" i="3"/>
  <c r="B343" i="3"/>
  <c r="A343" i="3"/>
  <c r="W343" i="3" s="1"/>
  <c r="AH342" i="3"/>
  <c r="X342" i="3"/>
  <c r="U342" i="3"/>
  <c r="AJ342" i="3" s="1"/>
  <c r="T342" i="3"/>
  <c r="AM342" i="3" s="1"/>
  <c r="S342" i="3"/>
  <c r="R342" i="3"/>
  <c r="Q342" i="3"/>
  <c r="AI342" i="3" s="1"/>
  <c r="P342" i="3"/>
  <c r="O342" i="3"/>
  <c r="AN342" i="3" s="1"/>
  <c r="N342" i="3"/>
  <c r="M342" i="3"/>
  <c r="L342" i="3"/>
  <c r="AE342" i="3" s="1"/>
  <c r="K342" i="3"/>
  <c r="J342" i="3"/>
  <c r="I342" i="3"/>
  <c r="H342" i="3"/>
  <c r="AD342" i="3" s="1"/>
  <c r="G342" i="3"/>
  <c r="F342" i="3"/>
  <c r="AB342" i="3" s="1"/>
  <c r="E342" i="3"/>
  <c r="Z342" i="3" s="1"/>
  <c r="D342" i="3"/>
  <c r="Y342" i="3" s="1"/>
  <c r="V342" i="3" s="1"/>
  <c r="C342" i="3"/>
  <c r="B342" i="3"/>
  <c r="A342" i="3"/>
  <c r="W342" i="3" s="1"/>
  <c r="AH341" i="3"/>
  <c r="AE341" i="3"/>
  <c r="Y341" i="3"/>
  <c r="X341" i="3"/>
  <c r="W341" i="3"/>
  <c r="V341" i="3"/>
  <c r="U341" i="3"/>
  <c r="AJ341" i="3" s="1"/>
  <c r="T341" i="3"/>
  <c r="AM341" i="3" s="1"/>
  <c r="S341" i="3"/>
  <c r="R341" i="3"/>
  <c r="Q341" i="3"/>
  <c r="AI341" i="3" s="1"/>
  <c r="P341" i="3"/>
  <c r="O341" i="3"/>
  <c r="AN341" i="3" s="1"/>
  <c r="N341" i="3"/>
  <c r="M341" i="3"/>
  <c r="L341" i="3"/>
  <c r="K341" i="3"/>
  <c r="J341" i="3"/>
  <c r="I341" i="3"/>
  <c r="H341" i="3"/>
  <c r="G341" i="3"/>
  <c r="AD341" i="3" s="1"/>
  <c r="F341" i="3"/>
  <c r="AB341" i="3" s="1"/>
  <c r="E341" i="3"/>
  <c r="Z341" i="3" s="1"/>
  <c r="AA341" i="3" s="1"/>
  <c r="D341" i="3"/>
  <c r="C341" i="3"/>
  <c r="B341" i="3"/>
  <c r="A341" i="3"/>
  <c r="AI340" i="3"/>
  <c r="AH340" i="3"/>
  <c r="AE340" i="3"/>
  <c r="X340" i="3"/>
  <c r="W340" i="3"/>
  <c r="U340" i="3"/>
  <c r="AJ340" i="3" s="1"/>
  <c r="T340" i="3"/>
  <c r="AM340" i="3" s="1"/>
  <c r="S340" i="3"/>
  <c r="R340" i="3"/>
  <c r="Q340" i="3"/>
  <c r="P340" i="3"/>
  <c r="O340" i="3"/>
  <c r="AN340" i="3" s="1"/>
  <c r="N340" i="3"/>
  <c r="M340" i="3"/>
  <c r="L340" i="3"/>
  <c r="K340" i="3"/>
  <c r="J340" i="3"/>
  <c r="I340" i="3"/>
  <c r="H340" i="3"/>
  <c r="G340" i="3"/>
  <c r="AD340" i="3" s="1"/>
  <c r="F340" i="3"/>
  <c r="AB340" i="3" s="1"/>
  <c r="E340" i="3"/>
  <c r="Z340" i="3" s="1"/>
  <c r="AA340" i="3" s="1"/>
  <c r="D340" i="3"/>
  <c r="Y340" i="3" s="1"/>
  <c r="V340" i="3" s="1"/>
  <c r="C340" i="3"/>
  <c r="B340" i="3"/>
  <c r="A340" i="3"/>
  <c r="AH339" i="3"/>
  <c r="AD339" i="3"/>
  <c r="Y339" i="3"/>
  <c r="X339" i="3"/>
  <c r="V339" i="3"/>
  <c r="U339" i="3"/>
  <c r="AJ339" i="3" s="1"/>
  <c r="T339" i="3"/>
  <c r="AM339" i="3" s="1"/>
  <c r="S339" i="3"/>
  <c r="R339" i="3"/>
  <c r="Q339" i="3"/>
  <c r="AI339" i="3" s="1"/>
  <c r="P339" i="3"/>
  <c r="O339" i="3"/>
  <c r="AN339" i="3" s="1"/>
  <c r="N339" i="3"/>
  <c r="M339" i="3"/>
  <c r="AE339" i="3" s="1"/>
  <c r="L339" i="3"/>
  <c r="K339" i="3"/>
  <c r="J339" i="3"/>
  <c r="I339" i="3"/>
  <c r="H339" i="3"/>
  <c r="G339" i="3"/>
  <c r="F339" i="3"/>
  <c r="AB339" i="3" s="1"/>
  <c r="E339" i="3"/>
  <c r="Z339" i="3" s="1"/>
  <c r="AA339" i="3" s="1"/>
  <c r="D339" i="3"/>
  <c r="C339" i="3"/>
  <c r="B339" i="3"/>
  <c r="A339" i="3"/>
  <c r="W339" i="3" s="1"/>
  <c r="AI338" i="3"/>
  <c r="AH338" i="3"/>
  <c r="X338" i="3"/>
  <c r="W338" i="3"/>
  <c r="U338" i="3"/>
  <c r="AJ338" i="3" s="1"/>
  <c r="T338" i="3"/>
  <c r="AM338" i="3" s="1"/>
  <c r="S338" i="3"/>
  <c r="R338" i="3"/>
  <c r="Q338" i="3"/>
  <c r="P338" i="3"/>
  <c r="O338" i="3"/>
  <c r="AN338" i="3" s="1"/>
  <c r="N338" i="3"/>
  <c r="M338" i="3"/>
  <c r="L338" i="3"/>
  <c r="AE338" i="3" s="1"/>
  <c r="K338" i="3"/>
  <c r="J338" i="3"/>
  <c r="I338" i="3"/>
  <c r="H338" i="3"/>
  <c r="G338" i="3"/>
  <c r="AD338" i="3" s="1"/>
  <c r="F338" i="3"/>
  <c r="AB338" i="3" s="1"/>
  <c r="E338" i="3"/>
  <c r="Z338" i="3" s="1"/>
  <c r="D338" i="3"/>
  <c r="Y338" i="3" s="1"/>
  <c r="V338" i="3" s="1"/>
  <c r="C338" i="3"/>
  <c r="B338" i="3"/>
  <c r="A338" i="3"/>
  <c r="AI337" i="3"/>
  <c r="AH337" i="3"/>
  <c r="X337" i="3"/>
  <c r="W337" i="3"/>
  <c r="U337" i="3"/>
  <c r="AJ337" i="3" s="1"/>
  <c r="T337" i="3"/>
  <c r="AM337" i="3" s="1"/>
  <c r="S337" i="3"/>
  <c r="R337" i="3"/>
  <c r="Q337" i="3"/>
  <c r="P337" i="3"/>
  <c r="O337" i="3"/>
  <c r="AN337" i="3" s="1"/>
  <c r="N337" i="3"/>
  <c r="M337" i="3"/>
  <c r="L337" i="3"/>
  <c r="AE337" i="3" s="1"/>
  <c r="K337" i="3"/>
  <c r="J337" i="3"/>
  <c r="I337" i="3"/>
  <c r="H337" i="3"/>
  <c r="G337" i="3"/>
  <c r="AD337" i="3" s="1"/>
  <c r="F337" i="3"/>
  <c r="AB337" i="3" s="1"/>
  <c r="E337" i="3"/>
  <c r="Z337" i="3" s="1"/>
  <c r="AA337" i="3" s="1"/>
  <c r="D337" i="3"/>
  <c r="Y337" i="3" s="1"/>
  <c r="V337" i="3" s="1"/>
  <c r="C337" i="3"/>
  <c r="B337" i="3"/>
  <c r="A337" i="3"/>
  <c r="AH336" i="3"/>
  <c r="AE336" i="3"/>
  <c r="X336" i="3"/>
  <c r="U336" i="3"/>
  <c r="AJ336" i="3" s="1"/>
  <c r="T336" i="3"/>
  <c r="AM336" i="3" s="1"/>
  <c r="S336" i="3"/>
  <c r="R336" i="3"/>
  <c r="Q336" i="3"/>
  <c r="AI336" i="3" s="1"/>
  <c r="P336" i="3"/>
  <c r="O336" i="3"/>
  <c r="AN336" i="3" s="1"/>
  <c r="N336" i="3"/>
  <c r="M336" i="3"/>
  <c r="L336" i="3"/>
  <c r="K336" i="3"/>
  <c r="J336" i="3"/>
  <c r="I336" i="3"/>
  <c r="H336" i="3"/>
  <c r="AD336" i="3" s="1"/>
  <c r="G336" i="3"/>
  <c r="F336" i="3"/>
  <c r="AB336" i="3" s="1"/>
  <c r="E336" i="3"/>
  <c r="Z336" i="3" s="1"/>
  <c r="D336" i="3"/>
  <c r="Y336" i="3" s="1"/>
  <c r="V336" i="3" s="1"/>
  <c r="C336" i="3"/>
  <c r="B336" i="3"/>
  <c r="A336" i="3"/>
  <c r="W336" i="3" s="1"/>
  <c r="AJ335" i="3"/>
  <c r="AH335" i="3"/>
  <c r="AB335" i="3"/>
  <c r="X335" i="3"/>
  <c r="U335" i="3"/>
  <c r="T335" i="3"/>
  <c r="AM335" i="3" s="1"/>
  <c r="S335" i="3"/>
  <c r="R335" i="3"/>
  <c r="Q335" i="3"/>
  <c r="AI335" i="3" s="1"/>
  <c r="P335" i="3"/>
  <c r="O335" i="3"/>
  <c r="AN335" i="3" s="1"/>
  <c r="N335" i="3"/>
  <c r="M335" i="3"/>
  <c r="L335" i="3"/>
  <c r="AE335" i="3" s="1"/>
  <c r="K335" i="3"/>
  <c r="J335" i="3"/>
  <c r="I335" i="3"/>
  <c r="H335" i="3"/>
  <c r="G335" i="3"/>
  <c r="AD335" i="3" s="1"/>
  <c r="F335" i="3"/>
  <c r="E335" i="3"/>
  <c r="Z335" i="3" s="1"/>
  <c r="AA335" i="3" s="1"/>
  <c r="D335" i="3"/>
  <c r="Y335" i="3" s="1"/>
  <c r="V335" i="3" s="1"/>
  <c r="C335" i="3"/>
  <c r="B335" i="3"/>
  <c r="A335" i="3"/>
  <c r="W335" i="3" s="1"/>
  <c r="AH334" i="3"/>
  <c r="AE334" i="3"/>
  <c r="X334" i="3"/>
  <c r="U334" i="3"/>
  <c r="AJ334" i="3" s="1"/>
  <c r="T334" i="3"/>
  <c r="AM334" i="3" s="1"/>
  <c r="S334" i="3"/>
  <c r="R334" i="3"/>
  <c r="Q334" i="3"/>
  <c r="AI334" i="3" s="1"/>
  <c r="P334" i="3"/>
  <c r="O334" i="3"/>
  <c r="AN334" i="3" s="1"/>
  <c r="N334" i="3"/>
  <c r="M334" i="3"/>
  <c r="L334" i="3"/>
  <c r="K334" i="3"/>
  <c r="J334" i="3"/>
  <c r="I334" i="3"/>
  <c r="H334" i="3"/>
  <c r="AD334" i="3" s="1"/>
  <c r="G334" i="3"/>
  <c r="F334" i="3"/>
  <c r="AB334" i="3" s="1"/>
  <c r="E334" i="3"/>
  <c r="Z334" i="3" s="1"/>
  <c r="D334" i="3"/>
  <c r="Y334" i="3" s="1"/>
  <c r="V334" i="3" s="1"/>
  <c r="C334" i="3"/>
  <c r="B334" i="3"/>
  <c r="A334" i="3"/>
  <c r="W334" i="3" s="1"/>
  <c r="AI333" i="3"/>
  <c r="AH333" i="3"/>
  <c r="AE333" i="3"/>
  <c r="X333" i="3"/>
  <c r="W333" i="3"/>
  <c r="U333" i="3"/>
  <c r="AJ333" i="3" s="1"/>
  <c r="T333" i="3"/>
  <c r="AM333" i="3" s="1"/>
  <c r="S333" i="3"/>
  <c r="R333" i="3"/>
  <c r="Q333" i="3"/>
  <c r="P333" i="3"/>
  <c r="O333" i="3"/>
  <c r="AN333" i="3" s="1"/>
  <c r="N333" i="3"/>
  <c r="M333" i="3"/>
  <c r="L333" i="3"/>
  <c r="K333" i="3"/>
  <c r="J333" i="3"/>
  <c r="I333" i="3"/>
  <c r="H333" i="3"/>
  <c r="G333" i="3"/>
  <c r="AD333" i="3" s="1"/>
  <c r="F333" i="3"/>
  <c r="AB333" i="3" s="1"/>
  <c r="E333" i="3"/>
  <c r="Z333" i="3" s="1"/>
  <c r="AA333" i="3" s="1"/>
  <c r="D333" i="3"/>
  <c r="Y333" i="3" s="1"/>
  <c r="V333" i="3" s="1"/>
  <c r="C333" i="3"/>
  <c r="B333" i="3"/>
  <c r="A333" i="3"/>
  <c r="AJ332" i="3"/>
  <c r="AH332" i="3"/>
  <c r="AB332" i="3"/>
  <c r="Y332" i="3"/>
  <c r="V332" i="3" s="1"/>
  <c r="X332" i="3"/>
  <c r="U332" i="3"/>
  <c r="T332" i="3"/>
  <c r="AM332" i="3" s="1"/>
  <c r="S332" i="3"/>
  <c r="R332" i="3"/>
  <c r="Q332" i="3"/>
  <c r="AI332" i="3" s="1"/>
  <c r="P332" i="3"/>
  <c r="O332" i="3"/>
  <c r="AN332" i="3" s="1"/>
  <c r="N332" i="3"/>
  <c r="M332" i="3"/>
  <c r="L332" i="3"/>
  <c r="AE332" i="3" s="1"/>
  <c r="K332" i="3"/>
  <c r="J332" i="3"/>
  <c r="I332" i="3"/>
  <c r="H332" i="3"/>
  <c r="G332" i="3"/>
  <c r="AD332" i="3" s="1"/>
  <c r="F332" i="3"/>
  <c r="E332" i="3"/>
  <c r="Z332" i="3" s="1"/>
  <c r="AA332" i="3" s="1"/>
  <c r="D332" i="3"/>
  <c r="C332" i="3"/>
  <c r="B332" i="3"/>
  <c r="A332" i="3"/>
  <c r="W332" i="3" s="1"/>
  <c r="AH331" i="3"/>
  <c r="AE331" i="3"/>
  <c r="X331" i="3"/>
  <c r="U331" i="3"/>
  <c r="AJ331" i="3" s="1"/>
  <c r="T331" i="3"/>
  <c r="AM331" i="3" s="1"/>
  <c r="S331" i="3"/>
  <c r="R331" i="3"/>
  <c r="Q331" i="3"/>
  <c r="AI331" i="3" s="1"/>
  <c r="P331" i="3"/>
  <c r="O331" i="3"/>
  <c r="AN331" i="3" s="1"/>
  <c r="N331" i="3"/>
  <c r="M331" i="3"/>
  <c r="L331" i="3"/>
  <c r="K331" i="3"/>
  <c r="J331" i="3"/>
  <c r="I331" i="3"/>
  <c r="H331" i="3"/>
  <c r="AD331" i="3" s="1"/>
  <c r="G331" i="3"/>
  <c r="F331" i="3"/>
  <c r="AB331" i="3" s="1"/>
  <c r="E331" i="3"/>
  <c r="Z331" i="3" s="1"/>
  <c r="D331" i="3"/>
  <c r="Y331" i="3" s="1"/>
  <c r="V331" i="3" s="1"/>
  <c r="C331" i="3"/>
  <c r="B331" i="3"/>
  <c r="A331" i="3"/>
  <c r="W331" i="3" s="1"/>
  <c r="AH330" i="3"/>
  <c r="X330" i="3"/>
  <c r="U330" i="3"/>
  <c r="AJ330" i="3" s="1"/>
  <c r="T330" i="3"/>
  <c r="AM330" i="3" s="1"/>
  <c r="S330" i="3"/>
  <c r="R330" i="3"/>
  <c r="Q330" i="3"/>
  <c r="AI330" i="3" s="1"/>
  <c r="P330" i="3"/>
  <c r="O330" i="3"/>
  <c r="AN330" i="3" s="1"/>
  <c r="N330" i="3"/>
  <c r="M330" i="3"/>
  <c r="L330" i="3"/>
  <c r="AE330" i="3" s="1"/>
  <c r="K330" i="3"/>
  <c r="J330" i="3"/>
  <c r="I330" i="3"/>
  <c r="H330" i="3"/>
  <c r="AD330" i="3" s="1"/>
  <c r="G330" i="3"/>
  <c r="F330" i="3"/>
  <c r="AB330" i="3" s="1"/>
  <c r="E330" i="3"/>
  <c r="Z330" i="3" s="1"/>
  <c r="D330" i="3"/>
  <c r="Y330" i="3" s="1"/>
  <c r="V330" i="3" s="1"/>
  <c r="C330" i="3"/>
  <c r="B330" i="3"/>
  <c r="A330" i="3"/>
  <c r="W330" i="3" s="1"/>
  <c r="AH329" i="3"/>
  <c r="X329" i="3"/>
  <c r="U329" i="3"/>
  <c r="AJ329" i="3" s="1"/>
  <c r="T329" i="3"/>
  <c r="AM329" i="3" s="1"/>
  <c r="S329" i="3"/>
  <c r="R329" i="3"/>
  <c r="Q329" i="3"/>
  <c r="AI329" i="3" s="1"/>
  <c r="P329" i="3"/>
  <c r="O329" i="3"/>
  <c r="AN329" i="3" s="1"/>
  <c r="N329" i="3"/>
  <c r="M329" i="3"/>
  <c r="L329" i="3"/>
  <c r="AE329" i="3" s="1"/>
  <c r="K329" i="3"/>
  <c r="J329" i="3"/>
  <c r="I329" i="3"/>
  <c r="H329" i="3"/>
  <c r="AD329" i="3" s="1"/>
  <c r="G329" i="3"/>
  <c r="F329" i="3"/>
  <c r="AB329" i="3" s="1"/>
  <c r="E329" i="3"/>
  <c r="Z329" i="3" s="1"/>
  <c r="D329" i="3"/>
  <c r="Y329" i="3" s="1"/>
  <c r="V329" i="3" s="1"/>
  <c r="C329" i="3"/>
  <c r="B329" i="3"/>
  <c r="A329" i="3"/>
  <c r="W329" i="3" s="1"/>
  <c r="AI328" i="3"/>
  <c r="AH328" i="3"/>
  <c r="AB328" i="3"/>
  <c r="X328" i="3"/>
  <c r="W328" i="3"/>
  <c r="U328" i="3"/>
  <c r="AJ328" i="3" s="1"/>
  <c r="T328" i="3"/>
  <c r="AM328" i="3" s="1"/>
  <c r="S328" i="3"/>
  <c r="R328" i="3"/>
  <c r="Q328" i="3"/>
  <c r="P328" i="3"/>
  <c r="O328" i="3"/>
  <c r="AN328" i="3" s="1"/>
  <c r="N328" i="3"/>
  <c r="M328" i="3"/>
  <c r="L328" i="3"/>
  <c r="AE328" i="3" s="1"/>
  <c r="K328" i="3"/>
  <c r="J328" i="3"/>
  <c r="I328" i="3"/>
  <c r="H328" i="3"/>
  <c r="G328" i="3"/>
  <c r="AD328" i="3" s="1"/>
  <c r="F328" i="3"/>
  <c r="E328" i="3"/>
  <c r="Z328" i="3" s="1"/>
  <c r="D328" i="3"/>
  <c r="Y328" i="3" s="1"/>
  <c r="V328" i="3" s="1"/>
  <c r="C328" i="3"/>
  <c r="B328" i="3"/>
  <c r="A328" i="3"/>
  <c r="AJ327" i="3"/>
  <c r="AH327" i="3"/>
  <c r="AE327" i="3"/>
  <c r="X327" i="3"/>
  <c r="U327" i="3"/>
  <c r="T327" i="3"/>
  <c r="AM327" i="3" s="1"/>
  <c r="S327" i="3"/>
  <c r="R327" i="3"/>
  <c r="Q327" i="3"/>
  <c r="AI327" i="3" s="1"/>
  <c r="P327" i="3"/>
  <c r="O327" i="3"/>
  <c r="AN327" i="3" s="1"/>
  <c r="N327" i="3"/>
  <c r="M327" i="3"/>
  <c r="L327" i="3"/>
  <c r="K327" i="3"/>
  <c r="J327" i="3"/>
  <c r="I327" i="3"/>
  <c r="H327" i="3"/>
  <c r="AD327" i="3" s="1"/>
  <c r="G327" i="3"/>
  <c r="F327" i="3"/>
  <c r="AB327" i="3" s="1"/>
  <c r="E327" i="3"/>
  <c r="Z327" i="3" s="1"/>
  <c r="AA327" i="3" s="1"/>
  <c r="D327" i="3"/>
  <c r="Y327" i="3" s="1"/>
  <c r="V327" i="3" s="1"/>
  <c r="C327" i="3"/>
  <c r="B327" i="3"/>
  <c r="A327" i="3"/>
  <c r="W327" i="3" s="1"/>
  <c r="AH326" i="3"/>
  <c r="AE326" i="3"/>
  <c r="X326" i="3"/>
  <c r="U326" i="3"/>
  <c r="AJ326" i="3" s="1"/>
  <c r="T326" i="3"/>
  <c r="AM326" i="3" s="1"/>
  <c r="S326" i="3"/>
  <c r="R326" i="3"/>
  <c r="Q326" i="3"/>
  <c r="AI326" i="3" s="1"/>
  <c r="P326" i="3"/>
  <c r="O326" i="3"/>
  <c r="AN326" i="3" s="1"/>
  <c r="N326" i="3"/>
  <c r="M326" i="3"/>
  <c r="L326" i="3"/>
  <c r="K326" i="3"/>
  <c r="J326" i="3"/>
  <c r="I326" i="3"/>
  <c r="H326" i="3"/>
  <c r="AD326" i="3" s="1"/>
  <c r="G326" i="3"/>
  <c r="F326" i="3"/>
  <c r="AB326" i="3" s="1"/>
  <c r="E326" i="3"/>
  <c r="Z326" i="3" s="1"/>
  <c r="D326" i="3"/>
  <c r="Y326" i="3" s="1"/>
  <c r="V326" i="3" s="1"/>
  <c r="C326" i="3"/>
  <c r="B326" i="3"/>
  <c r="A326" i="3"/>
  <c r="W326" i="3" s="1"/>
  <c r="AH325" i="3"/>
  <c r="AE325" i="3"/>
  <c r="X325" i="3"/>
  <c r="U325" i="3"/>
  <c r="AJ325" i="3" s="1"/>
  <c r="T325" i="3"/>
  <c r="AM325" i="3" s="1"/>
  <c r="S325" i="3"/>
  <c r="R325" i="3"/>
  <c r="Q325" i="3"/>
  <c r="AI325" i="3" s="1"/>
  <c r="P325" i="3"/>
  <c r="O325" i="3"/>
  <c r="AN325" i="3" s="1"/>
  <c r="N325" i="3"/>
  <c r="M325" i="3"/>
  <c r="L325" i="3"/>
  <c r="K325" i="3"/>
  <c r="J325" i="3"/>
  <c r="I325" i="3"/>
  <c r="H325" i="3"/>
  <c r="AD325" i="3" s="1"/>
  <c r="G325" i="3"/>
  <c r="F325" i="3"/>
  <c r="AB325" i="3" s="1"/>
  <c r="E325" i="3"/>
  <c r="Z325" i="3" s="1"/>
  <c r="D325" i="3"/>
  <c r="Y325" i="3" s="1"/>
  <c r="V325" i="3" s="1"/>
  <c r="C325" i="3"/>
  <c r="B325" i="3"/>
  <c r="A325" i="3"/>
  <c r="W325" i="3" s="1"/>
  <c r="AH324" i="3"/>
  <c r="X324" i="3"/>
  <c r="U324" i="3"/>
  <c r="AJ324" i="3" s="1"/>
  <c r="T324" i="3"/>
  <c r="AM324" i="3" s="1"/>
  <c r="S324" i="3"/>
  <c r="R324" i="3"/>
  <c r="Q324" i="3"/>
  <c r="AI324" i="3" s="1"/>
  <c r="P324" i="3"/>
  <c r="O324" i="3"/>
  <c r="AN324" i="3" s="1"/>
  <c r="N324" i="3"/>
  <c r="M324" i="3"/>
  <c r="L324" i="3"/>
  <c r="AE324" i="3" s="1"/>
  <c r="K324" i="3"/>
  <c r="J324" i="3"/>
  <c r="I324" i="3"/>
  <c r="H324" i="3"/>
  <c r="AD324" i="3" s="1"/>
  <c r="G324" i="3"/>
  <c r="F324" i="3"/>
  <c r="AB324" i="3" s="1"/>
  <c r="E324" i="3"/>
  <c r="Z324" i="3" s="1"/>
  <c r="D324" i="3"/>
  <c r="Y324" i="3" s="1"/>
  <c r="V324" i="3" s="1"/>
  <c r="C324" i="3"/>
  <c r="B324" i="3"/>
  <c r="A324" i="3"/>
  <c r="W324" i="3" s="1"/>
  <c r="AH323" i="3"/>
  <c r="AD323" i="3"/>
  <c r="Y323" i="3"/>
  <c r="V323" i="3" s="1"/>
  <c r="X323" i="3"/>
  <c r="U323" i="3"/>
  <c r="AJ323" i="3" s="1"/>
  <c r="T323" i="3"/>
  <c r="AM323" i="3" s="1"/>
  <c r="S323" i="3"/>
  <c r="R323" i="3"/>
  <c r="Q323" i="3"/>
  <c r="AI323" i="3" s="1"/>
  <c r="P323" i="3"/>
  <c r="O323" i="3"/>
  <c r="AN323" i="3" s="1"/>
  <c r="N323" i="3"/>
  <c r="M323" i="3"/>
  <c r="AE323" i="3" s="1"/>
  <c r="L323" i="3"/>
  <c r="K323" i="3"/>
  <c r="J323" i="3"/>
  <c r="I323" i="3"/>
  <c r="H323" i="3"/>
  <c r="G323" i="3"/>
  <c r="F323" i="3"/>
  <c r="AB323" i="3" s="1"/>
  <c r="E323" i="3"/>
  <c r="Z323" i="3" s="1"/>
  <c r="AA323" i="3" s="1"/>
  <c r="D323" i="3"/>
  <c r="C323" i="3"/>
  <c r="B323" i="3"/>
  <c r="A323" i="3"/>
  <c r="W323" i="3" s="1"/>
  <c r="AI322" i="3"/>
  <c r="AH322" i="3"/>
  <c r="AE322" i="3"/>
  <c r="Z322" i="3"/>
  <c r="X322" i="3"/>
  <c r="W322" i="3"/>
  <c r="U322" i="3"/>
  <c r="AJ322" i="3" s="1"/>
  <c r="T322" i="3"/>
  <c r="AM322" i="3" s="1"/>
  <c r="S322" i="3"/>
  <c r="R322" i="3"/>
  <c r="Q322" i="3"/>
  <c r="P322" i="3"/>
  <c r="O322" i="3"/>
  <c r="AN322" i="3" s="1"/>
  <c r="N322" i="3"/>
  <c r="M322" i="3"/>
  <c r="L322" i="3"/>
  <c r="K322" i="3"/>
  <c r="J322" i="3"/>
  <c r="I322" i="3"/>
  <c r="H322" i="3"/>
  <c r="G322" i="3"/>
  <c r="AD322" i="3" s="1"/>
  <c r="F322" i="3"/>
  <c r="AB322" i="3" s="1"/>
  <c r="E322" i="3"/>
  <c r="D322" i="3"/>
  <c r="Y322" i="3" s="1"/>
  <c r="V322" i="3" s="1"/>
  <c r="C322" i="3"/>
  <c r="B322" i="3"/>
  <c r="A322" i="3"/>
  <c r="AJ321" i="3"/>
  <c r="AH321" i="3"/>
  <c r="AE321" i="3"/>
  <c r="Y321" i="3"/>
  <c r="X321" i="3"/>
  <c r="V321" i="3"/>
  <c r="U321" i="3"/>
  <c r="T321" i="3"/>
  <c r="AM321" i="3" s="1"/>
  <c r="S321" i="3"/>
  <c r="R321" i="3"/>
  <c r="Q321" i="3"/>
  <c r="AI321" i="3" s="1"/>
  <c r="P321" i="3"/>
  <c r="O321" i="3"/>
  <c r="AN321" i="3" s="1"/>
  <c r="N321" i="3"/>
  <c r="M321" i="3"/>
  <c r="L321" i="3"/>
  <c r="K321" i="3"/>
  <c r="J321" i="3"/>
  <c r="I321" i="3"/>
  <c r="H321" i="3"/>
  <c r="G321" i="3"/>
  <c r="AD321" i="3" s="1"/>
  <c r="F321" i="3"/>
  <c r="AB321" i="3" s="1"/>
  <c r="E321" i="3"/>
  <c r="Z321" i="3" s="1"/>
  <c r="AA321" i="3" s="1"/>
  <c r="D321" i="3"/>
  <c r="C321" i="3"/>
  <c r="B321" i="3"/>
  <c r="A321" i="3"/>
  <c r="W321" i="3" s="1"/>
  <c r="AH320" i="3"/>
  <c r="X320" i="3"/>
  <c r="U320" i="3"/>
  <c r="AJ320" i="3" s="1"/>
  <c r="T320" i="3"/>
  <c r="AM320" i="3" s="1"/>
  <c r="S320" i="3"/>
  <c r="R320" i="3"/>
  <c r="Q320" i="3"/>
  <c r="AI320" i="3" s="1"/>
  <c r="P320" i="3"/>
  <c r="O320" i="3"/>
  <c r="AN320" i="3" s="1"/>
  <c r="N320" i="3"/>
  <c r="M320" i="3"/>
  <c r="L320" i="3"/>
  <c r="AE320" i="3" s="1"/>
  <c r="K320" i="3"/>
  <c r="J320" i="3"/>
  <c r="I320" i="3"/>
  <c r="H320" i="3"/>
  <c r="AD320" i="3" s="1"/>
  <c r="G320" i="3"/>
  <c r="F320" i="3"/>
  <c r="AB320" i="3" s="1"/>
  <c r="E320" i="3"/>
  <c r="Z320" i="3" s="1"/>
  <c r="D320" i="3"/>
  <c r="Y320" i="3" s="1"/>
  <c r="V320" i="3" s="1"/>
  <c r="C320" i="3"/>
  <c r="B320" i="3"/>
  <c r="A320" i="3"/>
  <c r="W320" i="3" s="1"/>
  <c r="AJ319" i="3"/>
  <c r="AH319" i="3"/>
  <c r="AE319" i="3"/>
  <c r="Y319" i="3"/>
  <c r="V319" i="3" s="1"/>
  <c r="X319" i="3"/>
  <c r="U319" i="3"/>
  <c r="T319" i="3"/>
  <c r="AM319" i="3" s="1"/>
  <c r="S319" i="3"/>
  <c r="R319" i="3"/>
  <c r="Q319" i="3"/>
  <c r="AI319" i="3" s="1"/>
  <c r="P319" i="3"/>
  <c r="O319" i="3"/>
  <c r="AN319" i="3" s="1"/>
  <c r="N319" i="3"/>
  <c r="M319" i="3"/>
  <c r="L319" i="3"/>
  <c r="K319" i="3"/>
  <c r="J319" i="3"/>
  <c r="I319" i="3"/>
  <c r="H319" i="3"/>
  <c r="G319" i="3"/>
  <c r="AD319" i="3" s="1"/>
  <c r="F319" i="3"/>
  <c r="AB319" i="3" s="1"/>
  <c r="E319" i="3"/>
  <c r="Z319" i="3" s="1"/>
  <c r="AA319" i="3" s="1"/>
  <c r="D319" i="3"/>
  <c r="C319" i="3"/>
  <c r="B319" i="3"/>
  <c r="A319" i="3"/>
  <c r="W319" i="3" s="1"/>
  <c r="AH318" i="3"/>
  <c r="AB318" i="3"/>
  <c r="X318" i="3"/>
  <c r="W318" i="3"/>
  <c r="U318" i="3"/>
  <c r="AJ318" i="3" s="1"/>
  <c r="T318" i="3"/>
  <c r="AM318" i="3" s="1"/>
  <c r="S318" i="3"/>
  <c r="R318" i="3"/>
  <c r="Q318" i="3"/>
  <c r="AI318" i="3" s="1"/>
  <c r="P318" i="3"/>
  <c r="O318" i="3"/>
  <c r="AN318" i="3" s="1"/>
  <c r="N318" i="3"/>
  <c r="M318" i="3"/>
  <c r="L318" i="3"/>
  <c r="AE318" i="3" s="1"/>
  <c r="K318" i="3"/>
  <c r="J318" i="3"/>
  <c r="I318" i="3"/>
  <c r="H318" i="3"/>
  <c r="G318" i="3"/>
  <c r="AD318" i="3" s="1"/>
  <c r="F318" i="3"/>
  <c r="E318" i="3"/>
  <c r="Z318" i="3" s="1"/>
  <c r="D318" i="3"/>
  <c r="Y318" i="3" s="1"/>
  <c r="V318" i="3" s="1"/>
  <c r="C318" i="3"/>
  <c r="B318" i="3"/>
  <c r="A318" i="3"/>
  <c r="AI317" i="3"/>
  <c r="AH317" i="3"/>
  <c r="AE317" i="3"/>
  <c r="X317" i="3"/>
  <c r="W317" i="3"/>
  <c r="U317" i="3"/>
  <c r="AJ317" i="3" s="1"/>
  <c r="T317" i="3"/>
  <c r="AM317" i="3" s="1"/>
  <c r="S317" i="3"/>
  <c r="R317" i="3"/>
  <c r="Q317" i="3"/>
  <c r="P317" i="3"/>
  <c r="O317" i="3"/>
  <c r="AN317" i="3" s="1"/>
  <c r="N317" i="3"/>
  <c r="M317" i="3"/>
  <c r="L317" i="3"/>
  <c r="K317" i="3"/>
  <c r="J317" i="3"/>
  <c r="I317" i="3"/>
  <c r="H317" i="3"/>
  <c r="G317" i="3"/>
  <c r="AD317" i="3" s="1"/>
  <c r="F317" i="3"/>
  <c r="AB317" i="3" s="1"/>
  <c r="E317" i="3"/>
  <c r="Z317" i="3" s="1"/>
  <c r="AA317" i="3" s="1"/>
  <c r="D317" i="3"/>
  <c r="Y317" i="3" s="1"/>
  <c r="V317" i="3" s="1"/>
  <c r="C317" i="3"/>
  <c r="B317" i="3"/>
  <c r="A317" i="3"/>
  <c r="AH316" i="3"/>
  <c r="AB316" i="3"/>
  <c r="X316" i="3"/>
  <c r="W316" i="3"/>
  <c r="U316" i="3"/>
  <c r="AJ316" i="3" s="1"/>
  <c r="T316" i="3"/>
  <c r="AM316" i="3" s="1"/>
  <c r="S316" i="3"/>
  <c r="R316" i="3"/>
  <c r="Q316" i="3"/>
  <c r="AI316" i="3" s="1"/>
  <c r="P316" i="3"/>
  <c r="O316" i="3"/>
  <c r="AN316" i="3" s="1"/>
  <c r="N316" i="3"/>
  <c r="M316" i="3"/>
  <c r="L316" i="3"/>
  <c r="AE316" i="3" s="1"/>
  <c r="K316" i="3"/>
  <c r="J316" i="3"/>
  <c r="I316" i="3"/>
  <c r="H316" i="3"/>
  <c r="G316" i="3"/>
  <c r="AD316" i="3" s="1"/>
  <c r="F316" i="3"/>
  <c r="E316" i="3"/>
  <c r="Z316" i="3" s="1"/>
  <c r="AA316" i="3" s="1"/>
  <c r="D316" i="3"/>
  <c r="Y316" i="3" s="1"/>
  <c r="V316" i="3" s="1"/>
  <c r="C316" i="3"/>
  <c r="B316" i="3"/>
  <c r="A316" i="3"/>
  <c r="AH315" i="3"/>
  <c r="AE315" i="3"/>
  <c r="X315" i="3"/>
  <c r="U315" i="3"/>
  <c r="AJ315" i="3" s="1"/>
  <c r="T315" i="3"/>
  <c r="AM315" i="3" s="1"/>
  <c r="S315" i="3"/>
  <c r="R315" i="3"/>
  <c r="Q315" i="3"/>
  <c r="AI315" i="3" s="1"/>
  <c r="P315" i="3"/>
  <c r="O315" i="3"/>
  <c r="AN315" i="3" s="1"/>
  <c r="N315" i="3"/>
  <c r="M315" i="3"/>
  <c r="L315" i="3"/>
  <c r="K315" i="3"/>
  <c r="J315" i="3"/>
  <c r="I315" i="3"/>
  <c r="H315" i="3"/>
  <c r="AD315" i="3" s="1"/>
  <c r="G315" i="3"/>
  <c r="F315" i="3"/>
  <c r="AB315" i="3" s="1"/>
  <c r="E315" i="3"/>
  <c r="Z315" i="3" s="1"/>
  <c r="D315" i="3"/>
  <c r="Y315" i="3" s="1"/>
  <c r="V315" i="3" s="1"/>
  <c r="C315" i="3"/>
  <c r="B315" i="3"/>
  <c r="A315" i="3"/>
  <c r="W315" i="3" s="1"/>
  <c r="AJ314" i="3"/>
  <c r="AH314" i="3"/>
  <c r="AE314" i="3"/>
  <c r="Y314" i="3"/>
  <c r="V314" i="3" s="1"/>
  <c r="X314" i="3"/>
  <c r="U314" i="3"/>
  <c r="T314" i="3"/>
  <c r="AM314" i="3" s="1"/>
  <c r="S314" i="3"/>
  <c r="R314" i="3"/>
  <c r="Q314" i="3"/>
  <c r="AI314" i="3" s="1"/>
  <c r="P314" i="3"/>
  <c r="O314" i="3"/>
  <c r="AN314" i="3" s="1"/>
  <c r="N314" i="3"/>
  <c r="M314" i="3"/>
  <c r="L314" i="3"/>
  <c r="K314" i="3"/>
  <c r="J314" i="3"/>
  <c r="I314" i="3"/>
  <c r="H314" i="3"/>
  <c r="G314" i="3"/>
  <c r="AD314" i="3" s="1"/>
  <c r="F314" i="3"/>
  <c r="AB314" i="3" s="1"/>
  <c r="E314" i="3"/>
  <c r="Z314" i="3" s="1"/>
  <c r="AA314" i="3" s="1"/>
  <c r="D314" i="3"/>
  <c r="C314" i="3"/>
  <c r="B314" i="3"/>
  <c r="A314" i="3"/>
  <c r="W314" i="3" s="1"/>
  <c r="AH313" i="3"/>
  <c r="AE313" i="3"/>
  <c r="Y313" i="3"/>
  <c r="X313" i="3"/>
  <c r="W313" i="3"/>
  <c r="V313" i="3"/>
  <c r="U313" i="3"/>
  <c r="AJ313" i="3" s="1"/>
  <c r="T313" i="3"/>
  <c r="AM313" i="3" s="1"/>
  <c r="S313" i="3"/>
  <c r="R313" i="3"/>
  <c r="Q313" i="3"/>
  <c r="AI313" i="3" s="1"/>
  <c r="P313" i="3"/>
  <c r="O313" i="3"/>
  <c r="AN313" i="3" s="1"/>
  <c r="N313" i="3"/>
  <c r="M313" i="3"/>
  <c r="L313" i="3"/>
  <c r="K313" i="3"/>
  <c r="J313" i="3"/>
  <c r="I313" i="3"/>
  <c r="H313" i="3"/>
  <c r="G313" i="3"/>
  <c r="AD313" i="3" s="1"/>
  <c r="F313" i="3"/>
  <c r="AB313" i="3" s="1"/>
  <c r="E313" i="3"/>
  <c r="Z313" i="3" s="1"/>
  <c r="AA313" i="3" s="1"/>
  <c r="D313" i="3"/>
  <c r="C313" i="3"/>
  <c r="B313" i="3"/>
  <c r="A313" i="3"/>
  <c r="AJ312" i="3"/>
  <c r="AH312" i="3"/>
  <c r="AB312" i="3"/>
  <c r="X312" i="3"/>
  <c r="W312" i="3"/>
  <c r="U312" i="3"/>
  <c r="T312" i="3"/>
  <c r="AM312" i="3" s="1"/>
  <c r="S312" i="3"/>
  <c r="R312" i="3"/>
  <c r="Q312" i="3"/>
  <c r="AI312" i="3" s="1"/>
  <c r="P312" i="3"/>
  <c r="O312" i="3"/>
  <c r="AN312" i="3" s="1"/>
  <c r="N312" i="3"/>
  <c r="M312" i="3"/>
  <c r="L312" i="3"/>
  <c r="AE312" i="3" s="1"/>
  <c r="K312" i="3"/>
  <c r="J312" i="3"/>
  <c r="I312" i="3"/>
  <c r="H312" i="3"/>
  <c r="G312" i="3"/>
  <c r="AD312" i="3" s="1"/>
  <c r="F312" i="3"/>
  <c r="E312" i="3"/>
  <c r="Z312" i="3" s="1"/>
  <c r="AA312" i="3" s="1"/>
  <c r="D312" i="3"/>
  <c r="Y312" i="3" s="1"/>
  <c r="V312" i="3" s="1"/>
  <c r="C312" i="3"/>
  <c r="B312" i="3"/>
  <c r="A312" i="3"/>
  <c r="AH311" i="3"/>
  <c r="AB311" i="3"/>
  <c r="X311" i="3"/>
  <c r="U311" i="3"/>
  <c r="AJ311" i="3" s="1"/>
  <c r="T311" i="3"/>
  <c r="AM311" i="3" s="1"/>
  <c r="S311" i="3"/>
  <c r="R311" i="3"/>
  <c r="Q311" i="3"/>
  <c r="AI311" i="3" s="1"/>
  <c r="P311" i="3"/>
  <c r="O311" i="3"/>
  <c r="AN311" i="3" s="1"/>
  <c r="N311" i="3"/>
  <c r="M311" i="3"/>
  <c r="L311" i="3"/>
  <c r="AE311" i="3" s="1"/>
  <c r="K311" i="3"/>
  <c r="J311" i="3"/>
  <c r="I311" i="3"/>
  <c r="H311" i="3"/>
  <c r="AD311" i="3" s="1"/>
  <c r="G311" i="3"/>
  <c r="F311" i="3"/>
  <c r="E311" i="3"/>
  <c r="Z311" i="3" s="1"/>
  <c r="D311" i="3"/>
  <c r="Y311" i="3" s="1"/>
  <c r="V311" i="3" s="1"/>
  <c r="C311" i="3"/>
  <c r="B311" i="3"/>
  <c r="A311" i="3"/>
  <c r="W311" i="3" s="1"/>
  <c r="AH310" i="3"/>
  <c r="AD310" i="3"/>
  <c r="Y310" i="3"/>
  <c r="X310" i="3"/>
  <c r="V310" i="3"/>
  <c r="U310" i="3"/>
  <c r="AJ310" i="3" s="1"/>
  <c r="T310" i="3"/>
  <c r="AM310" i="3" s="1"/>
  <c r="S310" i="3"/>
  <c r="R310" i="3"/>
  <c r="Q310" i="3"/>
  <c r="AI310" i="3" s="1"/>
  <c r="P310" i="3"/>
  <c r="O310" i="3"/>
  <c r="AN310" i="3" s="1"/>
  <c r="N310" i="3"/>
  <c r="M310" i="3"/>
  <c r="AE310" i="3" s="1"/>
  <c r="L310" i="3"/>
  <c r="K310" i="3"/>
  <c r="J310" i="3"/>
  <c r="I310" i="3"/>
  <c r="H310" i="3"/>
  <c r="G310" i="3"/>
  <c r="F310" i="3"/>
  <c r="AB310" i="3" s="1"/>
  <c r="E310" i="3"/>
  <c r="Z310" i="3" s="1"/>
  <c r="AA310" i="3" s="1"/>
  <c r="D310" i="3"/>
  <c r="C310" i="3"/>
  <c r="B310" i="3"/>
  <c r="A310" i="3"/>
  <c r="W310" i="3" s="1"/>
  <c r="AJ309" i="3"/>
  <c r="AH309" i="3"/>
  <c r="AE309" i="3"/>
  <c r="Y309" i="3"/>
  <c r="V309" i="3" s="1"/>
  <c r="X309" i="3"/>
  <c r="U309" i="3"/>
  <c r="T309" i="3"/>
  <c r="AM309" i="3" s="1"/>
  <c r="S309" i="3"/>
  <c r="R309" i="3"/>
  <c r="Q309" i="3"/>
  <c r="AI309" i="3" s="1"/>
  <c r="P309" i="3"/>
  <c r="O309" i="3"/>
  <c r="AN309" i="3" s="1"/>
  <c r="N309" i="3"/>
  <c r="M309" i="3"/>
  <c r="L309" i="3"/>
  <c r="K309" i="3"/>
  <c r="J309" i="3"/>
  <c r="I309" i="3"/>
  <c r="H309" i="3"/>
  <c r="AD309" i="3" s="1"/>
  <c r="G309" i="3"/>
  <c r="F309" i="3"/>
  <c r="AB309" i="3" s="1"/>
  <c r="E309" i="3"/>
  <c r="Z309" i="3" s="1"/>
  <c r="AA309" i="3" s="1"/>
  <c r="D309" i="3"/>
  <c r="C309" i="3"/>
  <c r="B309" i="3"/>
  <c r="A309" i="3"/>
  <c r="W309" i="3" s="1"/>
  <c r="AH308" i="3"/>
  <c r="AD308" i="3"/>
  <c r="Y308" i="3"/>
  <c r="X308" i="3"/>
  <c r="V308" i="3"/>
  <c r="U308" i="3"/>
  <c r="AJ308" i="3" s="1"/>
  <c r="T308" i="3"/>
  <c r="AM308" i="3" s="1"/>
  <c r="S308" i="3"/>
  <c r="R308" i="3"/>
  <c r="Q308" i="3"/>
  <c r="AI308" i="3" s="1"/>
  <c r="P308" i="3"/>
  <c r="O308" i="3"/>
  <c r="AN308" i="3" s="1"/>
  <c r="N308" i="3"/>
  <c r="M308" i="3"/>
  <c r="AE308" i="3" s="1"/>
  <c r="L308" i="3"/>
  <c r="K308" i="3"/>
  <c r="J308" i="3"/>
  <c r="I308" i="3"/>
  <c r="H308" i="3"/>
  <c r="G308" i="3"/>
  <c r="F308" i="3"/>
  <c r="AB308" i="3" s="1"/>
  <c r="E308" i="3"/>
  <c r="Z308" i="3" s="1"/>
  <c r="AA308" i="3" s="1"/>
  <c r="D308" i="3"/>
  <c r="C308" i="3"/>
  <c r="B308" i="3"/>
  <c r="A308" i="3"/>
  <c r="W308" i="3" s="1"/>
  <c r="AH307" i="3"/>
  <c r="AD307" i="3"/>
  <c r="Y307" i="3"/>
  <c r="X307" i="3"/>
  <c r="V307" i="3"/>
  <c r="U307" i="3"/>
  <c r="AJ307" i="3" s="1"/>
  <c r="T307" i="3"/>
  <c r="AM307" i="3" s="1"/>
  <c r="S307" i="3"/>
  <c r="R307" i="3"/>
  <c r="Q307" i="3"/>
  <c r="AI307" i="3" s="1"/>
  <c r="P307" i="3"/>
  <c r="O307" i="3"/>
  <c r="AN307" i="3" s="1"/>
  <c r="N307" i="3"/>
  <c r="M307" i="3"/>
  <c r="AE307" i="3" s="1"/>
  <c r="L307" i="3"/>
  <c r="K307" i="3"/>
  <c r="J307" i="3"/>
  <c r="I307" i="3"/>
  <c r="H307" i="3"/>
  <c r="G307" i="3"/>
  <c r="F307" i="3"/>
  <c r="AB307" i="3" s="1"/>
  <c r="E307" i="3"/>
  <c r="Z307" i="3" s="1"/>
  <c r="AA307" i="3" s="1"/>
  <c r="D307" i="3"/>
  <c r="C307" i="3"/>
  <c r="B307" i="3"/>
  <c r="A307" i="3"/>
  <c r="W307" i="3" s="1"/>
  <c r="AH306" i="3"/>
  <c r="AE306" i="3"/>
  <c r="W306" i="3"/>
  <c r="U306" i="3"/>
  <c r="AJ306" i="3" s="1"/>
  <c r="T306" i="3"/>
  <c r="AM306" i="3" s="1"/>
  <c r="S306" i="3"/>
  <c r="R306" i="3"/>
  <c r="Q306" i="3"/>
  <c r="AI306" i="3" s="1"/>
  <c r="P306" i="3"/>
  <c r="O306" i="3"/>
  <c r="AN306" i="3" s="1"/>
  <c r="N306" i="3"/>
  <c r="M306" i="3"/>
  <c r="L306" i="3"/>
  <c r="K306" i="3"/>
  <c r="J306" i="3"/>
  <c r="I306" i="3"/>
  <c r="H306" i="3"/>
  <c r="G306" i="3"/>
  <c r="AD306" i="3" s="1"/>
  <c r="F306" i="3"/>
  <c r="AB306" i="3" s="1"/>
  <c r="E306" i="3"/>
  <c r="Z306" i="3" s="1"/>
  <c r="D306" i="3"/>
  <c r="Y306" i="3" s="1"/>
  <c r="V306" i="3" s="1"/>
  <c r="C306" i="3"/>
  <c r="X306" i="3" s="1"/>
  <c r="B306" i="3"/>
  <c r="A306" i="3"/>
  <c r="AH305" i="3"/>
  <c r="AD305" i="3"/>
  <c r="Y305" i="3"/>
  <c r="X305" i="3"/>
  <c r="V305" i="3"/>
  <c r="U305" i="3"/>
  <c r="AJ305" i="3" s="1"/>
  <c r="T305" i="3"/>
  <c r="AM305" i="3" s="1"/>
  <c r="S305" i="3"/>
  <c r="R305" i="3"/>
  <c r="Q305" i="3"/>
  <c r="AI305" i="3" s="1"/>
  <c r="P305" i="3"/>
  <c r="O305" i="3"/>
  <c r="AN305" i="3" s="1"/>
  <c r="N305" i="3"/>
  <c r="M305" i="3"/>
  <c r="AE305" i="3" s="1"/>
  <c r="L305" i="3"/>
  <c r="K305" i="3"/>
  <c r="J305" i="3"/>
  <c r="I305" i="3"/>
  <c r="H305" i="3"/>
  <c r="G305" i="3"/>
  <c r="F305" i="3"/>
  <c r="AB305" i="3" s="1"/>
  <c r="E305" i="3"/>
  <c r="Z305" i="3" s="1"/>
  <c r="AA305" i="3" s="1"/>
  <c r="D305" i="3"/>
  <c r="C305" i="3"/>
  <c r="B305" i="3"/>
  <c r="A305" i="3"/>
  <c r="W305" i="3" s="1"/>
  <c r="AI304" i="3"/>
  <c r="AH304" i="3"/>
  <c r="Y304" i="3"/>
  <c r="X304" i="3"/>
  <c r="V304" i="3"/>
  <c r="U304" i="3"/>
  <c r="AJ304" i="3" s="1"/>
  <c r="T304" i="3"/>
  <c r="AM304" i="3" s="1"/>
  <c r="S304" i="3"/>
  <c r="R304" i="3"/>
  <c r="Q304" i="3"/>
  <c r="P304" i="3"/>
  <c r="O304" i="3"/>
  <c r="AN304" i="3" s="1"/>
  <c r="N304" i="3"/>
  <c r="M304" i="3"/>
  <c r="AE304" i="3" s="1"/>
  <c r="L304" i="3"/>
  <c r="K304" i="3"/>
  <c r="J304" i="3"/>
  <c r="I304" i="3"/>
  <c r="H304" i="3"/>
  <c r="AD304" i="3" s="1"/>
  <c r="G304" i="3"/>
  <c r="F304" i="3"/>
  <c r="AB304" i="3" s="1"/>
  <c r="E304" i="3"/>
  <c r="Z304" i="3" s="1"/>
  <c r="AA304" i="3" s="1"/>
  <c r="D304" i="3"/>
  <c r="C304" i="3"/>
  <c r="B304" i="3"/>
  <c r="A304" i="3"/>
  <c r="W304" i="3" s="1"/>
  <c r="AH303" i="3"/>
  <c r="Y303" i="3"/>
  <c r="V303" i="3" s="1"/>
  <c r="X303" i="3"/>
  <c r="U303" i="3"/>
  <c r="AJ303" i="3" s="1"/>
  <c r="T303" i="3"/>
  <c r="AM303" i="3" s="1"/>
  <c r="S303" i="3"/>
  <c r="R303" i="3"/>
  <c r="Q303" i="3"/>
  <c r="AI303" i="3" s="1"/>
  <c r="P303" i="3"/>
  <c r="O303" i="3"/>
  <c r="AN303" i="3" s="1"/>
  <c r="N303" i="3"/>
  <c r="M303" i="3"/>
  <c r="AE303" i="3" s="1"/>
  <c r="L303" i="3"/>
  <c r="K303" i="3"/>
  <c r="J303" i="3"/>
  <c r="I303" i="3"/>
  <c r="AD303" i="3" s="1"/>
  <c r="H303" i="3"/>
  <c r="G303" i="3"/>
  <c r="F303" i="3"/>
  <c r="AB303" i="3" s="1"/>
  <c r="E303" i="3"/>
  <c r="Z303" i="3" s="1"/>
  <c r="AA303" i="3" s="1"/>
  <c r="D303" i="3"/>
  <c r="C303" i="3"/>
  <c r="B303" i="3"/>
  <c r="A303" i="3"/>
  <c r="W303" i="3" s="1"/>
  <c r="AJ302" i="3"/>
  <c r="AH302" i="3"/>
  <c r="AE302" i="3"/>
  <c r="Y302" i="3"/>
  <c r="X302" i="3"/>
  <c r="V302" i="3"/>
  <c r="U302" i="3"/>
  <c r="T302" i="3"/>
  <c r="AM302" i="3" s="1"/>
  <c r="S302" i="3"/>
  <c r="R302" i="3"/>
  <c r="Q302" i="3"/>
  <c r="AI302" i="3" s="1"/>
  <c r="P302" i="3"/>
  <c r="O302" i="3"/>
  <c r="AN302" i="3" s="1"/>
  <c r="N302" i="3"/>
  <c r="M302" i="3"/>
  <c r="L302" i="3"/>
  <c r="K302" i="3"/>
  <c r="J302" i="3"/>
  <c r="I302" i="3"/>
  <c r="H302" i="3"/>
  <c r="G302" i="3"/>
  <c r="AD302" i="3" s="1"/>
  <c r="F302" i="3"/>
  <c r="AB302" i="3" s="1"/>
  <c r="E302" i="3"/>
  <c r="Z302" i="3" s="1"/>
  <c r="AA302" i="3" s="1"/>
  <c r="D302" i="3"/>
  <c r="C302" i="3"/>
  <c r="B302" i="3"/>
  <c r="A302" i="3"/>
  <c r="W302" i="3" s="1"/>
  <c r="AH301" i="3"/>
  <c r="Y301" i="3"/>
  <c r="V301" i="3" s="1"/>
  <c r="X301" i="3"/>
  <c r="U301" i="3"/>
  <c r="AJ301" i="3" s="1"/>
  <c r="T301" i="3"/>
  <c r="AM301" i="3" s="1"/>
  <c r="S301" i="3"/>
  <c r="R301" i="3"/>
  <c r="Q301" i="3"/>
  <c r="AI301" i="3" s="1"/>
  <c r="P301" i="3"/>
  <c r="O301" i="3"/>
  <c r="AN301" i="3" s="1"/>
  <c r="N301" i="3"/>
  <c r="M301" i="3"/>
  <c r="AE301" i="3" s="1"/>
  <c r="L301" i="3"/>
  <c r="K301" i="3"/>
  <c r="J301" i="3"/>
  <c r="I301" i="3"/>
  <c r="H301" i="3"/>
  <c r="G301" i="3"/>
  <c r="AD301" i="3" s="1"/>
  <c r="F301" i="3"/>
  <c r="AB301" i="3" s="1"/>
  <c r="E301" i="3"/>
  <c r="Z301" i="3" s="1"/>
  <c r="AA301" i="3" s="1"/>
  <c r="D301" i="3"/>
  <c r="C301" i="3"/>
  <c r="B301" i="3"/>
  <c r="A301" i="3"/>
  <c r="W301" i="3" s="1"/>
  <c r="AH300" i="3"/>
  <c r="AE300" i="3"/>
  <c r="X300" i="3"/>
  <c r="W300" i="3"/>
  <c r="U300" i="3"/>
  <c r="AJ300" i="3" s="1"/>
  <c r="T300" i="3"/>
  <c r="AM300" i="3" s="1"/>
  <c r="S300" i="3"/>
  <c r="R300" i="3"/>
  <c r="Q300" i="3"/>
  <c r="AI300" i="3" s="1"/>
  <c r="P300" i="3"/>
  <c r="O300" i="3"/>
  <c r="AN300" i="3" s="1"/>
  <c r="N300" i="3"/>
  <c r="M300" i="3"/>
  <c r="L300" i="3"/>
  <c r="K300" i="3"/>
  <c r="J300" i="3"/>
  <c r="I300" i="3"/>
  <c r="H300" i="3"/>
  <c r="G300" i="3"/>
  <c r="AD300" i="3" s="1"/>
  <c r="F300" i="3"/>
  <c r="AB300" i="3" s="1"/>
  <c r="E300" i="3"/>
  <c r="Z300" i="3" s="1"/>
  <c r="D300" i="3"/>
  <c r="Y300" i="3" s="1"/>
  <c r="V300" i="3" s="1"/>
  <c r="C300" i="3"/>
  <c r="B300" i="3"/>
  <c r="A300" i="3"/>
  <c r="AH299" i="3"/>
  <c r="X299" i="3"/>
  <c r="W299" i="3"/>
  <c r="U299" i="3"/>
  <c r="AJ299" i="3" s="1"/>
  <c r="T299" i="3"/>
  <c r="AM299" i="3" s="1"/>
  <c r="S299" i="3"/>
  <c r="R299" i="3"/>
  <c r="Q299" i="3"/>
  <c r="AI299" i="3" s="1"/>
  <c r="P299" i="3"/>
  <c r="O299" i="3"/>
  <c r="AN299" i="3" s="1"/>
  <c r="N299" i="3"/>
  <c r="M299" i="3"/>
  <c r="AE299" i="3" s="1"/>
  <c r="L299" i="3"/>
  <c r="K299" i="3"/>
  <c r="J299" i="3"/>
  <c r="I299" i="3"/>
  <c r="H299" i="3"/>
  <c r="G299" i="3"/>
  <c r="AD299" i="3" s="1"/>
  <c r="F299" i="3"/>
  <c r="AB299" i="3" s="1"/>
  <c r="E299" i="3"/>
  <c r="Z299" i="3" s="1"/>
  <c r="D299" i="3"/>
  <c r="Y299" i="3" s="1"/>
  <c r="V299" i="3" s="1"/>
  <c r="C299" i="3"/>
  <c r="B299" i="3"/>
  <c r="A299" i="3"/>
  <c r="AH298" i="3"/>
  <c r="AD298" i="3"/>
  <c r="Y298" i="3"/>
  <c r="X298" i="3"/>
  <c r="V298" i="3"/>
  <c r="U298" i="3"/>
  <c r="AJ298" i="3" s="1"/>
  <c r="T298" i="3"/>
  <c r="AM298" i="3" s="1"/>
  <c r="S298" i="3"/>
  <c r="R298" i="3"/>
  <c r="Q298" i="3"/>
  <c r="AI298" i="3" s="1"/>
  <c r="P298" i="3"/>
  <c r="O298" i="3"/>
  <c r="AN298" i="3" s="1"/>
  <c r="N298" i="3"/>
  <c r="M298" i="3"/>
  <c r="AE298" i="3" s="1"/>
  <c r="L298" i="3"/>
  <c r="K298" i="3"/>
  <c r="J298" i="3"/>
  <c r="I298" i="3"/>
  <c r="H298" i="3"/>
  <c r="G298" i="3"/>
  <c r="F298" i="3"/>
  <c r="AB298" i="3" s="1"/>
  <c r="E298" i="3"/>
  <c r="Z298" i="3" s="1"/>
  <c r="AA298" i="3" s="1"/>
  <c r="D298" i="3"/>
  <c r="C298" i="3"/>
  <c r="B298" i="3"/>
  <c r="A298" i="3"/>
  <c r="W298" i="3" s="1"/>
  <c r="AI297" i="3"/>
  <c r="AH297" i="3"/>
  <c r="W297" i="3"/>
  <c r="U297" i="3"/>
  <c r="AJ297" i="3" s="1"/>
  <c r="T297" i="3"/>
  <c r="AM297" i="3" s="1"/>
  <c r="S297" i="3"/>
  <c r="R297" i="3"/>
  <c r="Q297" i="3"/>
  <c r="P297" i="3"/>
  <c r="O297" i="3"/>
  <c r="AN297" i="3" s="1"/>
  <c r="N297" i="3"/>
  <c r="M297" i="3"/>
  <c r="AE297" i="3" s="1"/>
  <c r="L297" i="3"/>
  <c r="K297" i="3"/>
  <c r="J297" i="3"/>
  <c r="I297" i="3"/>
  <c r="H297" i="3"/>
  <c r="G297" i="3"/>
  <c r="AD297" i="3" s="1"/>
  <c r="F297" i="3"/>
  <c r="AB297" i="3" s="1"/>
  <c r="E297" i="3"/>
  <c r="Z297" i="3" s="1"/>
  <c r="D297" i="3"/>
  <c r="Y297" i="3" s="1"/>
  <c r="V297" i="3" s="1"/>
  <c r="C297" i="3"/>
  <c r="X297" i="3" s="1"/>
  <c r="B297" i="3"/>
  <c r="A297" i="3"/>
  <c r="AH296" i="3"/>
  <c r="Y296" i="3"/>
  <c r="X296" i="3"/>
  <c r="W296" i="3"/>
  <c r="V296" i="3"/>
  <c r="U296" i="3"/>
  <c r="AJ296" i="3" s="1"/>
  <c r="T296" i="3"/>
  <c r="AM296" i="3" s="1"/>
  <c r="S296" i="3"/>
  <c r="R296" i="3"/>
  <c r="Q296" i="3"/>
  <c r="AI296" i="3" s="1"/>
  <c r="P296" i="3"/>
  <c r="O296" i="3"/>
  <c r="AN296" i="3" s="1"/>
  <c r="N296" i="3"/>
  <c r="M296" i="3"/>
  <c r="AE296" i="3" s="1"/>
  <c r="L296" i="3"/>
  <c r="K296" i="3"/>
  <c r="J296" i="3"/>
  <c r="I296" i="3"/>
  <c r="H296" i="3"/>
  <c r="G296" i="3"/>
  <c r="AD296" i="3" s="1"/>
  <c r="F296" i="3"/>
  <c r="AB296" i="3" s="1"/>
  <c r="E296" i="3"/>
  <c r="Z296" i="3" s="1"/>
  <c r="AA296" i="3" s="1"/>
  <c r="D296" i="3"/>
  <c r="C296" i="3"/>
  <c r="B296" i="3"/>
  <c r="A296" i="3"/>
  <c r="AI295" i="3"/>
  <c r="AH295" i="3"/>
  <c r="Y295" i="3"/>
  <c r="X295" i="3"/>
  <c r="W295" i="3"/>
  <c r="V295" i="3"/>
  <c r="U295" i="3"/>
  <c r="AJ295" i="3" s="1"/>
  <c r="T295" i="3"/>
  <c r="AM295" i="3" s="1"/>
  <c r="S295" i="3"/>
  <c r="R295" i="3"/>
  <c r="Q295" i="3"/>
  <c r="P295" i="3"/>
  <c r="O295" i="3"/>
  <c r="AN295" i="3" s="1"/>
  <c r="N295" i="3"/>
  <c r="M295" i="3"/>
  <c r="AE295" i="3" s="1"/>
  <c r="L295" i="3"/>
  <c r="K295" i="3"/>
  <c r="J295" i="3"/>
  <c r="I295" i="3"/>
  <c r="H295" i="3"/>
  <c r="G295" i="3"/>
  <c r="AD295" i="3" s="1"/>
  <c r="F295" i="3"/>
  <c r="AB295" i="3" s="1"/>
  <c r="E295" i="3"/>
  <c r="Z295" i="3" s="1"/>
  <c r="AA295" i="3" s="1"/>
  <c r="D295" i="3"/>
  <c r="C295" i="3"/>
  <c r="B295" i="3"/>
  <c r="A295" i="3"/>
  <c r="AM294" i="3"/>
  <c r="AH294" i="3"/>
  <c r="AD294" i="3"/>
  <c r="Y294" i="3"/>
  <c r="X294" i="3"/>
  <c r="V294" i="3"/>
  <c r="U294" i="3"/>
  <c r="AJ294" i="3" s="1"/>
  <c r="T294" i="3"/>
  <c r="S294" i="3"/>
  <c r="R294" i="3"/>
  <c r="Q294" i="3"/>
  <c r="AI294" i="3" s="1"/>
  <c r="P294" i="3"/>
  <c r="O294" i="3"/>
  <c r="AN294" i="3" s="1"/>
  <c r="N294" i="3"/>
  <c r="M294" i="3"/>
  <c r="AE294" i="3" s="1"/>
  <c r="L294" i="3"/>
  <c r="K294" i="3"/>
  <c r="J294" i="3"/>
  <c r="I294" i="3"/>
  <c r="H294" i="3"/>
  <c r="G294" i="3"/>
  <c r="F294" i="3"/>
  <c r="AB294" i="3" s="1"/>
  <c r="E294" i="3"/>
  <c r="Z294" i="3" s="1"/>
  <c r="AA294" i="3" s="1"/>
  <c r="D294" i="3"/>
  <c r="C294" i="3"/>
  <c r="B294" i="3"/>
  <c r="A294" i="3"/>
  <c r="W294" i="3" s="1"/>
  <c r="AI293" i="3"/>
  <c r="AH293" i="3"/>
  <c r="AB293" i="3"/>
  <c r="X293" i="3"/>
  <c r="W293" i="3"/>
  <c r="U293" i="3"/>
  <c r="AJ293" i="3" s="1"/>
  <c r="T293" i="3"/>
  <c r="AM293" i="3" s="1"/>
  <c r="S293" i="3"/>
  <c r="R293" i="3"/>
  <c r="Q293" i="3"/>
  <c r="P293" i="3"/>
  <c r="O293" i="3"/>
  <c r="AN293" i="3" s="1"/>
  <c r="N293" i="3"/>
  <c r="M293" i="3"/>
  <c r="L293" i="3"/>
  <c r="AE293" i="3" s="1"/>
  <c r="K293" i="3"/>
  <c r="J293" i="3"/>
  <c r="I293" i="3"/>
  <c r="H293" i="3"/>
  <c r="G293" i="3"/>
  <c r="AD293" i="3" s="1"/>
  <c r="F293" i="3"/>
  <c r="E293" i="3"/>
  <c r="Z293" i="3" s="1"/>
  <c r="AA293" i="3" s="1"/>
  <c r="D293" i="3"/>
  <c r="Y293" i="3" s="1"/>
  <c r="V293" i="3" s="1"/>
  <c r="C293" i="3"/>
  <c r="B293" i="3"/>
  <c r="A293" i="3"/>
  <c r="AI292" i="3"/>
  <c r="AH292" i="3"/>
  <c r="Y292" i="3"/>
  <c r="X292" i="3"/>
  <c r="V292" i="3"/>
  <c r="U292" i="3"/>
  <c r="AJ292" i="3" s="1"/>
  <c r="T292" i="3"/>
  <c r="AM292" i="3" s="1"/>
  <c r="S292" i="3"/>
  <c r="R292" i="3"/>
  <c r="Q292" i="3"/>
  <c r="P292" i="3"/>
  <c r="O292" i="3"/>
  <c r="AN292" i="3" s="1"/>
  <c r="N292" i="3"/>
  <c r="M292" i="3"/>
  <c r="AE292" i="3" s="1"/>
  <c r="L292" i="3"/>
  <c r="K292" i="3"/>
  <c r="J292" i="3"/>
  <c r="I292" i="3"/>
  <c r="H292" i="3"/>
  <c r="AD292" i="3" s="1"/>
  <c r="G292" i="3"/>
  <c r="F292" i="3"/>
  <c r="AB292" i="3" s="1"/>
  <c r="E292" i="3"/>
  <c r="Z292" i="3" s="1"/>
  <c r="AA292" i="3" s="1"/>
  <c r="D292" i="3"/>
  <c r="C292" i="3"/>
  <c r="B292" i="3"/>
  <c r="A292" i="3"/>
  <c r="W292" i="3" s="1"/>
  <c r="AH291" i="3"/>
  <c r="Y291" i="3"/>
  <c r="V291" i="3" s="1"/>
  <c r="X291" i="3"/>
  <c r="W291" i="3"/>
  <c r="U291" i="3"/>
  <c r="AJ291" i="3" s="1"/>
  <c r="T291" i="3"/>
  <c r="AM291" i="3" s="1"/>
  <c r="S291" i="3"/>
  <c r="R291" i="3"/>
  <c r="Q291" i="3"/>
  <c r="AI291" i="3" s="1"/>
  <c r="P291" i="3"/>
  <c r="O291" i="3"/>
  <c r="AN291" i="3" s="1"/>
  <c r="N291" i="3"/>
  <c r="M291" i="3"/>
  <c r="AE291" i="3" s="1"/>
  <c r="L291" i="3"/>
  <c r="K291" i="3"/>
  <c r="J291" i="3"/>
  <c r="I291" i="3"/>
  <c r="H291" i="3"/>
  <c r="G291" i="3"/>
  <c r="AD291" i="3" s="1"/>
  <c r="F291" i="3"/>
  <c r="AB291" i="3" s="1"/>
  <c r="E291" i="3"/>
  <c r="Z291" i="3" s="1"/>
  <c r="AA291" i="3" s="1"/>
  <c r="D291" i="3"/>
  <c r="C291" i="3"/>
  <c r="B291" i="3"/>
  <c r="A291" i="3"/>
  <c r="AH290" i="3"/>
  <c r="AD290" i="3"/>
  <c r="Y290" i="3"/>
  <c r="X290" i="3"/>
  <c r="V290" i="3"/>
  <c r="U290" i="3"/>
  <c r="AJ290" i="3" s="1"/>
  <c r="T290" i="3"/>
  <c r="AM290" i="3" s="1"/>
  <c r="S290" i="3"/>
  <c r="R290" i="3"/>
  <c r="Q290" i="3"/>
  <c r="AI290" i="3" s="1"/>
  <c r="P290" i="3"/>
  <c r="O290" i="3"/>
  <c r="AN290" i="3" s="1"/>
  <c r="N290" i="3"/>
  <c r="M290" i="3"/>
  <c r="AE290" i="3" s="1"/>
  <c r="L290" i="3"/>
  <c r="K290" i="3"/>
  <c r="J290" i="3"/>
  <c r="I290" i="3"/>
  <c r="H290" i="3"/>
  <c r="G290" i="3"/>
  <c r="F290" i="3"/>
  <c r="AB290" i="3" s="1"/>
  <c r="E290" i="3"/>
  <c r="Z290" i="3" s="1"/>
  <c r="AA290" i="3" s="1"/>
  <c r="D290" i="3"/>
  <c r="C290" i="3"/>
  <c r="B290" i="3"/>
  <c r="A290" i="3"/>
  <c r="W290" i="3" s="1"/>
  <c r="AH289" i="3"/>
  <c r="Y289" i="3"/>
  <c r="V289" i="3" s="1"/>
  <c r="X289" i="3"/>
  <c r="U289" i="3"/>
  <c r="AJ289" i="3" s="1"/>
  <c r="T289" i="3"/>
  <c r="AM289" i="3" s="1"/>
  <c r="S289" i="3"/>
  <c r="R289" i="3"/>
  <c r="Q289" i="3"/>
  <c r="AI289" i="3" s="1"/>
  <c r="P289" i="3"/>
  <c r="O289" i="3"/>
  <c r="AN289" i="3" s="1"/>
  <c r="N289" i="3"/>
  <c r="M289" i="3"/>
  <c r="AE289" i="3" s="1"/>
  <c r="L289" i="3"/>
  <c r="K289" i="3"/>
  <c r="J289" i="3"/>
  <c r="I289" i="3"/>
  <c r="AD289" i="3" s="1"/>
  <c r="H289" i="3"/>
  <c r="G289" i="3"/>
  <c r="F289" i="3"/>
  <c r="AB289" i="3" s="1"/>
  <c r="E289" i="3"/>
  <c r="Z289" i="3" s="1"/>
  <c r="AA289" i="3" s="1"/>
  <c r="D289" i="3"/>
  <c r="C289" i="3"/>
  <c r="B289" i="3"/>
  <c r="A289" i="3"/>
  <c r="W289" i="3" s="1"/>
  <c r="AH288" i="3"/>
  <c r="AD288" i="3"/>
  <c r="Y288" i="3"/>
  <c r="X288" i="3"/>
  <c r="V288" i="3"/>
  <c r="U288" i="3"/>
  <c r="AJ288" i="3" s="1"/>
  <c r="T288" i="3"/>
  <c r="AM288" i="3" s="1"/>
  <c r="S288" i="3"/>
  <c r="R288" i="3"/>
  <c r="Q288" i="3"/>
  <c r="AI288" i="3" s="1"/>
  <c r="P288" i="3"/>
  <c r="O288" i="3"/>
  <c r="AN288" i="3" s="1"/>
  <c r="N288" i="3"/>
  <c r="M288" i="3"/>
  <c r="AE288" i="3" s="1"/>
  <c r="L288" i="3"/>
  <c r="K288" i="3"/>
  <c r="J288" i="3"/>
  <c r="I288" i="3"/>
  <c r="H288" i="3"/>
  <c r="G288" i="3"/>
  <c r="F288" i="3"/>
  <c r="AB288" i="3" s="1"/>
  <c r="E288" i="3"/>
  <c r="Z288" i="3" s="1"/>
  <c r="AA288" i="3" s="1"/>
  <c r="D288" i="3"/>
  <c r="C288" i="3"/>
  <c r="B288" i="3"/>
  <c r="A288" i="3"/>
  <c r="W288" i="3" s="1"/>
  <c r="AI287" i="3"/>
  <c r="AH287" i="3"/>
  <c r="Y287" i="3"/>
  <c r="X287" i="3"/>
  <c r="W287" i="3"/>
  <c r="V287" i="3"/>
  <c r="U287" i="3"/>
  <c r="AJ287" i="3" s="1"/>
  <c r="T287" i="3"/>
  <c r="AM287" i="3" s="1"/>
  <c r="S287" i="3"/>
  <c r="R287" i="3"/>
  <c r="Q287" i="3"/>
  <c r="P287" i="3"/>
  <c r="O287" i="3"/>
  <c r="AN287" i="3" s="1"/>
  <c r="N287" i="3"/>
  <c r="M287" i="3"/>
  <c r="AE287" i="3" s="1"/>
  <c r="L287" i="3"/>
  <c r="K287" i="3"/>
  <c r="J287" i="3"/>
  <c r="I287" i="3"/>
  <c r="H287" i="3"/>
  <c r="G287" i="3"/>
  <c r="AD287" i="3" s="1"/>
  <c r="F287" i="3"/>
  <c r="AB287" i="3" s="1"/>
  <c r="E287" i="3"/>
  <c r="Z287" i="3" s="1"/>
  <c r="AA287" i="3" s="1"/>
  <c r="D287" i="3"/>
  <c r="C287" i="3"/>
  <c r="B287" i="3"/>
  <c r="A287" i="3"/>
  <c r="AH286" i="3"/>
  <c r="AD286" i="3"/>
  <c r="AB286" i="3"/>
  <c r="U286" i="3"/>
  <c r="AJ286" i="3" s="1"/>
  <c r="T286" i="3"/>
  <c r="AM286" i="3" s="1"/>
  <c r="S286" i="3"/>
  <c r="R286" i="3"/>
  <c r="Q286" i="3"/>
  <c r="AI286" i="3" s="1"/>
  <c r="P286" i="3"/>
  <c r="O286" i="3"/>
  <c r="AN286" i="3" s="1"/>
  <c r="N286" i="3"/>
  <c r="M286" i="3"/>
  <c r="L286" i="3"/>
  <c r="AE286" i="3" s="1"/>
  <c r="K286" i="3"/>
  <c r="J286" i="3"/>
  <c r="I286" i="3"/>
  <c r="H286" i="3"/>
  <c r="G286" i="3"/>
  <c r="F286" i="3"/>
  <c r="E286" i="3"/>
  <c r="Z286" i="3" s="1"/>
  <c r="D286" i="3"/>
  <c r="Y286" i="3" s="1"/>
  <c r="V286" i="3" s="1"/>
  <c r="C286" i="3"/>
  <c r="X286" i="3" s="1"/>
  <c r="B286" i="3"/>
  <c r="A286" i="3"/>
  <c r="W286" i="3" s="1"/>
  <c r="AJ285" i="3"/>
  <c r="AH285" i="3"/>
  <c r="AE285" i="3"/>
  <c r="Y285" i="3"/>
  <c r="V285" i="3" s="1"/>
  <c r="X285" i="3"/>
  <c r="U285" i="3"/>
  <c r="T285" i="3"/>
  <c r="AM285" i="3" s="1"/>
  <c r="S285" i="3"/>
  <c r="R285" i="3"/>
  <c r="Q285" i="3"/>
  <c r="AI285" i="3" s="1"/>
  <c r="P285" i="3"/>
  <c r="O285" i="3"/>
  <c r="AN285" i="3" s="1"/>
  <c r="N285" i="3"/>
  <c r="M285" i="3"/>
  <c r="L285" i="3"/>
  <c r="K285" i="3"/>
  <c r="J285" i="3"/>
  <c r="I285" i="3"/>
  <c r="H285" i="3"/>
  <c r="G285" i="3"/>
  <c r="AD285" i="3" s="1"/>
  <c r="F285" i="3"/>
  <c r="AB285" i="3" s="1"/>
  <c r="E285" i="3"/>
  <c r="Z285" i="3" s="1"/>
  <c r="AA285" i="3" s="1"/>
  <c r="D285" i="3"/>
  <c r="C285" i="3"/>
  <c r="B285" i="3"/>
  <c r="A285" i="3"/>
  <c r="W285" i="3" s="1"/>
  <c r="AD284" i="3"/>
  <c r="AB284" i="3"/>
  <c r="U284" i="3"/>
  <c r="AJ284" i="3" s="1"/>
  <c r="T284" i="3"/>
  <c r="AM284" i="3" s="1"/>
  <c r="S284" i="3"/>
  <c r="R284" i="3"/>
  <c r="AH284" i="3" s="1"/>
  <c r="Q284" i="3"/>
  <c r="AI284" i="3" s="1"/>
  <c r="P284" i="3"/>
  <c r="O284" i="3"/>
  <c r="AN284" i="3" s="1"/>
  <c r="N284" i="3"/>
  <c r="M284" i="3"/>
  <c r="L284" i="3"/>
  <c r="AE284" i="3" s="1"/>
  <c r="K284" i="3"/>
  <c r="J284" i="3"/>
  <c r="I284" i="3"/>
  <c r="H284" i="3"/>
  <c r="G284" i="3"/>
  <c r="F284" i="3"/>
  <c r="E284" i="3"/>
  <c r="Z284" i="3" s="1"/>
  <c r="D284" i="3"/>
  <c r="Y284" i="3" s="1"/>
  <c r="V284" i="3" s="1"/>
  <c r="C284" i="3"/>
  <c r="X284" i="3" s="1"/>
  <c r="B284" i="3"/>
  <c r="A284" i="3"/>
  <c r="W284" i="3" s="1"/>
  <c r="AJ283" i="3"/>
  <c r="AH283" i="3"/>
  <c r="AB283" i="3"/>
  <c r="X283" i="3"/>
  <c r="U283" i="3"/>
  <c r="T283" i="3"/>
  <c r="AM283" i="3" s="1"/>
  <c r="S283" i="3"/>
  <c r="R283" i="3"/>
  <c r="Q283" i="3"/>
  <c r="AI283" i="3" s="1"/>
  <c r="P283" i="3"/>
  <c r="O283" i="3"/>
  <c r="AN283" i="3" s="1"/>
  <c r="N283" i="3"/>
  <c r="M283" i="3"/>
  <c r="L283" i="3"/>
  <c r="AE283" i="3" s="1"/>
  <c r="K283" i="3"/>
  <c r="J283" i="3"/>
  <c r="I283" i="3"/>
  <c r="H283" i="3"/>
  <c r="G283" i="3"/>
  <c r="AD283" i="3" s="1"/>
  <c r="F283" i="3"/>
  <c r="E283" i="3"/>
  <c r="Z283" i="3" s="1"/>
  <c r="AA283" i="3" s="1"/>
  <c r="D283" i="3"/>
  <c r="Y283" i="3" s="1"/>
  <c r="V283" i="3" s="1"/>
  <c r="C283" i="3"/>
  <c r="B283" i="3"/>
  <c r="A283" i="3"/>
  <c r="W283" i="3" s="1"/>
  <c r="AI282" i="3"/>
  <c r="AH282" i="3"/>
  <c r="AD282" i="3"/>
  <c r="AB282" i="3"/>
  <c r="X282" i="3"/>
  <c r="U282" i="3"/>
  <c r="AJ282" i="3" s="1"/>
  <c r="T282" i="3"/>
  <c r="AM282" i="3" s="1"/>
  <c r="S282" i="3"/>
  <c r="R282" i="3"/>
  <c r="Q282" i="3"/>
  <c r="P282" i="3"/>
  <c r="O282" i="3"/>
  <c r="AN282" i="3" s="1"/>
  <c r="N282" i="3"/>
  <c r="M282" i="3"/>
  <c r="L282" i="3"/>
  <c r="AE282" i="3" s="1"/>
  <c r="K282" i="3"/>
  <c r="J282" i="3"/>
  <c r="I282" i="3"/>
  <c r="H282" i="3"/>
  <c r="G282" i="3"/>
  <c r="F282" i="3"/>
  <c r="E282" i="3"/>
  <c r="Z282" i="3" s="1"/>
  <c r="D282" i="3"/>
  <c r="Y282" i="3" s="1"/>
  <c r="V282" i="3" s="1"/>
  <c r="C282" i="3"/>
  <c r="B282" i="3"/>
  <c r="A282" i="3"/>
  <c r="W282" i="3" s="1"/>
  <c r="AH281" i="3"/>
  <c r="AB281" i="3"/>
  <c r="X281" i="3"/>
  <c r="U281" i="3"/>
  <c r="AJ281" i="3" s="1"/>
  <c r="T281" i="3"/>
  <c r="AM281" i="3" s="1"/>
  <c r="S281" i="3"/>
  <c r="R281" i="3"/>
  <c r="Q281" i="3"/>
  <c r="AI281" i="3" s="1"/>
  <c r="P281" i="3"/>
  <c r="O281" i="3"/>
  <c r="AN281" i="3" s="1"/>
  <c r="N281" i="3"/>
  <c r="M281" i="3"/>
  <c r="L281" i="3"/>
  <c r="AE281" i="3" s="1"/>
  <c r="K281" i="3"/>
  <c r="J281" i="3"/>
  <c r="I281" i="3"/>
  <c r="H281" i="3"/>
  <c r="AD281" i="3" s="1"/>
  <c r="G281" i="3"/>
  <c r="F281" i="3"/>
  <c r="E281" i="3"/>
  <c r="Z281" i="3" s="1"/>
  <c r="D281" i="3"/>
  <c r="Y281" i="3" s="1"/>
  <c r="V281" i="3" s="1"/>
  <c r="C281" i="3"/>
  <c r="B281" i="3"/>
  <c r="A281" i="3"/>
  <c r="W281" i="3" s="1"/>
  <c r="AI280" i="3"/>
  <c r="AD280" i="3"/>
  <c r="W280" i="3"/>
  <c r="U280" i="3"/>
  <c r="AJ280" i="3" s="1"/>
  <c r="T280" i="3"/>
  <c r="AM280" i="3" s="1"/>
  <c r="S280" i="3"/>
  <c r="AH280" i="3" s="1"/>
  <c r="R280" i="3"/>
  <c r="Q280" i="3"/>
  <c r="P280" i="3"/>
  <c r="O280" i="3"/>
  <c r="AN280" i="3" s="1"/>
  <c r="N280" i="3"/>
  <c r="M280" i="3"/>
  <c r="AE280" i="3" s="1"/>
  <c r="L280" i="3"/>
  <c r="K280" i="3"/>
  <c r="J280" i="3"/>
  <c r="I280" i="3"/>
  <c r="H280" i="3"/>
  <c r="G280" i="3"/>
  <c r="F280" i="3"/>
  <c r="AB280" i="3" s="1"/>
  <c r="E280" i="3"/>
  <c r="Z280" i="3" s="1"/>
  <c r="AA280" i="3" s="1"/>
  <c r="D280" i="3"/>
  <c r="Y280" i="3" s="1"/>
  <c r="V280" i="3" s="1"/>
  <c r="C280" i="3"/>
  <c r="X280" i="3" s="1"/>
  <c r="B280" i="3"/>
  <c r="A280" i="3"/>
  <c r="AI279" i="3"/>
  <c r="AH279" i="3"/>
  <c r="X279" i="3"/>
  <c r="W279" i="3"/>
  <c r="U279" i="3"/>
  <c r="AJ279" i="3" s="1"/>
  <c r="T279" i="3"/>
  <c r="AM279" i="3" s="1"/>
  <c r="S279" i="3"/>
  <c r="R279" i="3"/>
  <c r="Q279" i="3"/>
  <c r="P279" i="3"/>
  <c r="O279" i="3"/>
  <c r="AN279" i="3" s="1"/>
  <c r="N279" i="3"/>
  <c r="M279" i="3"/>
  <c r="AE279" i="3" s="1"/>
  <c r="L279" i="3"/>
  <c r="K279" i="3"/>
  <c r="J279" i="3"/>
  <c r="I279" i="3"/>
  <c r="H279" i="3"/>
  <c r="G279" i="3"/>
  <c r="AD279" i="3" s="1"/>
  <c r="F279" i="3"/>
  <c r="AB279" i="3" s="1"/>
  <c r="E279" i="3"/>
  <c r="Z279" i="3" s="1"/>
  <c r="AA279" i="3" s="1"/>
  <c r="D279" i="3"/>
  <c r="Y279" i="3" s="1"/>
  <c r="V279" i="3" s="1"/>
  <c r="C279" i="3"/>
  <c r="B279" i="3"/>
  <c r="A279" i="3"/>
  <c r="AJ278" i="3"/>
  <c r="AH278" i="3"/>
  <c r="Y278" i="3"/>
  <c r="V278" i="3" s="1"/>
  <c r="X278" i="3"/>
  <c r="U278" i="3"/>
  <c r="T278" i="3"/>
  <c r="AM278" i="3" s="1"/>
  <c r="S278" i="3"/>
  <c r="R278" i="3"/>
  <c r="Q278" i="3"/>
  <c r="AI278" i="3" s="1"/>
  <c r="P278" i="3"/>
  <c r="O278" i="3"/>
  <c r="AN278" i="3" s="1"/>
  <c r="N278" i="3"/>
  <c r="M278" i="3"/>
  <c r="AE278" i="3" s="1"/>
  <c r="L278" i="3"/>
  <c r="K278" i="3"/>
  <c r="J278" i="3"/>
  <c r="I278" i="3"/>
  <c r="H278" i="3"/>
  <c r="G278" i="3"/>
  <c r="AD278" i="3" s="1"/>
  <c r="F278" i="3"/>
  <c r="AB278" i="3" s="1"/>
  <c r="E278" i="3"/>
  <c r="Z278" i="3" s="1"/>
  <c r="AA278" i="3" s="1"/>
  <c r="D278" i="3"/>
  <c r="C278" i="3"/>
  <c r="B278" i="3"/>
  <c r="A278" i="3"/>
  <c r="W278" i="3" s="1"/>
  <c r="AJ277" i="3"/>
  <c r="AI277" i="3"/>
  <c r="AH277" i="3"/>
  <c r="AE277" i="3"/>
  <c r="X277" i="3"/>
  <c r="W277" i="3"/>
  <c r="U277" i="3"/>
  <c r="T277" i="3"/>
  <c r="AM277" i="3" s="1"/>
  <c r="S277" i="3"/>
  <c r="R277" i="3"/>
  <c r="Q277" i="3"/>
  <c r="P277" i="3"/>
  <c r="O277" i="3"/>
  <c r="AN277" i="3" s="1"/>
  <c r="N277" i="3"/>
  <c r="M277" i="3"/>
  <c r="L277" i="3"/>
  <c r="K277" i="3"/>
  <c r="J277" i="3"/>
  <c r="I277" i="3"/>
  <c r="H277" i="3"/>
  <c r="G277" i="3"/>
  <c r="AD277" i="3" s="1"/>
  <c r="F277" i="3"/>
  <c r="AB277" i="3" s="1"/>
  <c r="E277" i="3"/>
  <c r="Z277" i="3" s="1"/>
  <c r="D277" i="3"/>
  <c r="Y277" i="3" s="1"/>
  <c r="V277" i="3" s="1"/>
  <c r="C277" i="3"/>
  <c r="B277" i="3"/>
  <c r="A277" i="3"/>
  <c r="AJ276" i="3"/>
  <c r="AH276" i="3"/>
  <c r="AE276" i="3"/>
  <c r="Y276" i="3"/>
  <c r="X276" i="3"/>
  <c r="V276" i="3"/>
  <c r="U276" i="3"/>
  <c r="T276" i="3"/>
  <c r="AM276" i="3" s="1"/>
  <c r="S276" i="3"/>
  <c r="R276" i="3"/>
  <c r="Q276" i="3"/>
  <c r="AI276" i="3" s="1"/>
  <c r="P276" i="3"/>
  <c r="O276" i="3"/>
  <c r="AN276" i="3" s="1"/>
  <c r="N276" i="3"/>
  <c r="M276" i="3"/>
  <c r="L276" i="3"/>
  <c r="K276" i="3"/>
  <c r="J276" i="3"/>
  <c r="I276" i="3"/>
  <c r="H276" i="3"/>
  <c r="G276" i="3"/>
  <c r="AD276" i="3" s="1"/>
  <c r="F276" i="3"/>
  <c r="AB276" i="3" s="1"/>
  <c r="E276" i="3"/>
  <c r="Z276" i="3" s="1"/>
  <c r="AA276" i="3" s="1"/>
  <c r="D276" i="3"/>
  <c r="C276" i="3"/>
  <c r="B276" i="3"/>
  <c r="A276" i="3"/>
  <c r="W276" i="3" s="1"/>
  <c r="AI275" i="3"/>
  <c r="AH275" i="3"/>
  <c r="X275" i="3"/>
  <c r="U275" i="3"/>
  <c r="AJ275" i="3" s="1"/>
  <c r="T275" i="3"/>
  <c r="AM275" i="3" s="1"/>
  <c r="S275" i="3"/>
  <c r="R275" i="3"/>
  <c r="Q275" i="3"/>
  <c r="P275" i="3"/>
  <c r="O275" i="3"/>
  <c r="AN275" i="3" s="1"/>
  <c r="N275" i="3"/>
  <c r="M275" i="3"/>
  <c r="AE275" i="3" s="1"/>
  <c r="L275" i="3"/>
  <c r="K275" i="3"/>
  <c r="J275" i="3"/>
  <c r="I275" i="3"/>
  <c r="H275" i="3"/>
  <c r="G275" i="3"/>
  <c r="AD275" i="3" s="1"/>
  <c r="F275" i="3"/>
  <c r="AB275" i="3" s="1"/>
  <c r="E275" i="3"/>
  <c r="Z275" i="3" s="1"/>
  <c r="D275" i="3"/>
  <c r="Y275" i="3" s="1"/>
  <c r="V275" i="3" s="1"/>
  <c r="C275" i="3"/>
  <c r="B275" i="3"/>
  <c r="A275" i="3"/>
  <c r="W275" i="3" s="1"/>
  <c r="AI274" i="3"/>
  <c r="AH274" i="3"/>
  <c r="AD274" i="3"/>
  <c r="X274" i="3"/>
  <c r="W274" i="3"/>
  <c r="U274" i="3"/>
  <c r="AJ274" i="3" s="1"/>
  <c r="T274" i="3"/>
  <c r="AM274" i="3" s="1"/>
  <c r="S274" i="3"/>
  <c r="R274" i="3"/>
  <c r="Q274" i="3"/>
  <c r="P274" i="3"/>
  <c r="O274" i="3"/>
  <c r="AN274" i="3" s="1"/>
  <c r="N274" i="3"/>
  <c r="M274" i="3"/>
  <c r="AE274" i="3" s="1"/>
  <c r="L274" i="3"/>
  <c r="K274" i="3"/>
  <c r="J274" i="3"/>
  <c r="I274" i="3"/>
  <c r="H274" i="3"/>
  <c r="G274" i="3"/>
  <c r="F274" i="3"/>
  <c r="AB274" i="3" s="1"/>
  <c r="E274" i="3"/>
  <c r="Z274" i="3" s="1"/>
  <c r="AA274" i="3" s="1"/>
  <c r="D274" i="3"/>
  <c r="Y274" i="3" s="1"/>
  <c r="V274" i="3" s="1"/>
  <c r="C274" i="3"/>
  <c r="B274" i="3"/>
  <c r="A274" i="3"/>
  <c r="AH273" i="3"/>
  <c r="AD273" i="3"/>
  <c r="Y273" i="3"/>
  <c r="X273" i="3"/>
  <c r="V273" i="3"/>
  <c r="U273" i="3"/>
  <c r="AJ273" i="3" s="1"/>
  <c r="T273" i="3"/>
  <c r="AM273" i="3" s="1"/>
  <c r="S273" i="3"/>
  <c r="R273" i="3"/>
  <c r="Q273" i="3"/>
  <c r="AI273" i="3" s="1"/>
  <c r="P273" i="3"/>
  <c r="O273" i="3"/>
  <c r="AN273" i="3" s="1"/>
  <c r="N273" i="3"/>
  <c r="M273" i="3"/>
  <c r="AE273" i="3" s="1"/>
  <c r="L273" i="3"/>
  <c r="K273" i="3"/>
  <c r="J273" i="3"/>
  <c r="I273" i="3"/>
  <c r="H273" i="3"/>
  <c r="G273" i="3"/>
  <c r="F273" i="3"/>
  <c r="AB273" i="3" s="1"/>
  <c r="E273" i="3"/>
  <c r="Z273" i="3" s="1"/>
  <c r="AA273" i="3" s="1"/>
  <c r="D273" i="3"/>
  <c r="C273" i="3"/>
  <c r="B273" i="3"/>
  <c r="A273" i="3"/>
  <c r="W273" i="3" s="1"/>
  <c r="AI272" i="3"/>
  <c r="AH272" i="3"/>
  <c r="AE272" i="3"/>
  <c r="Y272" i="3"/>
  <c r="X272" i="3"/>
  <c r="W272" i="3"/>
  <c r="V272" i="3"/>
  <c r="U272" i="3"/>
  <c r="AJ272" i="3" s="1"/>
  <c r="T272" i="3"/>
  <c r="AM272" i="3" s="1"/>
  <c r="S272" i="3"/>
  <c r="R272" i="3"/>
  <c r="Q272" i="3"/>
  <c r="P272" i="3"/>
  <c r="O272" i="3"/>
  <c r="AN272" i="3" s="1"/>
  <c r="N272" i="3"/>
  <c r="M272" i="3"/>
  <c r="L272" i="3"/>
  <c r="K272" i="3"/>
  <c r="J272" i="3"/>
  <c r="I272" i="3"/>
  <c r="H272" i="3"/>
  <c r="G272" i="3"/>
  <c r="AD272" i="3" s="1"/>
  <c r="F272" i="3"/>
  <c r="AB272" i="3" s="1"/>
  <c r="E272" i="3"/>
  <c r="Z272" i="3" s="1"/>
  <c r="AA272" i="3" s="1"/>
  <c r="D272" i="3"/>
  <c r="C272" i="3"/>
  <c r="B272" i="3"/>
  <c r="A272" i="3"/>
  <c r="AH271" i="3"/>
  <c r="AD271" i="3"/>
  <c r="AB271" i="3"/>
  <c r="X271" i="3"/>
  <c r="U271" i="3"/>
  <c r="AJ271" i="3" s="1"/>
  <c r="T271" i="3"/>
  <c r="AM271" i="3" s="1"/>
  <c r="S271" i="3"/>
  <c r="R271" i="3"/>
  <c r="Q271" i="3"/>
  <c r="AI271" i="3" s="1"/>
  <c r="P271" i="3"/>
  <c r="O271" i="3"/>
  <c r="AN271" i="3" s="1"/>
  <c r="N271" i="3"/>
  <c r="M271" i="3"/>
  <c r="L271" i="3"/>
  <c r="AE271" i="3" s="1"/>
  <c r="K271" i="3"/>
  <c r="J271" i="3"/>
  <c r="I271" i="3"/>
  <c r="H271" i="3"/>
  <c r="G271" i="3"/>
  <c r="F271" i="3"/>
  <c r="E271" i="3"/>
  <c r="Z271" i="3" s="1"/>
  <c r="AA271" i="3" s="1"/>
  <c r="D271" i="3"/>
  <c r="Y271" i="3" s="1"/>
  <c r="V271" i="3" s="1"/>
  <c r="C271" i="3"/>
  <c r="B271" i="3"/>
  <c r="A271" i="3"/>
  <c r="W271" i="3" s="1"/>
  <c r="AI270" i="3"/>
  <c r="AH270" i="3"/>
  <c r="AD270" i="3"/>
  <c r="X270" i="3"/>
  <c r="W270" i="3"/>
  <c r="U270" i="3"/>
  <c r="AJ270" i="3" s="1"/>
  <c r="T270" i="3"/>
  <c r="AM270" i="3" s="1"/>
  <c r="S270" i="3"/>
  <c r="R270" i="3"/>
  <c r="Q270" i="3"/>
  <c r="P270" i="3"/>
  <c r="O270" i="3"/>
  <c r="AN270" i="3" s="1"/>
  <c r="N270" i="3"/>
  <c r="M270" i="3"/>
  <c r="AE270" i="3" s="1"/>
  <c r="L270" i="3"/>
  <c r="K270" i="3"/>
  <c r="J270" i="3"/>
  <c r="I270" i="3"/>
  <c r="H270" i="3"/>
  <c r="G270" i="3"/>
  <c r="F270" i="3"/>
  <c r="AB270" i="3" s="1"/>
  <c r="E270" i="3"/>
  <c r="Z270" i="3" s="1"/>
  <c r="AA270" i="3" s="1"/>
  <c r="D270" i="3"/>
  <c r="Y270" i="3" s="1"/>
  <c r="V270" i="3" s="1"/>
  <c r="C270" i="3"/>
  <c r="B270" i="3"/>
  <c r="A270" i="3"/>
  <c r="AI269" i="3"/>
  <c r="AH269" i="3"/>
  <c r="AD269" i="3"/>
  <c r="AB269" i="3"/>
  <c r="X269" i="3"/>
  <c r="W269" i="3"/>
  <c r="U269" i="3"/>
  <c r="AJ269" i="3" s="1"/>
  <c r="T269" i="3"/>
  <c r="AM269" i="3" s="1"/>
  <c r="S269" i="3"/>
  <c r="R269" i="3"/>
  <c r="Q269" i="3"/>
  <c r="P269" i="3"/>
  <c r="O269" i="3"/>
  <c r="AN269" i="3" s="1"/>
  <c r="N269" i="3"/>
  <c r="M269" i="3"/>
  <c r="L269" i="3"/>
  <c r="AE269" i="3" s="1"/>
  <c r="K269" i="3"/>
  <c r="J269" i="3"/>
  <c r="I269" i="3"/>
  <c r="H269" i="3"/>
  <c r="G269" i="3"/>
  <c r="F269" i="3"/>
  <c r="E269" i="3"/>
  <c r="Z269" i="3" s="1"/>
  <c r="D269" i="3"/>
  <c r="Y269" i="3" s="1"/>
  <c r="V269" i="3" s="1"/>
  <c r="C269" i="3"/>
  <c r="B269" i="3"/>
  <c r="A269" i="3"/>
  <c r="AN268" i="3"/>
  <c r="AM268" i="3"/>
  <c r="AI268" i="3"/>
  <c r="AD268" i="3"/>
  <c r="AB268" i="3"/>
  <c r="Z268" i="3"/>
  <c r="AA268" i="3" s="1"/>
  <c r="W268" i="3"/>
  <c r="U268" i="3"/>
  <c r="AJ268" i="3" s="1"/>
  <c r="T268" i="3"/>
  <c r="S268" i="3"/>
  <c r="R268" i="3"/>
  <c r="AH268" i="3" s="1"/>
  <c r="Q268" i="3"/>
  <c r="P268" i="3"/>
  <c r="O268" i="3"/>
  <c r="N268" i="3"/>
  <c r="M268" i="3"/>
  <c r="L268" i="3"/>
  <c r="AE268" i="3" s="1"/>
  <c r="K268" i="3"/>
  <c r="J268" i="3"/>
  <c r="I268" i="3"/>
  <c r="H268" i="3"/>
  <c r="G268" i="3"/>
  <c r="F268" i="3"/>
  <c r="E268" i="3"/>
  <c r="D268" i="3"/>
  <c r="Y268" i="3" s="1"/>
  <c r="V268" i="3" s="1"/>
  <c r="C268" i="3"/>
  <c r="X268" i="3" s="1"/>
  <c r="B268" i="3"/>
  <c r="A268" i="3"/>
  <c r="AI267" i="3"/>
  <c r="AH267" i="3"/>
  <c r="AB267" i="3"/>
  <c r="X267" i="3"/>
  <c r="W267" i="3"/>
  <c r="U267" i="3"/>
  <c r="AJ267" i="3" s="1"/>
  <c r="T267" i="3"/>
  <c r="AM267" i="3" s="1"/>
  <c r="S267" i="3"/>
  <c r="R267" i="3"/>
  <c r="Q267" i="3"/>
  <c r="P267" i="3"/>
  <c r="O267" i="3"/>
  <c r="AN267" i="3" s="1"/>
  <c r="N267" i="3"/>
  <c r="M267" i="3"/>
  <c r="L267" i="3"/>
  <c r="AE267" i="3" s="1"/>
  <c r="K267" i="3"/>
  <c r="J267" i="3"/>
  <c r="I267" i="3"/>
  <c r="H267" i="3"/>
  <c r="G267" i="3"/>
  <c r="AD267" i="3" s="1"/>
  <c r="F267" i="3"/>
  <c r="E267" i="3"/>
  <c r="Z267" i="3" s="1"/>
  <c r="D267" i="3"/>
  <c r="Y267" i="3" s="1"/>
  <c r="V267" i="3" s="1"/>
  <c r="C267" i="3"/>
  <c r="B267" i="3"/>
  <c r="A267" i="3"/>
  <c r="AI266" i="3"/>
  <c r="AH266" i="3"/>
  <c r="Y266" i="3"/>
  <c r="X266" i="3"/>
  <c r="W266" i="3"/>
  <c r="V266" i="3"/>
  <c r="U266" i="3"/>
  <c r="AJ266" i="3" s="1"/>
  <c r="T266" i="3"/>
  <c r="AM266" i="3" s="1"/>
  <c r="S266" i="3"/>
  <c r="R266" i="3"/>
  <c r="Q266" i="3"/>
  <c r="P266" i="3"/>
  <c r="O266" i="3"/>
  <c r="AN266" i="3" s="1"/>
  <c r="N266" i="3"/>
  <c r="M266" i="3"/>
  <c r="AE266" i="3" s="1"/>
  <c r="L266" i="3"/>
  <c r="K266" i="3"/>
  <c r="J266" i="3"/>
  <c r="I266" i="3"/>
  <c r="H266" i="3"/>
  <c r="G266" i="3"/>
  <c r="AD266" i="3" s="1"/>
  <c r="F266" i="3"/>
  <c r="AB266" i="3" s="1"/>
  <c r="E266" i="3"/>
  <c r="Z266" i="3" s="1"/>
  <c r="AA266" i="3" s="1"/>
  <c r="D266" i="3"/>
  <c r="C266" i="3"/>
  <c r="B266" i="3"/>
  <c r="A266" i="3"/>
  <c r="AH265" i="3"/>
  <c r="AD265" i="3"/>
  <c r="Y265" i="3"/>
  <c r="V265" i="3" s="1"/>
  <c r="X265" i="3"/>
  <c r="U265" i="3"/>
  <c r="AJ265" i="3" s="1"/>
  <c r="T265" i="3"/>
  <c r="AM265" i="3" s="1"/>
  <c r="S265" i="3"/>
  <c r="R265" i="3"/>
  <c r="Q265" i="3"/>
  <c r="AI265" i="3" s="1"/>
  <c r="P265" i="3"/>
  <c r="O265" i="3"/>
  <c r="AN265" i="3" s="1"/>
  <c r="N265" i="3"/>
  <c r="M265" i="3"/>
  <c r="AE265" i="3" s="1"/>
  <c r="L265" i="3"/>
  <c r="K265" i="3"/>
  <c r="J265" i="3"/>
  <c r="I265" i="3"/>
  <c r="H265" i="3"/>
  <c r="G265" i="3"/>
  <c r="F265" i="3"/>
  <c r="AB265" i="3" s="1"/>
  <c r="E265" i="3"/>
  <c r="Z265" i="3" s="1"/>
  <c r="AA265" i="3" s="1"/>
  <c r="D265" i="3"/>
  <c r="C265" i="3"/>
  <c r="B265" i="3"/>
  <c r="A265" i="3"/>
  <c r="W265" i="3" s="1"/>
  <c r="AJ264" i="3"/>
  <c r="AI264" i="3"/>
  <c r="AH264" i="3"/>
  <c r="AB264" i="3"/>
  <c r="X264" i="3"/>
  <c r="U264" i="3"/>
  <c r="T264" i="3"/>
  <c r="AM264" i="3" s="1"/>
  <c r="S264" i="3"/>
  <c r="R264" i="3"/>
  <c r="Q264" i="3"/>
  <c r="P264" i="3"/>
  <c r="O264" i="3"/>
  <c r="AN264" i="3" s="1"/>
  <c r="N264" i="3"/>
  <c r="M264" i="3"/>
  <c r="L264" i="3"/>
  <c r="AE264" i="3" s="1"/>
  <c r="K264" i="3"/>
  <c r="J264" i="3"/>
  <c r="I264" i="3"/>
  <c r="H264" i="3"/>
  <c r="G264" i="3"/>
  <c r="AD264" i="3" s="1"/>
  <c r="F264" i="3"/>
  <c r="E264" i="3"/>
  <c r="Z264" i="3" s="1"/>
  <c r="D264" i="3"/>
  <c r="Y264" i="3" s="1"/>
  <c r="V264" i="3" s="1"/>
  <c r="C264" i="3"/>
  <c r="B264" i="3"/>
  <c r="A264" i="3"/>
  <c r="W264" i="3" s="1"/>
  <c r="AI263" i="3"/>
  <c r="AH263" i="3"/>
  <c r="Y263" i="3"/>
  <c r="X263" i="3"/>
  <c r="W263" i="3"/>
  <c r="V263" i="3"/>
  <c r="U263" i="3"/>
  <c r="AJ263" i="3" s="1"/>
  <c r="T263" i="3"/>
  <c r="AM263" i="3" s="1"/>
  <c r="S263" i="3"/>
  <c r="R263" i="3"/>
  <c r="Q263" i="3"/>
  <c r="P263" i="3"/>
  <c r="O263" i="3"/>
  <c r="AN263" i="3" s="1"/>
  <c r="N263" i="3"/>
  <c r="M263" i="3"/>
  <c r="AE263" i="3" s="1"/>
  <c r="L263" i="3"/>
  <c r="K263" i="3"/>
  <c r="J263" i="3"/>
  <c r="I263" i="3"/>
  <c r="H263" i="3"/>
  <c r="G263" i="3"/>
  <c r="AD263" i="3" s="1"/>
  <c r="F263" i="3"/>
  <c r="AB263" i="3" s="1"/>
  <c r="E263" i="3"/>
  <c r="Z263" i="3" s="1"/>
  <c r="AA263" i="3" s="1"/>
  <c r="D263" i="3"/>
  <c r="C263" i="3"/>
  <c r="B263" i="3"/>
  <c r="A263" i="3"/>
  <c r="AJ262" i="3"/>
  <c r="AI262" i="3"/>
  <c r="AH262" i="3"/>
  <c r="AB262" i="3"/>
  <c r="Y262" i="3"/>
  <c r="V262" i="3" s="1"/>
  <c r="X262" i="3"/>
  <c r="U262" i="3"/>
  <c r="T262" i="3"/>
  <c r="AM262" i="3" s="1"/>
  <c r="S262" i="3"/>
  <c r="R262" i="3"/>
  <c r="Q262" i="3"/>
  <c r="P262" i="3"/>
  <c r="O262" i="3"/>
  <c r="AN262" i="3" s="1"/>
  <c r="N262" i="3"/>
  <c r="M262" i="3"/>
  <c r="L262" i="3"/>
  <c r="AE262" i="3" s="1"/>
  <c r="K262" i="3"/>
  <c r="J262" i="3"/>
  <c r="I262" i="3"/>
  <c r="H262" i="3"/>
  <c r="G262" i="3"/>
  <c r="AD262" i="3" s="1"/>
  <c r="F262" i="3"/>
  <c r="E262" i="3"/>
  <c r="Z262" i="3" s="1"/>
  <c r="AA262" i="3" s="1"/>
  <c r="D262" i="3"/>
  <c r="C262" i="3"/>
  <c r="B262" i="3"/>
  <c r="A262" i="3"/>
  <c r="W262" i="3" s="1"/>
  <c r="AJ261" i="3"/>
  <c r="AI261" i="3"/>
  <c r="AH261" i="3"/>
  <c r="AB261" i="3"/>
  <c r="X261" i="3"/>
  <c r="U261" i="3"/>
  <c r="T261" i="3"/>
  <c r="AM261" i="3" s="1"/>
  <c r="S261" i="3"/>
  <c r="R261" i="3"/>
  <c r="Q261" i="3"/>
  <c r="P261" i="3"/>
  <c r="O261" i="3"/>
  <c r="AN261" i="3" s="1"/>
  <c r="N261" i="3"/>
  <c r="M261" i="3"/>
  <c r="L261" i="3"/>
  <c r="AE261" i="3" s="1"/>
  <c r="K261" i="3"/>
  <c r="J261" i="3"/>
  <c r="I261" i="3"/>
  <c r="H261" i="3"/>
  <c r="G261" i="3"/>
  <c r="AD261" i="3" s="1"/>
  <c r="F261" i="3"/>
  <c r="E261" i="3"/>
  <c r="Z261" i="3" s="1"/>
  <c r="D261" i="3"/>
  <c r="Y261" i="3" s="1"/>
  <c r="V261" i="3" s="1"/>
  <c r="C261" i="3"/>
  <c r="B261" i="3"/>
  <c r="A261" i="3"/>
  <c r="W261" i="3" s="1"/>
  <c r="AI260" i="3"/>
  <c r="AH260" i="3"/>
  <c r="AB260" i="3"/>
  <c r="X260" i="3"/>
  <c r="U260" i="3"/>
  <c r="AJ260" i="3" s="1"/>
  <c r="T260" i="3"/>
  <c r="AM260" i="3" s="1"/>
  <c r="S260" i="3"/>
  <c r="R260" i="3"/>
  <c r="Q260" i="3"/>
  <c r="P260" i="3"/>
  <c r="O260" i="3"/>
  <c r="AN260" i="3" s="1"/>
  <c r="N260" i="3"/>
  <c r="M260" i="3"/>
  <c r="L260" i="3"/>
  <c r="AE260" i="3" s="1"/>
  <c r="K260" i="3"/>
  <c r="J260" i="3"/>
  <c r="I260" i="3"/>
  <c r="H260" i="3"/>
  <c r="AD260" i="3" s="1"/>
  <c r="G260" i="3"/>
  <c r="F260" i="3"/>
  <c r="E260" i="3"/>
  <c r="Z260" i="3" s="1"/>
  <c r="D260" i="3"/>
  <c r="Y260" i="3" s="1"/>
  <c r="V260" i="3" s="1"/>
  <c r="C260" i="3"/>
  <c r="B260" i="3"/>
  <c r="A260" i="3"/>
  <c r="W260" i="3" s="1"/>
  <c r="AI259" i="3"/>
  <c r="AH259" i="3"/>
  <c r="AB259" i="3"/>
  <c r="X259" i="3"/>
  <c r="W259" i="3"/>
  <c r="U259" i="3"/>
  <c r="AJ259" i="3" s="1"/>
  <c r="T259" i="3"/>
  <c r="AM259" i="3" s="1"/>
  <c r="S259" i="3"/>
  <c r="R259" i="3"/>
  <c r="Q259" i="3"/>
  <c r="P259" i="3"/>
  <c r="O259" i="3"/>
  <c r="AN259" i="3" s="1"/>
  <c r="N259" i="3"/>
  <c r="M259" i="3"/>
  <c r="L259" i="3"/>
  <c r="AE259" i="3" s="1"/>
  <c r="K259" i="3"/>
  <c r="J259" i="3"/>
  <c r="I259" i="3"/>
  <c r="H259" i="3"/>
  <c r="G259" i="3"/>
  <c r="AD259" i="3" s="1"/>
  <c r="F259" i="3"/>
  <c r="E259" i="3"/>
  <c r="Z259" i="3" s="1"/>
  <c r="D259" i="3"/>
  <c r="Y259" i="3" s="1"/>
  <c r="V259" i="3" s="1"/>
  <c r="C259" i="3"/>
  <c r="B259" i="3"/>
  <c r="A259" i="3"/>
  <c r="AN258" i="3"/>
  <c r="AJ258" i="3"/>
  <c r="AB258" i="3"/>
  <c r="Y258" i="3"/>
  <c r="V258" i="3" s="1"/>
  <c r="U258" i="3"/>
  <c r="T258" i="3"/>
  <c r="AM258" i="3" s="1"/>
  <c r="S258" i="3"/>
  <c r="R258" i="3"/>
  <c r="AH258" i="3" s="1"/>
  <c r="Q258" i="3"/>
  <c r="AI258" i="3" s="1"/>
  <c r="P258" i="3"/>
  <c r="O258" i="3"/>
  <c r="N258" i="3"/>
  <c r="M258" i="3"/>
  <c r="L258" i="3"/>
  <c r="K258" i="3"/>
  <c r="AE258" i="3" s="1"/>
  <c r="J258" i="3"/>
  <c r="I258" i="3"/>
  <c r="AD258" i="3" s="1"/>
  <c r="H258" i="3"/>
  <c r="G258" i="3"/>
  <c r="F258" i="3"/>
  <c r="E258" i="3"/>
  <c r="Z258" i="3" s="1"/>
  <c r="AA258" i="3" s="1"/>
  <c r="D258" i="3"/>
  <c r="C258" i="3"/>
  <c r="X258" i="3" s="1"/>
  <c r="B258" i="3"/>
  <c r="A258" i="3"/>
  <c r="W258" i="3" s="1"/>
  <c r="AJ257" i="3"/>
  <c r="AH257" i="3"/>
  <c r="AB257" i="3"/>
  <c r="X257" i="3"/>
  <c r="U257" i="3"/>
  <c r="T257" i="3"/>
  <c r="AM257" i="3" s="1"/>
  <c r="S257" i="3"/>
  <c r="R257" i="3"/>
  <c r="Q257" i="3"/>
  <c r="AI257" i="3" s="1"/>
  <c r="P257" i="3"/>
  <c r="O257" i="3"/>
  <c r="AN257" i="3" s="1"/>
  <c r="N257" i="3"/>
  <c r="M257" i="3"/>
  <c r="L257" i="3"/>
  <c r="AE257" i="3" s="1"/>
  <c r="K257" i="3"/>
  <c r="J257" i="3"/>
  <c r="I257" i="3"/>
  <c r="H257" i="3"/>
  <c r="G257" i="3"/>
  <c r="AD257" i="3" s="1"/>
  <c r="F257" i="3"/>
  <c r="E257" i="3"/>
  <c r="Z257" i="3" s="1"/>
  <c r="AA257" i="3" s="1"/>
  <c r="D257" i="3"/>
  <c r="Y257" i="3" s="1"/>
  <c r="V257" i="3" s="1"/>
  <c r="C257" i="3"/>
  <c r="B257" i="3"/>
  <c r="A257" i="3"/>
  <c r="W257" i="3" s="1"/>
  <c r="AH256" i="3"/>
  <c r="AD256" i="3"/>
  <c r="AB256" i="3"/>
  <c r="X256" i="3"/>
  <c r="U256" i="3"/>
  <c r="AJ256" i="3" s="1"/>
  <c r="T256" i="3"/>
  <c r="AM256" i="3" s="1"/>
  <c r="S256" i="3"/>
  <c r="R256" i="3"/>
  <c r="Q256" i="3"/>
  <c r="AI256" i="3" s="1"/>
  <c r="P256" i="3"/>
  <c r="O256" i="3"/>
  <c r="AN256" i="3" s="1"/>
  <c r="N256" i="3"/>
  <c r="M256" i="3"/>
  <c r="L256" i="3"/>
  <c r="AE256" i="3" s="1"/>
  <c r="K256" i="3"/>
  <c r="J256" i="3"/>
  <c r="I256" i="3"/>
  <c r="H256" i="3"/>
  <c r="G256" i="3"/>
  <c r="F256" i="3"/>
  <c r="E256" i="3"/>
  <c r="Z256" i="3" s="1"/>
  <c r="D256" i="3"/>
  <c r="Y256" i="3" s="1"/>
  <c r="V256" i="3" s="1"/>
  <c r="C256" i="3"/>
  <c r="B256" i="3"/>
  <c r="A256" i="3"/>
  <c r="W256" i="3" s="1"/>
  <c r="AJ255" i="3"/>
  <c r="AH255" i="3"/>
  <c r="X255" i="3"/>
  <c r="U255" i="3"/>
  <c r="T255" i="3"/>
  <c r="AM255" i="3" s="1"/>
  <c r="S255" i="3"/>
  <c r="R255" i="3"/>
  <c r="Q255" i="3"/>
  <c r="AI255" i="3" s="1"/>
  <c r="P255" i="3"/>
  <c r="O255" i="3"/>
  <c r="AN255" i="3" s="1"/>
  <c r="N255" i="3"/>
  <c r="M255" i="3"/>
  <c r="L255" i="3"/>
  <c r="AE255" i="3" s="1"/>
  <c r="K255" i="3"/>
  <c r="J255" i="3"/>
  <c r="I255" i="3"/>
  <c r="H255" i="3"/>
  <c r="G255" i="3"/>
  <c r="AD255" i="3" s="1"/>
  <c r="F255" i="3"/>
  <c r="AB255" i="3" s="1"/>
  <c r="E255" i="3"/>
  <c r="Z255" i="3" s="1"/>
  <c r="D255" i="3"/>
  <c r="Y255" i="3" s="1"/>
  <c r="V255" i="3" s="1"/>
  <c r="C255" i="3"/>
  <c r="B255" i="3"/>
  <c r="A255" i="3"/>
  <c r="W255" i="3" s="1"/>
  <c r="AI254" i="3"/>
  <c r="AH254" i="3"/>
  <c r="AD254" i="3"/>
  <c r="AB254" i="3"/>
  <c r="X254" i="3"/>
  <c r="W254" i="3"/>
  <c r="U254" i="3"/>
  <c r="AJ254" i="3" s="1"/>
  <c r="T254" i="3"/>
  <c r="AM254" i="3" s="1"/>
  <c r="S254" i="3"/>
  <c r="R254" i="3"/>
  <c r="Q254" i="3"/>
  <c r="P254" i="3"/>
  <c r="O254" i="3"/>
  <c r="AN254" i="3" s="1"/>
  <c r="N254" i="3"/>
  <c r="M254" i="3"/>
  <c r="L254" i="3"/>
  <c r="AE254" i="3" s="1"/>
  <c r="K254" i="3"/>
  <c r="J254" i="3"/>
  <c r="I254" i="3"/>
  <c r="H254" i="3"/>
  <c r="G254" i="3"/>
  <c r="F254" i="3"/>
  <c r="E254" i="3"/>
  <c r="Z254" i="3" s="1"/>
  <c r="D254" i="3"/>
  <c r="Y254" i="3" s="1"/>
  <c r="V254" i="3" s="1"/>
  <c r="C254" i="3"/>
  <c r="B254" i="3"/>
  <c r="A254" i="3"/>
  <c r="AJ253" i="3"/>
  <c r="AH253" i="3"/>
  <c r="AD253" i="3"/>
  <c r="AB253" i="3"/>
  <c r="Y253" i="3"/>
  <c r="V253" i="3" s="1"/>
  <c r="X253" i="3"/>
  <c r="U253" i="3"/>
  <c r="T253" i="3"/>
  <c r="AM253" i="3" s="1"/>
  <c r="S253" i="3"/>
  <c r="R253" i="3"/>
  <c r="Q253" i="3"/>
  <c r="AI253" i="3" s="1"/>
  <c r="P253" i="3"/>
  <c r="O253" i="3"/>
  <c r="AN253" i="3" s="1"/>
  <c r="N253" i="3"/>
  <c r="M253" i="3"/>
  <c r="L253" i="3"/>
  <c r="AE253" i="3" s="1"/>
  <c r="K253" i="3"/>
  <c r="J253" i="3"/>
  <c r="I253" i="3"/>
  <c r="H253" i="3"/>
  <c r="G253" i="3"/>
  <c r="F253" i="3"/>
  <c r="E253" i="3"/>
  <c r="Z253" i="3" s="1"/>
  <c r="AA253" i="3" s="1"/>
  <c r="D253" i="3"/>
  <c r="C253" i="3"/>
  <c r="B253" i="3"/>
  <c r="A253" i="3"/>
  <c r="W253" i="3" s="1"/>
  <c r="AD252" i="3"/>
  <c r="AB252" i="3"/>
  <c r="X252" i="3"/>
  <c r="U252" i="3"/>
  <c r="AJ252" i="3" s="1"/>
  <c r="T252" i="3"/>
  <c r="AM252" i="3" s="1"/>
  <c r="S252" i="3"/>
  <c r="R252" i="3"/>
  <c r="AH252" i="3" s="1"/>
  <c r="Q252" i="3"/>
  <c r="AI252" i="3" s="1"/>
  <c r="P252" i="3"/>
  <c r="O252" i="3"/>
  <c r="AN252" i="3" s="1"/>
  <c r="N252" i="3"/>
  <c r="M252" i="3"/>
  <c r="L252" i="3"/>
  <c r="AE252" i="3" s="1"/>
  <c r="K252" i="3"/>
  <c r="J252" i="3"/>
  <c r="I252" i="3"/>
  <c r="H252" i="3"/>
  <c r="G252" i="3"/>
  <c r="F252" i="3"/>
  <c r="E252" i="3"/>
  <c r="Z252" i="3" s="1"/>
  <c r="D252" i="3"/>
  <c r="Y252" i="3" s="1"/>
  <c r="V252" i="3" s="1"/>
  <c r="C252" i="3"/>
  <c r="B252" i="3"/>
  <c r="A252" i="3"/>
  <c r="W252" i="3" s="1"/>
  <c r="AI251" i="3"/>
  <c r="AH251" i="3"/>
  <c r="AE251" i="3"/>
  <c r="Y251" i="3"/>
  <c r="X251" i="3"/>
  <c r="V251" i="3"/>
  <c r="U251" i="3"/>
  <c r="AJ251" i="3" s="1"/>
  <c r="T251" i="3"/>
  <c r="AM251" i="3" s="1"/>
  <c r="S251" i="3"/>
  <c r="R251" i="3"/>
  <c r="Q251" i="3"/>
  <c r="P251" i="3"/>
  <c r="O251" i="3"/>
  <c r="AN251" i="3" s="1"/>
  <c r="N251" i="3"/>
  <c r="M251" i="3"/>
  <c r="L251" i="3"/>
  <c r="K251" i="3"/>
  <c r="J251" i="3"/>
  <c r="I251" i="3"/>
  <c r="H251" i="3"/>
  <c r="AD251" i="3" s="1"/>
  <c r="G251" i="3"/>
  <c r="F251" i="3"/>
  <c r="AB251" i="3" s="1"/>
  <c r="E251" i="3"/>
  <c r="Z251" i="3" s="1"/>
  <c r="AA251" i="3" s="1"/>
  <c r="D251" i="3"/>
  <c r="C251" i="3"/>
  <c r="B251" i="3"/>
  <c r="A251" i="3"/>
  <c r="W251" i="3" s="1"/>
  <c r="AI250" i="3"/>
  <c r="AH250" i="3"/>
  <c r="Y250" i="3"/>
  <c r="V250" i="3" s="1"/>
  <c r="X250" i="3"/>
  <c r="W250" i="3"/>
  <c r="U250" i="3"/>
  <c r="AJ250" i="3" s="1"/>
  <c r="T250" i="3"/>
  <c r="AM250" i="3" s="1"/>
  <c r="S250" i="3"/>
  <c r="R250" i="3"/>
  <c r="Q250" i="3"/>
  <c r="P250" i="3"/>
  <c r="O250" i="3"/>
  <c r="AN250" i="3" s="1"/>
  <c r="N250" i="3"/>
  <c r="M250" i="3"/>
  <c r="AE250" i="3" s="1"/>
  <c r="L250" i="3"/>
  <c r="K250" i="3"/>
  <c r="J250" i="3"/>
  <c r="I250" i="3"/>
  <c r="H250" i="3"/>
  <c r="G250" i="3"/>
  <c r="AD250" i="3" s="1"/>
  <c r="F250" i="3"/>
  <c r="AB250" i="3" s="1"/>
  <c r="E250" i="3"/>
  <c r="Z250" i="3" s="1"/>
  <c r="AA250" i="3" s="1"/>
  <c r="D250" i="3"/>
  <c r="C250" i="3"/>
  <c r="B250" i="3"/>
  <c r="A250" i="3"/>
  <c r="AI249" i="3"/>
  <c r="AH249" i="3"/>
  <c r="AD249" i="3"/>
  <c r="X249" i="3"/>
  <c r="W249" i="3"/>
  <c r="U249" i="3"/>
  <c r="AJ249" i="3" s="1"/>
  <c r="T249" i="3"/>
  <c r="AM249" i="3" s="1"/>
  <c r="S249" i="3"/>
  <c r="R249" i="3"/>
  <c r="Q249" i="3"/>
  <c r="P249" i="3"/>
  <c r="O249" i="3"/>
  <c r="AN249" i="3" s="1"/>
  <c r="N249" i="3"/>
  <c r="M249" i="3"/>
  <c r="AE249" i="3" s="1"/>
  <c r="L249" i="3"/>
  <c r="K249" i="3"/>
  <c r="J249" i="3"/>
  <c r="I249" i="3"/>
  <c r="H249" i="3"/>
  <c r="G249" i="3"/>
  <c r="F249" i="3"/>
  <c r="AB249" i="3" s="1"/>
  <c r="E249" i="3"/>
  <c r="Z249" i="3" s="1"/>
  <c r="AA249" i="3" s="1"/>
  <c r="D249" i="3"/>
  <c r="Y249" i="3" s="1"/>
  <c r="V249" i="3" s="1"/>
  <c r="C249" i="3"/>
  <c r="B249" i="3"/>
  <c r="A249" i="3"/>
  <c r="AJ248" i="3"/>
  <c r="AH248" i="3"/>
  <c r="X248" i="3"/>
  <c r="U248" i="3"/>
  <c r="T248" i="3"/>
  <c r="AM248" i="3" s="1"/>
  <c r="S248" i="3"/>
  <c r="R248" i="3"/>
  <c r="Q248" i="3"/>
  <c r="AI248" i="3" s="1"/>
  <c r="P248" i="3"/>
  <c r="O248" i="3"/>
  <c r="AN248" i="3" s="1"/>
  <c r="N248" i="3"/>
  <c r="M248" i="3"/>
  <c r="L248" i="3"/>
  <c r="AE248" i="3" s="1"/>
  <c r="K248" i="3"/>
  <c r="J248" i="3"/>
  <c r="I248" i="3"/>
  <c r="H248" i="3"/>
  <c r="G248" i="3"/>
  <c r="AD248" i="3" s="1"/>
  <c r="F248" i="3"/>
  <c r="AB248" i="3" s="1"/>
  <c r="E248" i="3"/>
  <c r="Z248" i="3" s="1"/>
  <c r="D248" i="3"/>
  <c r="Y248" i="3" s="1"/>
  <c r="V248" i="3" s="1"/>
  <c r="C248" i="3"/>
  <c r="B248" i="3"/>
  <c r="A248" i="3"/>
  <c r="W248" i="3" s="1"/>
  <c r="AI247" i="3"/>
  <c r="AH247" i="3"/>
  <c r="AE247" i="3"/>
  <c r="Y247" i="3"/>
  <c r="X247" i="3"/>
  <c r="V247" i="3"/>
  <c r="U247" i="3"/>
  <c r="AJ247" i="3" s="1"/>
  <c r="T247" i="3"/>
  <c r="AM247" i="3" s="1"/>
  <c r="S247" i="3"/>
  <c r="R247" i="3"/>
  <c r="Q247" i="3"/>
  <c r="P247" i="3"/>
  <c r="O247" i="3"/>
  <c r="AN247" i="3" s="1"/>
  <c r="N247" i="3"/>
  <c r="M247" i="3"/>
  <c r="L247" i="3"/>
  <c r="K247" i="3"/>
  <c r="J247" i="3"/>
  <c r="I247" i="3"/>
  <c r="H247" i="3"/>
  <c r="AD247" i="3" s="1"/>
  <c r="G247" i="3"/>
  <c r="F247" i="3"/>
  <c r="AB247" i="3" s="1"/>
  <c r="E247" i="3"/>
  <c r="Z247" i="3" s="1"/>
  <c r="AA247" i="3" s="1"/>
  <c r="D247" i="3"/>
  <c r="C247" i="3"/>
  <c r="B247" i="3"/>
  <c r="A247" i="3"/>
  <c r="W247" i="3" s="1"/>
  <c r="AJ246" i="3"/>
  <c r="AH246" i="3"/>
  <c r="AB246" i="3"/>
  <c r="Y246" i="3"/>
  <c r="V246" i="3" s="1"/>
  <c r="X246" i="3"/>
  <c r="U246" i="3"/>
  <c r="T246" i="3"/>
  <c r="AM246" i="3" s="1"/>
  <c r="S246" i="3"/>
  <c r="R246" i="3"/>
  <c r="Q246" i="3"/>
  <c r="AI246" i="3" s="1"/>
  <c r="P246" i="3"/>
  <c r="O246" i="3"/>
  <c r="AN246" i="3" s="1"/>
  <c r="N246" i="3"/>
  <c r="M246" i="3"/>
  <c r="L246" i="3"/>
  <c r="AE246" i="3" s="1"/>
  <c r="K246" i="3"/>
  <c r="J246" i="3"/>
  <c r="I246" i="3"/>
  <c r="H246" i="3"/>
  <c r="G246" i="3"/>
  <c r="AD246" i="3" s="1"/>
  <c r="F246" i="3"/>
  <c r="E246" i="3"/>
  <c r="Z246" i="3" s="1"/>
  <c r="AA246" i="3" s="1"/>
  <c r="D246" i="3"/>
  <c r="C246" i="3"/>
  <c r="B246" i="3"/>
  <c r="A246" i="3"/>
  <c r="W246" i="3" s="1"/>
  <c r="AJ245" i="3"/>
  <c r="AH245" i="3"/>
  <c r="AB245" i="3"/>
  <c r="Y245" i="3"/>
  <c r="V245" i="3" s="1"/>
  <c r="X245" i="3"/>
  <c r="U245" i="3"/>
  <c r="T245" i="3"/>
  <c r="AM245" i="3" s="1"/>
  <c r="S245" i="3"/>
  <c r="R245" i="3"/>
  <c r="Q245" i="3"/>
  <c r="AI245" i="3" s="1"/>
  <c r="P245" i="3"/>
  <c r="O245" i="3"/>
  <c r="AN245" i="3" s="1"/>
  <c r="N245" i="3"/>
  <c r="M245" i="3"/>
  <c r="L245" i="3"/>
  <c r="AE245" i="3" s="1"/>
  <c r="K245" i="3"/>
  <c r="J245" i="3"/>
  <c r="I245" i="3"/>
  <c r="H245" i="3"/>
  <c r="G245" i="3"/>
  <c r="AD245" i="3" s="1"/>
  <c r="F245" i="3"/>
  <c r="E245" i="3"/>
  <c r="Z245" i="3" s="1"/>
  <c r="AA245" i="3" s="1"/>
  <c r="D245" i="3"/>
  <c r="C245" i="3"/>
  <c r="B245" i="3"/>
  <c r="A245" i="3"/>
  <c r="W245" i="3" s="1"/>
  <c r="AI244" i="3"/>
  <c r="AH244" i="3"/>
  <c r="AB244" i="3"/>
  <c r="X244" i="3"/>
  <c r="W244" i="3"/>
  <c r="U244" i="3"/>
  <c r="AJ244" i="3" s="1"/>
  <c r="T244" i="3"/>
  <c r="AM244" i="3" s="1"/>
  <c r="S244" i="3"/>
  <c r="R244" i="3"/>
  <c r="Q244" i="3"/>
  <c r="P244" i="3"/>
  <c r="O244" i="3"/>
  <c r="AN244" i="3" s="1"/>
  <c r="N244" i="3"/>
  <c r="M244" i="3"/>
  <c r="L244" i="3"/>
  <c r="K244" i="3"/>
  <c r="AE244" i="3" s="1"/>
  <c r="J244" i="3"/>
  <c r="I244" i="3"/>
  <c r="H244" i="3"/>
  <c r="G244" i="3"/>
  <c r="AD244" i="3" s="1"/>
  <c r="F244" i="3"/>
  <c r="E244" i="3"/>
  <c r="Z244" i="3" s="1"/>
  <c r="AA244" i="3" s="1"/>
  <c r="D244" i="3"/>
  <c r="Y244" i="3" s="1"/>
  <c r="V244" i="3" s="1"/>
  <c r="C244" i="3"/>
  <c r="B244" i="3"/>
  <c r="A244" i="3"/>
  <c r="AI243" i="3"/>
  <c r="AH243" i="3"/>
  <c r="AD243" i="3"/>
  <c r="AB243" i="3"/>
  <c r="W243" i="3"/>
  <c r="U243" i="3"/>
  <c r="AJ243" i="3" s="1"/>
  <c r="T243" i="3"/>
  <c r="AM243" i="3" s="1"/>
  <c r="S243" i="3"/>
  <c r="R243" i="3"/>
  <c r="Q243" i="3"/>
  <c r="P243" i="3"/>
  <c r="O243" i="3"/>
  <c r="AN243" i="3" s="1"/>
  <c r="N243" i="3"/>
  <c r="M243" i="3"/>
  <c r="L243" i="3"/>
  <c r="AE243" i="3" s="1"/>
  <c r="K243" i="3"/>
  <c r="J243" i="3"/>
  <c r="I243" i="3"/>
  <c r="H243" i="3"/>
  <c r="G243" i="3"/>
  <c r="F243" i="3"/>
  <c r="E243" i="3"/>
  <c r="Z243" i="3" s="1"/>
  <c r="D243" i="3"/>
  <c r="Y243" i="3" s="1"/>
  <c r="V243" i="3" s="1"/>
  <c r="C243" i="3"/>
  <c r="X243" i="3" s="1"/>
  <c r="B243" i="3"/>
  <c r="A243" i="3"/>
  <c r="AJ242" i="3"/>
  <c r="AH242" i="3"/>
  <c r="Y242" i="3"/>
  <c r="V242" i="3" s="1"/>
  <c r="X242" i="3"/>
  <c r="U242" i="3"/>
  <c r="T242" i="3"/>
  <c r="AM242" i="3" s="1"/>
  <c r="S242" i="3"/>
  <c r="R242" i="3"/>
  <c r="Q242" i="3"/>
  <c r="AI242" i="3" s="1"/>
  <c r="P242" i="3"/>
  <c r="O242" i="3"/>
  <c r="AN242" i="3" s="1"/>
  <c r="N242" i="3"/>
  <c r="M242" i="3"/>
  <c r="L242" i="3"/>
  <c r="AE242" i="3" s="1"/>
  <c r="K242" i="3"/>
  <c r="J242" i="3"/>
  <c r="I242" i="3"/>
  <c r="H242" i="3"/>
  <c r="G242" i="3"/>
  <c r="AD242" i="3" s="1"/>
  <c r="F242" i="3"/>
  <c r="AB242" i="3" s="1"/>
  <c r="E242" i="3"/>
  <c r="Z242" i="3" s="1"/>
  <c r="AA242" i="3" s="1"/>
  <c r="D242" i="3"/>
  <c r="C242" i="3"/>
  <c r="B242" i="3"/>
  <c r="A242" i="3"/>
  <c r="W242" i="3" s="1"/>
  <c r="AH241" i="3"/>
  <c r="AD241" i="3"/>
  <c r="Y241" i="3"/>
  <c r="X241" i="3"/>
  <c r="V241" i="3"/>
  <c r="U241" i="3"/>
  <c r="AJ241" i="3" s="1"/>
  <c r="T241" i="3"/>
  <c r="AM241" i="3" s="1"/>
  <c r="S241" i="3"/>
  <c r="R241" i="3"/>
  <c r="Q241" i="3"/>
  <c r="AI241" i="3" s="1"/>
  <c r="P241" i="3"/>
  <c r="O241" i="3"/>
  <c r="AN241" i="3" s="1"/>
  <c r="N241" i="3"/>
  <c r="M241" i="3"/>
  <c r="AE241" i="3" s="1"/>
  <c r="L241" i="3"/>
  <c r="K241" i="3"/>
  <c r="J241" i="3"/>
  <c r="I241" i="3"/>
  <c r="H241" i="3"/>
  <c r="G241" i="3"/>
  <c r="F241" i="3"/>
  <c r="AB241" i="3" s="1"/>
  <c r="E241" i="3"/>
  <c r="Z241" i="3" s="1"/>
  <c r="AA241" i="3" s="1"/>
  <c r="D241" i="3"/>
  <c r="C241" i="3"/>
  <c r="B241" i="3"/>
  <c r="A241" i="3"/>
  <c r="W241" i="3" s="1"/>
  <c r="AH240" i="3"/>
  <c r="AB240" i="3"/>
  <c r="X240" i="3"/>
  <c r="W240" i="3"/>
  <c r="U240" i="3"/>
  <c r="AJ240" i="3" s="1"/>
  <c r="T240" i="3"/>
  <c r="AM240" i="3" s="1"/>
  <c r="S240" i="3"/>
  <c r="R240" i="3"/>
  <c r="Q240" i="3"/>
  <c r="AI240" i="3" s="1"/>
  <c r="P240" i="3"/>
  <c r="O240" i="3"/>
  <c r="AN240" i="3" s="1"/>
  <c r="N240" i="3"/>
  <c r="M240" i="3"/>
  <c r="L240" i="3"/>
  <c r="AE240" i="3" s="1"/>
  <c r="K240" i="3"/>
  <c r="J240" i="3"/>
  <c r="I240" i="3"/>
  <c r="H240" i="3"/>
  <c r="G240" i="3"/>
  <c r="AD240" i="3" s="1"/>
  <c r="F240" i="3"/>
  <c r="E240" i="3"/>
  <c r="Z240" i="3" s="1"/>
  <c r="AA240" i="3" s="1"/>
  <c r="D240" i="3"/>
  <c r="Y240" i="3" s="1"/>
  <c r="V240" i="3" s="1"/>
  <c r="C240" i="3"/>
  <c r="B240" i="3"/>
  <c r="A240" i="3"/>
  <c r="AH239" i="3"/>
  <c r="AD239" i="3"/>
  <c r="Y239" i="3"/>
  <c r="X239" i="3"/>
  <c r="V239" i="3"/>
  <c r="U239" i="3"/>
  <c r="AJ239" i="3" s="1"/>
  <c r="T239" i="3"/>
  <c r="AM239" i="3" s="1"/>
  <c r="S239" i="3"/>
  <c r="R239" i="3"/>
  <c r="Q239" i="3"/>
  <c r="AI239" i="3" s="1"/>
  <c r="P239" i="3"/>
  <c r="O239" i="3"/>
  <c r="AN239" i="3" s="1"/>
  <c r="N239" i="3"/>
  <c r="M239" i="3"/>
  <c r="AE239" i="3" s="1"/>
  <c r="L239" i="3"/>
  <c r="K239" i="3"/>
  <c r="J239" i="3"/>
  <c r="I239" i="3"/>
  <c r="H239" i="3"/>
  <c r="G239" i="3"/>
  <c r="F239" i="3"/>
  <c r="AB239" i="3" s="1"/>
  <c r="E239" i="3"/>
  <c r="Z239" i="3" s="1"/>
  <c r="AA239" i="3" s="1"/>
  <c r="D239" i="3"/>
  <c r="C239" i="3"/>
  <c r="B239" i="3"/>
  <c r="A239" i="3"/>
  <c r="W239" i="3" s="1"/>
  <c r="AN238" i="3"/>
  <c r="AI238" i="3"/>
  <c r="AD238" i="3"/>
  <c r="W238" i="3"/>
  <c r="U238" i="3"/>
  <c r="AJ238" i="3" s="1"/>
  <c r="T238" i="3"/>
  <c r="AM238" i="3" s="1"/>
  <c r="S238" i="3"/>
  <c r="R238" i="3"/>
  <c r="AH238" i="3" s="1"/>
  <c r="Q238" i="3"/>
  <c r="P238" i="3"/>
  <c r="O238" i="3"/>
  <c r="N238" i="3"/>
  <c r="M238" i="3"/>
  <c r="L238" i="3"/>
  <c r="K238" i="3"/>
  <c r="AE238" i="3" s="1"/>
  <c r="J238" i="3"/>
  <c r="I238" i="3"/>
  <c r="H238" i="3"/>
  <c r="G238" i="3"/>
  <c r="F238" i="3"/>
  <c r="AB238" i="3" s="1"/>
  <c r="E238" i="3"/>
  <c r="Z238" i="3" s="1"/>
  <c r="AA238" i="3" s="1"/>
  <c r="D238" i="3"/>
  <c r="Y238" i="3" s="1"/>
  <c r="V238" i="3" s="1"/>
  <c r="C238" i="3"/>
  <c r="X238" i="3" s="1"/>
  <c r="B238" i="3"/>
  <c r="A238" i="3"/>
  <c r="AI237" i="3"/>
  <c r="AH237" i="3"/>
  <c r="X237" i="3"/>
  <c r="W237" i="3"/>
  <c r="U237" i="3"/>
  <c r="AJ237" i="3" s="1"/>
  <c r="T237" i="3"/>
  <c r="AM237" i="3" s="1"/>
  <c r="S237" i="3"/>
  <c r="R237" i="3"/>
  <c r="Q237" i="3"/>
  <c r="P237" i="3"/>
  <c r="O237" i="3"/>
  <c r="AN237" i="3" s="1"/>
  <c r="N237" i="3"/>
  <c r="M237" i="3"/>
  <c r="AE237" i="3" s="1"/>
  <c r="L237" i="3"/>
  <c r="K237" i="3"/>
  <c r="J237" i="3"/>
  <c r="I237" i="3"/>
  <c r="H237" i="3"/>
  <c r="G237" i="3"/>
  <c r="AD237" i="3" s="1"/>
  <c r="F237" i="3"/>
  <c r="AB237" i="3" s="1"/>
  <c r="E237" i="3"/>
  <c r="Z237" i="3" s="1"/>
  <c r="AA237" i="3" s="1"/>
  <c r="D237" i="3"/>
  <c r="Y237" i="3" s="1"/>
  <c r="V237" i="3" s="1"/>
  <c r="C237" i="3"/>
  <c r="B237" i="3"/>
  <c r="A237" i="3"/>
  <c r="AM236" i="3"/>
  <c r="AH236" i="3"/>
  <c r="AD236" i="3"/>
  <c r="Y236" i="3"/>
  <c r="X236" i="3"/>
  <c r="V236" i="3"/>
  <c r="U236" i="3"/>
  <c r="AJ236" i="3" s="1"/>
  <c r="T236" i="3"/>
  <c r="S236" i="3"/>
  <c r="R236" i="3"/>
  <c r="Q236" i="3"/>
  <c r="AI236" i="3" s="1"/>
  <c r="P236" i="3"/>
  <c r="O236" i="3"/>
  <c r="AN236" i="3" s="1"/>
  <c r="N236" i="3"/>
  <c r="M236" i="3"/>
  <c r="AE236" i="3" s="1"/>
  <c r="L236" i="3"/>
  <c r="K236" i="3"/>
  <c r="J236" i="3"/>
  <c r="I236" i="3"/>
  <c r="H236" i="3"/>
  <c r="G236" i="3"/>
  <c r="F236" i="3"/>
  <c r="AB236" i="3" s="1"/>
  <c r="E236" i="3"/>
  <c r="Z236" i="3" s="1"/>
  <c r="AA236" i="3" s="1"/>
  <c r="D236" i="3"/>
  <c r="C236" i="3"/>
  <c r="B236" i="3"/>
  <c r="A236" i="3"/>
  <c r="W236" i="3" s="1"/>
  <c r="AI235" i="3"/>
  <c r="AH235" i="3"/>
  <c r="AE235" i="3"/>
  <c r="X235" i="3"/>
  <c r="W235" i="3"/>
  <c r="U235" i="3"/>
  <c r="AJ235" i="3" s="1"/>
  <c r="T235" i="3"/>
  <c r="AM235" i="3" s="1"/>
  <c r="S235" i="3"/>
  <c r="R235" i="3"/>
  <c r="Q235" i="3"/>
  <c r="P235" i="3"/>
  <c r="O235" i="3"/>
  <c r="AN235" i="3" s="1"/>
  <c r="N235" i="3"/>
  <c r="M235" i="3"/>
  <c r="L235" i="3"/>
  <c r="K235" i="3"/>
  <c r="J235" i="3"/>
  <c r="I235" i="3"/>
  <c r="H235" i="3"/>
  <c r="G235" i="3"/>
  <c r="AD235" i="3" s="1"/>
  <c r="F235" i="3"/>
  <c r="AB235" i="3" s="1"/>
  <c r="E235" i="3"/>
  <c r="Z235" i="3" s="1"/>
  <c r="D235" i="3"/>
  <c r="Y235" i="3" s="1"/>
  <c r="V235" i="3" s="1"/>
  <c r="C235" i="3"/>
  <c r="B235" i="3"/>
  <c r="A235" i="3"/>
  <c r="AH234" i="3"/>
  <c r="AD234" i="3"/>
  <c r="Y234" i="3"/>
  <c r="V234" i="3" s="1"/>
  <c r="X234" i="3"/>
  <c r="U234" i="3"/>
  <c r="AJ234" i="3" s="1"/>
  <c r="T234" i="3"/>
  <c r="AM234" i="3" s="1"/>
  <c r="S234" i="3"/>
  <c r="R234" i="3"/>
  <c r="Q234" i="3"/>
  <c r="AI234" i="3" s="1"/>
  <c r="P234" i="3"/>
  <c r="O234" i="3"/>
  <c r="AN234" i="3" s="1"/>
  <c r="N234" i="3"/>
  <c r="M234" i="3"/>
  <c r="AE234" i="3" s="1"/>
  <c r="L234" i="3"/>
  <c r="K234" i="3"/>
  <c r="J234" i="3"/>
  <c r="I234" i="3"/>
  <c r="H234" i="3"/>
  <c r="G234" i="3"/>
  <c r="F234" i="3"/>
  <c r="AB234" i="3" s="1"/>
  <c r="E234" i="3"/>
  <c r="Z234" i="3" s="1"/>
  <c r="AA234" i="3" s="1"/>
  <c r="D234" i="3"/>
  <c r="C234" i="3"/>
  <c r="B234" i="3"/>
  <c r="A234" i="3"/>
  <c r="W234" i="3" s="1"/>
  <c r="AH233" i="3"/>
  <c r="X233" i="3"/>
  <c r="W233" i="3"/>
  <c r="U233" i="3"/>
  <c r="AJ233" i="3" s="1"/>
  <c r="T233" i="3"/>
  <c r="AM233" i="3" s="1"/>
  <c r="S233" i="3"/>
  <c r="R233" i="3"/>
  <c r="Q233" i="3"/>
  <c r="AI233" i="3" s="1"/>
  <c r="P233" i="3"/>
  <c r="O233" i="3"/>
  <c r="AN233" i="3" s="1"/>
  <c r="N233" i="3"/>
  <c r="M233" i="3"/>
  <c r="L233" i="3"/>
  <c r="AE233" i="3" s="1"/>
  <c r="K233" i="3"/>
  <c r="J233" i="3"/>
  <c r="I233" i="3"/>
  <c r="H233" i="3"/>
  <c r="G233" i="3"/>
  <c r="AD233" i="3" s="1"/>
  <c r="F233" i="3"/>
  <c r="AB233" i="3" s="1"/>
  <c r="E233" i="3"/>
  <c r="Z233" i="3" s="1"/>
  <c r="D233" i="3"/>
  <c r="Y233" i="3" s="1"/>
  <c r="V233" i="3" s="1"/>
  <c r="C233" i="3"/>
  <c r="B233" i="3"/>
  <c r="A233" i="3"/>
  <c r="AH232" i="3"/>
  <c r="AD232" i="3"/>
  <c r="Y232" i="3"/>
  <c r="X232" i="3"/>
  <c r="V232" i="3"/>
  <c r="U232" i="3"/>
  <c r="AJ232" i="3" s="1"/>
  <c r="T232" i="3"/>
  <c r="AM232" i="3" s="1"/>
  <c r="S232" i="3"/>
  <c r="R232" i="3"/>
  <c r="Q232" i="3"/>
  <c r="AI232" i="3" s="1"/>
  <c r="P232" i="3"/>
  <c r="O232" i="3"/>
  <c r="AN232" i="3" s="1"/>
  <c r="N232" i="3"/>
  <c r="M232" i="3"/>
  <c r="AE232" i="3" s="1"/>
  <c r="L232" i="3"/>
  <c r="K232" i="3"/>
  <c r="J232" i="3"/>
  <c r="I232" i="3"/>
  <c r="H232" i="3"/>
  <c r="G232" i="3"/>
  <c r="F232" i="3"/>
  <c r="AB232" i="3" s="1"/>
  <c r="E232" i="3"/>
  <c r="Z232" i="3" s="1"/>
  <c r="AA232" i="3" s="1"/>
  <c r="D232" i="3"/>
  <c r="C232" i="3"/>
  <c r="B232" i="3"/>
  <c r="A232" i="3"/>
  <c r="W232" i="3" s="1"/>
  <c r="AI231" i="3"/>
  <c r="AH231" i="3"/>
  <c r="Y231" i="3"/>
  <c r="X231" i="3"/>
  <c r="V231" i="3"/>
  <c r="U231" i="3"/>
  <c r="AJ231" i="3" s="1"/>
  <c r="T231" i="3"/>
  <c r="AM231" i="3" s="1"/>
  <c r="S231" i="3"/>
  <c r="R231" i="3"/>
  <c r="Q231" i="3"/>
  <c r="P231" i="3"/>
  <c r="O231" i="3"/>
  <c r="AN231" i="3" s="1"/>
  <c r="N231" i="3"/>
  <c r="M231" i="3"/>
  <c r="AE231" i="3" s="1"/>
  <c r="L231" i="3"/>
  <c r="K231" i="3"/>
  <c r="J231" i="3"/>
  <c r="I231" i="3"/>
  <c r="H231" i="3"/>
  <c r="AD231" i="3" s="1"/>
  <c r="G231" i="3"/>
  <c r="F231" i="3"/>
  <c r="AB231" i="3" s="1"/>
  <c r="E231" i="3"/>
  <c r="Z231" i="3" s="1"/>
  <c r="AA231" i="3" s="1"/>
  <c r="D231" i="3"/>
  <c r="C231" i="3"/>
  <c r="B231" i="3"/>
  <c r="A231" i="3"/>
  <c r="W231" i="3" s="1"/>
  <c r="AJ230" i="3"/>
  <c r="AH230" i="3"/>
  <c r="AB230" i="3"/>
  <c r="X230" i="3"/>
  <c r="U230" i="3"/>
  <c r="T230" i="3"/>
  <c r="AM230" i="3" s="1"/>
  <c r="S230" i="3"/>
  <c r="R230" i="3"/>
  <c r="Q230" i="3"/>
  <c r="AI230" i="3" s="1"/>
  <c r="P230" i="3"/>
  <c r="O230" i="3"/>
  <c r="AN230" i="3" s="1"/>
  <c r="N230" i="3"/>
  <c r="M230" i="3"/>
  <c r="L230" i="3"/>
  <c r="AE230" i="3" s="1"/>
  <c r="K230" i="3"/>
  <c r="J230" i="3"/>
  <c r="I230" i="3"/>
  <c r="H230" i="3"/>
  <c r="G230" i="3"/>
  <c r="AD230" i="3" s="1"/>
  <c r="F230" i="3"/>
  <c r="E230" i="3"/>
  <c r="Z230" i="3" s="1"/>
  <c r="AA230" i="3" s="1"/>
  <c r="D230" i="3"/>
  <c r="Y230" i="3" s="1"/>
  <c r="V230" i="3" s="1"/>
  <c r="C230" i="3"/>
  <c r="B230" i="3"/>
  <c r="A230" i="3"/>
  <c r="W230" i="3" s="1"/>
  <c r="AH229" i="3"/>
  <c r="AB229" i="3"/>
  <c r="X229" i="3"/>
  <c r="W229" i="3"/>
  <c r="U229" i="3"/>
  <c r="AJ229" i="3" s="1"/>
  <c r="T229" i="3"/>
  <c r="AM229" i="3" s="1"/>
  <c r="S229" i="3"/>
  <c r="R229" i="3"/>
  <c r="Q229" i="3"/>
  <c r="AI229" i="3" s="1"/>
  <c r="P229" i="3"/>
  <c r="O229" i="3"/>
  <c r="AN229" i="3" s="1"/>
  <c r="N229" i="3"/>
  <c r="M229" i="3"/>
  <c r="L229" i="3"/>
  <c r="AE229" i="3" s="1"/>
  <c r="K229" i="3"/>
  <c r="J229" i="3"/>
  <c r="I229" i="3"/>
  <c r="H229" i="3"/>
  <c r="G229" i="3"/>
  <c r="AD229" i="3" s="1"/>
  <c r="F229" i="3"/>
  <c r="E229" i="3"/>
  <c r="Z229" i="3" s="1"/>
  <c r="D229" i="3"/>
  <c r="Y229" i="3" s="1"/>
  <c r="V229" i="3" s="1"/>
  <c r="C229" i="3"/>
  <c r="B229" i="3"/>
  <c r="A229" i="3"/>
  <c r="AH228" i="3"/>
  <c r="AD228" i="3"/>
  <c r="AB228" i="3"/>
  <c r="X228" i="3"/>
  <c r="U228" i="3"/>
  <c r="AJ228" i="3" s="1"/>
  <c r="T228" i="3"/>
  <c r="AM228" i="3" s="1"/>
  <c r="S228" i="3"/>
  <c r="R228" i="3"/>
  <c r="Q228" i="3"/>
  <c r="AI228" i="3" s="1"/>
  <c r="P228" i="3"/>
  <c r="O228" i="3"/>
  <c r="AN228" i="3" s="1"/>
  <c r="N228" i="3"/>
  <c r="M228" i="3"/>
  <c r="L228" i="3"/>
  <c r="AE228" i="3" s="1"/>
  <c r="K228" i="3"/>
  <c r="J228" i="3"/>
  <c r="I228" i="3"/>
  <c r="H228" i="3"/>
  <c r="G228" i="3"/>
  <c r="F228" i="3"/>
  <c r="E228" i="3"/>
  <c r="Z228" i="3" s="1"/>
  <c r="AA228" i="3" s="1"/>
  <c r="D228" i="3"/>
  <c r="Y228" i="3" s="1"/>
  <c r="V228" i="3" s="1"/>
  <c r="C228" i="3"/>
  <c r="B228" i="3"/>
  <c r="A228" i="3"/>
  <c r="W228" i="3" s="1"/>
  <c r="AH227" i="3"/>
  <c r="AD227" i="3"/>
  <c r="Y227" i="3"/>
  <c r="X227" i="3"/>
  <c r="V227" i="3"/>
  <c r="U227" i="3"/>
  <c r="AJ227" i="3" s="1"/>
  <c r="T227" i="3"/>
  <c r="AM227" i="3" s="1"/>
  <c r="S227" i="3"/>
  <c r="R227" i="3"/>
  <c r="Q227" i="3"/>
  <c r="AI227" i="3" s="1"/>
  <c r="P227" i="3"/>
  <c r="O227" i="3"/>
  <c r="AN227" i="3" s="1"/>
  <c r="N227" i="3"/>
  <c r="M227" i="3"/>
  <c r="AE227" i="3" s="1"/>
  <c r="L227" i="3"/>
  <c r="K227" i="3"/>
  <c r="J227" i="3"/>
  <c r="I227" i="3"/>
  <c r="H227" i="3"/>
  <c r="G227" i="3"/>
  <c r="F227" i="3"/>
  <c r="AB227" i="3" s="1"/>
  <c r="E227" i="3"/>
  <c r="Z227" i="3" s="1"/>
  <c r="AA227" i="3" s="1"/>
  <c r="D227" i="3"/>
  <c r="C227" i="3"/>
  <c r="B227" i="3"/>
  <c r="A227" i="3"/>
  <c r="W227" i="3" s="1"/>
  <c r="AH226" i="3"/>
  <c r="Y226" i="3"/>
  <c r="X226" i="3"/>
  <c r="W226" i="3"/>
  <c r="V226" i="3"/>
  <c r="U226" i="3"/>
  <c r="AJ226" i="3" s="1"/>
  <c r="T226" i="3"/>
  <c r="AM226" i="3" s="1"/>
  <c r="S226" i="3"/>
  <c r="R226" i="3"/>
  <c r="Q226" i="3"/>
  <c r="AI226" i="3" s="1"/>
  <c r="P226" i="3"/>
  <c r="O226" i="3"/>
  <c r="AN226" i="3" s="1"/>
  <c r="N226" i="3"/>
  <c r="M226" i="3"/>
  <c r="AE226" i="3" s="1"/>
  <c r="L226" i="3"/>
  <c r="K226" i="3"/>
  <c r="J226" i="3"/>
  <c r="I226" i="3"/>
  <c r="H226" i="3"/>
  <c r="G226" i="3"/>
  <c r="AD226" i="3" s="1"/>
  <c r="F226" i="3"/>
  <c r="AB226" i="3" s="1"/>
  <c r="E226" i="3"/>
  <c r="Z226" i="3" s="1"/>
  <c r="AA226" i="3" s="1"/>
  <c r="D226" i="3"/>
  <c r="C226" i="3"/>
  <c r="B226" i="3"/>
  <c r="A226" i="3"/>
  <c r="AI225" i="3"/>
  <c r="AH225" i="3"/>
  <c r="AD225" i="3"/>
  <c r="Y225" i="3"/>
  <c r="X225" i="3"/>
  <c r="V225" i="3"/>
  <c r="U225" i="3"/>
  <c r="AJ225" i="3" s="1"/>
  <c r="T225" i="3"/>
  <c r="AM225" i="3" s="1"/>
  <c r="S225" i="3"/>
  <c r="R225" i="3"/>
  <c r="Q225" i="3"/>
  <c r="P225" i="3"/>
  <c r="O225" i="3"/>
  <c r="AN225" i="3" s="1"/>
  <c r="N225" i="3"/>
  <c r="M225" i="3"/>
  <c r="AE225" i="3" s="1"/>
  <c r="L225" i="3"/>
  <c r="K225" i="3"/>
  <c r="J225" i="3"/>
  <c r="I225" i="3"/>
  <c r="H225" i="3"/>
  <c r="G225" i="3"/>
  <c r="F225" i="3"/>
  <c r="AB225" i="3" s="1"/>
  <c r="E225" i="3"/>
  <c r="Z225" i="3" s="1"/>
  <c r="AA225" i="3" s="1"/>
  <c r="D225" i="3"/>
  <c r="C225" i="3"/>
  <c r="B225" i="3"/>
  <c r="A225" i="3"/>
  <c r="W225" i="3" s="1"/>
  <c r="AJ224" i="3"/>
  <c r="AH224" i="3"/>
  <c r="AE224" i="3"/>
  <c r="Y224" i="3"/>
  <c r="V224" i="3" s="1"/>
  <c r="X224" i="3"/>
  <c r="U224" i="3"/>
  <c r="T224" i="3"/>
  <c r="AM224" i="3" s="1"/>
  <c r="S224" i="3"/>
  <c r="R224" i="3"/>
  <c r="Q224" i="3"/>
  <c r="AI224" i="3" s="1"/>
  <c r="P224" i="3"/>
  <c r="O224" i="3"/>
  <c r="AN224" i="3" s="1"/>
  <c r="N224" i="3"/>
  <c r="M224" i="3"/>
  <c r="L224" i="3"/>
  <c r="K224" i="3"/>
  <c r="J224" i="3"/>
  <c r="I224" i="3"/>
  <c r="H224" i="3"/>
  <c r="G224" i="3"/>
  <c r="AD224" i="3" s="1"/>
  <c r="F224" i="3"/>
  <c r="AB224" i="3" s="1"/>
  <c r="E224" i="3"/>
  <c r="Z224" i="3" s="1"/>
  <c r="AA224" i="3" s="1"/>
  <c r="D224" i="3"/>
  <c r="C224" i="3"/>
  <c r="B224" i="3"/>
  <c r="A224" i="3"/>
  <c r="W224" i="3" s="1"/>
  <c r="AH223" i="3"/>
  <c r="AD223" i="3"/>
  <c r="AB223" i="3"/>
  <c r="X223" i="3"/>
  <c r="U223" i="3"/>
  <c r="AJ223" i="3" s="1"/>
  <c r="T223" i="3"/>
  <c r="AM223" i="3" s="1"/>
  <c r="S223" i="3"/>
  <c r="R223" i="3"/>
  <c r="Q223" i="3"/>
  <c r="AI223" i="3" s="1"/>
  <c r="P223" i="3"/>
  <c r="O223" i="3"/>
  <c r="AN223" i="3" s="1"/>
  <c r="N223" i="3"/>
  <c r="M223" i="3"/>
  <c r="L223" i="3"/>
  <c r="AE223" i="3" s="1"/>
  <c r="K223" i="3"/>
  <c r="J223" i="3"/>
  <c r="I223" i="3"/>
  <c r="H223" i="3"/>
  <c r="G223" i="3"/>
  <c r="F223" i="3"/>
  <c r="E223" i="3"/>
  <c r="Z223" i="3" s="1"/>
  <c r="AA223" i="3" s="1"/>
  <c r="D223" i="3"/>
  <c r="Y223" i="3" s="1"/>
  <c r="V223" i="3" s="1"/>
  <c r="C223" i="3"/>
  <c r="B223" i="3"/>
  <c r="A223" i="3"/>
  <c r="W223" i="3" s="1"/>
  <c r="AI222" i="3"/>
  <c r="AH222" i="3"/>
  <c r="AD222" i="3"/>
  <c r="AB222" i="3"/>
  <c r="X222" i="3"/>
  <c r="W222" i="3"/>
  <c r="U222" i="3"/>
  <c r="AJ222" i="3" s="1"/>
  <c r="T222" i="3"/>
  <c r="AM222" i="3" s="1"/>
  <c r="S222" i="3"/>
  <c r="R222" i="3"/>
  <c r="Q222" i="3"/>
  <c r="P222" i="3"/>
  <c r="O222" i="3"/>
  <c r="AN222" i="3" s="1"/>
  <c r="N222" i="3"/>
  <c r="M222" i="3"/>
  <c r="L222" i="3"/>
  <c r="AE222" i="3" s="1"/>
  <c r="K222" i="3"/>
  <c r="J222" i="3"/>
  <c r="I222" i="3"/>
  <c r="H222" i="3"/>
  <c r="G222" i="3"/>
  <c r="F222" i="3"/>
  <c r="E222" i="3"/>
  <c r="Z222" i="3" s="1"/>
  <c r="AA222" i="3" s="1"/>
  <c r="D222" i="3"/>
  <c r="Y222" i="3" s="1"/>
  <c r="V222" i="3" s="1"/>
  <c r="C222" i="3"/>
  <c r="B222" i="3"/>
  <c r="A222" i="3"/>
  <c r="AJ221" i="3"/>
  <c r="AH221" i="3"/>
  <c r="AB221" i="3"/>
  <c r="X221" i="3"/>
  <c r="U221" i="3"/>
  <c r="T221" i="3"/>
  <c r="AM221" i="3" s="1"/>
  <c r="S221" i="3"/>
  <c r="R221" i="3"/>
  <c r="Q221" i="3"/>
  <c r="AI221" i="3" s="1"/>
  <c r="P221" i="3"/>
  <c r="O221" i="3"/>
  <c r="AN221" i="3" s="1"/>
  <c r="N221" i="3"/>
  <c r="M221" i="3"/>
  <c r="L221" i="3"/>
  <c r="AE221" i="3" s="1"/>
  <c r="K221" i="3"/>
  <c r="J221" i="3"/>
  <c r="I221" i="3"/>
  <c r="H221" i="3"/>
  <c r="G221" i="3"/>
  <c r="AD221" i="3" s="1"/>
  <c r="F221" i="3"/>
  <c r="E221" i="3"/>
  <c r="Z221" i="3" s="1"/>
  <c r="D221" i="3"/>
  <c r="Y221" i="3" s="1"/>
  <c r="V221" i="3" s="1"/>
  <c r="C221" i="3"/>
  <c r="B221" i="3"/>
  <c r="A221" i="3"/>
  <c r="W221" i="3" s="1"/>
  <c r="AJ220" i="3"/>
  <c r="AH220" i="3"/>
  <c r="AE220" i="3"/>
  <c r="Y220" i="3"/>
  <c r="V220" i="3" s="1"/>
  <c r="X220" i="3"/>
  <c r="U220" i="3"/>
  <c r="T220" i="3"/>
  <c r="AM220" i="3" s="1"/>
  <c r="S220" i="3"/>
  <c r="R220" i="3"/>
  <c r="Q220" i="3"/>
  <c r="AI220" i="3" s="1"/>
  <c r="P220" i="3"/>
  <c r="O220" i="3"/>
  <c r="AN220" i="3" s="1"/>
  <c r="N220" i="3"/>
  <c r="M220" i="3"/>
  <c r="L220" i="3"/>
  <c r="K220" i="3"/>
  <c r="J220" i="3"/>
  <c r="I220" i="3"/>
  <c r="H220" i="3"/>
  <c r="G220" i="3"/>
  <c r="AD220" i="3" s="1"/>
  <c r="F220" i="3"/>
  <c r="AB220" i="3" s="1"/>
  <c r="E220" i="3"/>
  <c r="Z220" i="3" s="1"/>
  <c r="AA220" i="3" s="1"/>
  <c r="D220" i="3"/>
  <c r="C220" i="3"/>
  <c r="B220" i="3"/>
  <c r="A220" i="3"/>
  <c r="W220" i="3" s="1"/>
  <c r="AJ219" i="3"/>
  <c r="AH219" i="3"/>
  <c r="AB219" i="3"/>
  <c r="Z219" i="3"/>
  <c r="AA219" i="3" s="1"/>
  <c r="X219" i="3"/>
  <c r="U219" i="3"/>
  <c r="T219" i="3"/>
  <c r="AM219" i="3" s="1"/>
  <c r="S219" i="3"/>
  <c r="R219" i="3"/>
  <c r="Q219" i="3"/>
  <c r="AI219" i="3" s="1"/>
  <c r="P219" i="3"/>
  <c r="O219" i="3"/>
  <c r="AN219" i="3" s="1"/>
  <c r="N219" i="3"/>
  <c r="M219" i="3"/>
  <c r="L219" i="3"/>
  <c r="AE219" i="3" s="1"/>
  <c r="K219" i="3"/>
  <c r="J219" i="3"/>
  <c r="I219" i="3"/>
  <c r="H219" i="3"/>
  <c r="G219" i="3"/>
  <c r="AD219" i="3" s="1"/>
  <c r="F219" i="3"/>
  <c r="E219" i="3"/>
  <c r="D219" i="3"/>
  <c r="Y219" i="3" s="1"/>
  <c r="V219" i="3" s="1"/>
  <c r="C219" i="3"/>
  <c r="B219" i="3"/>
  <c r="A219" i="3"/>
  <c r="W219" i="3" s="1"/>
  <c r="AI218" i="3"/>
  <c r="AH218" i="3"/>
  <c r="AD218" i="3"/>
  <c r="X218" i="3"/>
  <c r="W218" i="3"/>
  <c r="U218" i="3"/>
  <c r="AJ218" i="3" s="1"/>
  <c r="T218" i="3"/>
  <c r="AM218" i="3" s="1"/>
  <c r="S218" i="3"/>
  <c r="R218" i="3"/>
  <c r="Q218" i="3"/>
  <c r="P218" i="3"/>
  <c r="O218" i="3"/>
  <c r="AN218" i="3" s="1"/>
  <c r="N218" i="3"/>
  <c r="M218" i="3"/>
  <c r="AE218" i="3" s="1"/>
  <c r="L218" i="3"/>
  <c r="K218" i="3"/>
  <c r="J218" i="3"/>
  <c r="I218" i="3"/>
  <c r="H218" i="3"/>
  <c r="G218" i="3"/>
  <c r="F218" i="3"/>
  <c r="AB218" i="3" s="1"/>
  <c r="E218" i="3"/>
  <c r="Z218" i="3" s="1"/>
  <c r="AA218" i="3" s="1"/>
  <c r="D218" i="3"/>
  <c r="Y218" i="3" s="1"/>
  <c r="V218" i="3" s="1"/>
  <c r="C218" i="3"/>
  <c r="B218" i="3"/>
  <c r="A218" i="3"/>
  <c r="AI217" i="3"/>
  <c r="AH217" i="3"/>
  <c r="Y217" i="3"/>
  <c r="X217" i="3"/>
  <c r="W217" i="3"/>
  <c r="V217" i="3"/>
  <c r="U217" i="3"/>
  <c r="AJ217" i="3" s="1"/>
  <c r="T217" i="3"/>
  <c r="AM217" i="3" s="1"/>
  <c r="S217" i="3"/>
  <c r="R217" i="3"/>
  <c r="Q217" i="3"/>
  <c r="P217" i="3"/>
  <c r="O217" i="3"/>
  <c r="AN217" i="3" s="1"/>
  <c r="N217" i="3"/>
  <c r="M217" i="3"/>
  <c r="AE217" i="3" s="1"/>
  <c r="L217" i="3"/>
  <c r="K217" i="3"/>
  <c r="J217" i="3"/>
  <c r="I217" i="3"/>
  <c r="H217" i="3"/>
  <c r="G217" i="3"/>
  <c r="AD217" i="3" s="1"/>
  <c r="F217" i="3"/>
  <c r="AB217" i="3" s="1"/>
  <c r="E217" i="3"/>
  <c r="Z217" i="3" s="1"/>
  <c r="AA217" i="3" s="1"/>
  <c r="D217" i="3"/>
  <c r="C217" i="3"/>
  <c r="B217" i="3"/>
  <c r="A217" i="3"/>
  <c r="AH216" i="3"/>
  <c r="AD216" i="3"/>
  <c r="Y216" i="3"/>
  <c r="X216" i="3"/>
  <c r="V216" i="3"/>
  <c r="U216" i="3"/>
  <c r="AJ216" i="3" s="1"/>
  <c r="T216" i="3"/>
  <c r="AM216" i="3" s="1"/>
  <c r="S216" i="3"/>
  <c r="R216" i="3"/>
  <c r="Q216" i="3"/>
  <c r="AI216" i="3" s="1"/>
  <c r="P216" i="3"/>
  <c r="O216" i="3"/>
  <c r="AN216" i="3" s="1"/>
  <c r="N216" i="3"/>
  <c r="M216" i="3"/>
  <c r="AE216" i="3" s="1"/>
  <c r="L216" i="3"/>
  <c r="K216" i="3"/>
  <c r="J216" i="3"/>
  <c r="I216" i="3"/>
  <c r="H216" i="3"/>
  <c r="G216" i="3"/>
  <c r="F216" i="3"/>
  <c r="AB216" i="3" s="1"/>
  <c r="E216" i="3"/>
  <c r="Z216" i="3" s="1"/>
  <c r="AA216" i="3" s="1"/>
  <c r="D216" i="3"/>
  <c r="C216" i="3"/>
  <c r="B216" i="3"/>
  <c r="A216" i="3"/>
  <c r="W216" i="3" s="1"/>
  <c r="AH215" i="3"/>
  <c r="AD215" i="3"/>
  <c r="AB215" i="3"/>
  <c r="X215" i="3"/>
  <c r="U215" i="3"/>
  <c r="AJ215" i="3" s="1"/>
  <c r="T215" i="3"/>
  <c r="AM215" i="3" s="1"/>
  <c r="S215" i="3"/>
  <c r="R215" i="3"/>
  <c r="Q215" i="3"/>
  <c r="AI215" i="3" s="1"/>
  <c r="P215" i="3"/>
  <c r="O215" i="3"/>
  <c r="AN215" i="3" s="1"/>
  <c r="N215" i="3"/>
  <c r="M215" i="3"/>
  <c r="L215" i="3"/>
  <c r="AE215" i="3" s="1"/>
  <c r="K215" i="3"/>
  <c r="J215" i="3"/>
  <c r="I215" i="3"/>
  <c r="H215" i="3"/>
  <c r="G215" i="3"/>
  <c r="F215" i="3"/>
  <c r="E215" i="3"/>
  <c r="Z215" i="3" s="1"/>
  <c r="D215" i="3"/>
  <c r="Y215" i="3" s="1"/>
  <c r="V215" i="3" s="1"/>
  <c r="C215" i="3"/>
  <c r="B215" i="3"/>
  <c r="A215" i="3"/>
  <c r="W215" i="3" s="1"/>
  <c r="AH214" i="3"/>
  <c r="AD214" i="3"/>
  <c r="Y214" i="3"/>
  <c r="X214" i="3"/>
  <c r="V214" i="3"/>
  <c r="U214" i="3"/>
  <c r="AJ214" i="3" s="1"/>
  <c r="T214" i="3"/>
  <c r="AM214" i="3" s="1"/>
  <c r="S214" i="3"/>
  <c r="R214" i="3"/>
  <c r="Q214" i="3"/>
  <c r="AI214" i="3" s="1"/>
  <c r="P214" i="3"/>
  <c r="O214" i="3"/>
  <c r="AN214" i="3" s="1"/>
  <c r="N214" i="3"/>
  <c r="M214" i="3"/>
  <c r="AE214" i="3" s="1"/>
  <c r="L214" i="3"/>
  <c r="K214" i="3"/>
  <c r="J214" i="3"/>
  <c r="I214" i="3"/>
  <c r="H214" i="3"/>
  <c r="G214" i="3"/>
  <c r="F214" i="3"/>
  <c r="AB214" i="3" s="1"/>
  <c r="E214" i="3"/>
  <c r="Z214" i="3" s="1"/>
  <c r="AA214" i="3" s="1"/>
  <c r="D214" i="3"/>
  <c r="C214" i="3"/>
  <c r="B214" i="3"/>
  <c r="A214" i="3"/>
  <c r="W214" i="3" s="1"/>
  <c r="AI213" i="3"/>
  <c r="AH213" i="3"/>
  <c r="AD213" i="3"/>
  <c r="X213" i="3"/>
  <c r="W213" i="3"/>
  <c r="U213" i="3"/>
  <c r="AJ213" i="3" s="1"/>
  <c r="T213" i="3"/>
  <c r="AM213" i="3" s="1"/>
  <c r="S213" i="3"/>
  <c r="R213" i="3"/>
  <c r="Q213" i="3"/>
  <c r="P213" i="3"/>
  <c r="O213" i="3"/>
  <c r="AN213" i="3" s="1"/>
  <c r="N213" i="3"/>
  <c r="M213" i="3"/>
  <c r="AE213" i="3" s="1"/>
  <c r="L213" i="3"/>
  <c r="K213" i="3"/>
  <c r="J213" i="3"/>
  <c r="I213" i="3"/>
  <c r="H213" i="3"/>
  <c r="G213" i="3"/>
  <c r="F213" i="3"/>
  <c r="AB213" i="3" s="1"/>
  <c r="E213" i="3"/>
  <c r="Z213" i="3" s="1"/>
  <c r="AA213" i="3" s="1"/>
  <c r="D213" i="3"/>
  <c r="Y213" i="3" s="1"/>
  <c r="V213" i="3" s="1"/>
  <c r="C213" i="3"/>
  <c r="B213" i="3"/>
  <c r="A213" i="3"/>
  <c r="AI212" i="3"/>
  <c r="AH212" i="3"/>
  <c r="AE212" i="3"/>
  <c r="X212" i="3"/>
  <c r="W212" i="3"/>
  <c r="U212" i="3"/>
  <c r="AJ212" i="3" s="1"/>
  <c r="T212" i="3"/>
  <c r="AM212" i="3" s="1"/>
  <c r="S212" i="3"/>
  <c r="R212" i="3"/>
  <c r="Q212" i="3"/>
  <c r="P212" i="3"/>
  <c r="O212" i="3"/>
  <c r="AN212" i="3" s="1"/>
  <c r="N212" i="3"/>
  <c r="M212" i="3"/>
  <c r="L212" i="3"/>
  <c r="K212" i="3"/>
  <c r="J212" i="3"/>
  <c r="I212" i="3"/>
  <c r="H212" i="3"/>
  <c r="G212" i="3"/>
  <c r="AD212" i="3" s="1"/>
  <c r="F212" i="3"/>
  <c r="AB212" i="3" s="1"/>
  <c r="E212" i="3"/>
  <c r="Z212" i="3" s="1"/>
  <c r="AA212" i="3" s="1"/>
  <c r="D212" i="3"/>
  <c r="Y212" i="3" s="1"/>
  <c r="V212" i="3" s="1"/>
  <c r="C212" i="3"/>
  <c r="B212" i="3"/>
  <c r="A212" i="3"/>
  <c r="AJ211" i="3"/>
  <c r="AH211" i="3"/>
  <c r="Y211" i="3"/>
  <c r="V211" i="3" s="1"/>
  <c r="X211" i="3"/>
  <c r="U211" i="3"/>
  <c r="T211" i="3"/>
  <c r="AM211" i="3" s="1"/>
  <c r="S211" i="3"/>
  <c r="R211" i="3"/>
  <c r="Q211" i="3"/>
  <c r="AI211" i="3" s="1"/>
  <c r="P211" i="3"/>
  <c r="O211" i="3"/>
  <c r="AN211" i="3" s="1"/>
  <c r="N211" i="3"/>
  <c r="M211" i="3"/>
  <c r="AE211" i="3" s="1"/>
  <c r="L211" i="3"/>
  <c r="K211" i="3"/>
  <c r="J211" i="3"/>
  <c r="I211" i="3"/>
  <c r="H211" i="3"/>
  <c r="G211" i="3"/>
  <c r="AD211" i="3" s="1"/>
  <c r="F211" i="3"/>
  <c r="AB211" i="3" s="1"/>
  <c r="E211" i="3"/>
  <c r="Z211" i="3" s="1"/>
  <c r="AA211" i="3" s="1"/>
  <c r="D211" i="3"/>
  <c r="C211" i="3"/>
  <c r="B211" i="3"/>
  <c r="A211" i="3"/>
  <c r="W211" i="3" s="1"/>
  <c r="AJ210" i="3"/>
  <c r="AH210" i="3"/>
  <c r="Y210" i="3"/>
  <c r="V210" i="3" s="1"/>
  <c r="X210" i="3"/>
  <c r="U210" i="3"/>
  <c r="T210" i="3"/>
  <c r="AM210" i="3" s="1"/>
  <c r="S210" i="3"/>
  <c r="R210" i="3"/>
  <c r="Q210" i="3"/>
  <c r="AI210" i="3" s="1"/>
  <c r="P210" i="3"/>
  <c r="O210" i="3"/>
  <c r="AN210" i="3" s="1"/>
  <c r="N210" i="3"/>
  <c r="M210" i="3"/>
  <c r="AE210" i="3" s="1"/>
  <c r="L210" i="3"/>
  <c r="K210" i="3"/>
  <c r="J210" i="3"/>
  <c r="I210" i="3"/>
  <c r="AD210" i="3" s="1"/>
  <c r="H210" i="3"/>
  <c r="G210" i="3"/>
  <c r="F210" i="3"/>
  <c r="AB210" i="3" s="1"/>
  <c r="E210" i="3"/>
  <c r="Z210" i="3" s="1"/>
  <c r="AA210" i="3" s="1"/>
  <c r="D210" i="3"/>
  <c r="C210" i="3"/>
  <c r="B210" i="3"/>
  <c r="A210" i="3"/>
  <c r="W210" i="3" s="1"/>
  <c r="AH209" i="3"/>
  <c r="Y209" i="3"/>
  <c r="V209" i="3" s="1"/>
  <c r="X209" i="3"/>
  <c r="U209" i="3"/>
  <c r="AJ209" i="3" s="1"/>
  <c r="T209" i="3"/>
  <c r="AM209" i="3" s="1"/>
  <c r="S209" i="3"/>
  <c r="R209" i="3"/>
  <c r="Q209" i="3"/>
  <c r="AI209" i="3" s="1"/>
  <c r="P209" i="3"/>
  <c r="O209" i="3"/>
  <c r="AN209" i="3" s="1"/>
  <c r="N209" i="3"/>
  <c r="M209" i="3"/>
  <c r="AE209" i="3" s="1"/>
  <c r="L209" i="3"/>
  <c r="K209" i="3"/>
  <c r="J209" i="3"/>
  <c r="I209" i="3"/>
  <c r="AD209" i="3" s="1"/>
  <c r="H209" i="3"/>
  <c r="G209" i="3"/>
  <c r="F209" i="3"/>
  <c r="AB209" i="3" s="1"/>
  <c r="E209" i="3"/>
  <c r="Z209" i="3" s="1"/>
  <c r="AA209" i="3" s="1"/>
  <c r="D209" i="3"/>
  <c r="C209" i="3"/>
  <c r="B209" i="3"/>
  <c r="A209" i="3"/>
  <c r="W209" i="3" s="1"/>
  <c r="AJ208" i="3"/>
  <c r="AH208" i="3"/>
  <c r="AE208" i="3"/>
  <c r="Y208" i="3"/>
  <c r="X208" i="3"/>
  <c r="W208" i="3"/>
  <c r="V208" i="3"/>
  <c r="U208" i="3"/>
  <c r="T208" i="3"/>
  <c r="AM208" i="3" s="1"/>
  <c r="S208" i="3"/>
  <c r="R208" i="3"/>
  <c r="Q208" i="3"/>
  <c r="AI208" i="3" s="1"/>
  <c r="P208" i="3"/>
  <c r="O208" i="3"/>
  <c r="AN208" i="3" s="1"/>
  <c r="N208" i="3"/>
  <c r="M208" i="3"/>
  <c r="L208" i="3"/>
  <c r="K208" i="3"/>
  <c r="J208" i="3"/>
  <c r="I208" i="3"/>
  <c r="H208" i="3"/>
  <c r="G208" i="3"/>
  <c r="AD208" i="3" s="1"/>
  <c r="F208" i="3"/>
  <c r="AB208" i="3" s="1"/>
  <c r="E208" i="3"/>
  <c r="Z208" i="3" s="1"/>
  <c r="AA208" i="3" s="1"/>
  <c r="D208" i="3"/>
  <c r="C208" i="3"/>
  <c r="B208" i="3"/>
  <c r="A208" i="3"/>
  <c r="AI207" i="3"/>
  <c r="AH207" i="3"/>
  <c r="AD207" i="3"/>
  <c r="AB207" i="3"/>
  <c r="W207" i="3"/>
  <c r="U207" i="3"/>
  <c r="AJ207" i="3" s="1"/>
  <c r="T207" i="3"/>
  <c r="AM207" i="3" s="1"/>
  <c r="S207" i="3"/>
  <c r="R207" i="3"/>
  <c r="Q207" i="3"/>
  <c r="P207" i="3"/>
  <c r="O207" i="3"/>
  <c r="AN207" i="3" s="1"/>
  <c r="N207" i="3"/>
  <c r="M207" i="3"/>
  <c r="L207" i="3"/>
  <c r="AE207" i="3" s="1"/>
  <c r="K207" i="3"/>
  <c r="J207" i="3"/>
  <c r="I207" i="3"/>
  <c r="H207" i="3"/>
  <c r="G207" i="3"/>
  <c r="F207" i="3"/>
  <c r="E207" i="3"/>
  <c r="Z207" i="3" s="1"/>
  <c r="D207" i="3"/>
  <c r="Y207" i="3" s="1"/>
  <c r="V207" i="3" s="1"/>
  <c r="C207" i="3"/>
  <c r="X207" i="3" s="1"/>
  <c r="B207" i="3"/>
  <c r="A207" i="3"/>
  <c r="AI206" i="3"/>
  <c r="AH206" i="3"/>
  <c r="X206" i="3"/>
  <c r="W206" i="3"/>
  <c r="U206" i="3"/>
  <c r="AJ206" i="3" s="1"/>
  <c r="T206" i="3"/>
  <c r="AM206" i="3" s="1"/>
  <c r="S206" i="3"/>
  <c r="R206" i="3"/>
  <c r="Q206" i="3"/>
  <c r="P206" i="3"/>
  <c r="O206" i="3"/>
  <c r="AN206" i="3" s="1"/>
  <c r="N206" i="3"/>
  <c r="M206" i="3"/>
  <c r="AE206" i="3" s="1"/>
  <c r="L206" i="3"/>
  <c r="K206" i="3"/>
  <c r="J206" i="3"/>
  <c r="I206" i="3"/>
  <c r="H206" i="3"/>
  <c r="G206" i="3"/>
  <c r="AD206" i="3" s="1"/>
  <c r="F206" i="3"/>
  <c r="AB206" i="3" s="1"/>
  <c r="E206" i="3"/>
  <c r="Z206" i="3" s="1"/>
  <c r="AA206" i="3" s="1"/>
  <c r="D206" i="3"/>
  <c r="Y206" i="3" s="1"/>
  <c r="V206" i="3" s="1"/>
  <c r="C206" i="3"/>
  <c r="B206" i="3"/>
  <c r="A206" i="3"/>
  <c r="AH205" i="3"/>
  <c r="Y205" i="3"/>
  <c r="V205" i="3" s="1"/>
  <c r="X205" i="3"/>
  <c r="U205" i="3"/>
  <c r="AJ205" i="3" s="1"/>
  <c r="T205" i="3"/>
  <c r="AM205" i="3" s="1"/>
  <c r="S205" i="3"/>
  <c r="R205" i="3"/>
  <c r="Q205" i="3"/>
  <c r="AI205" i="3" s="1"/>
  <c r="P205" i="3"/>
  <c r="O205" i="3"/>
  <c r="AN205" i="3" s="1"/>
  <c r="N205" i="3"/>
  <c r="M205" i="3"/>
  <c r="AE205" i="3" s="1"/>
  <c r="L205" i="3"/>
  <c r="K205" i="3"/>
  <c r="J205" i="3"/>
  <c r="I205" i="3"/>
  <c r="AD205" i="3" s="1"/>
  <c r="H205" i="3"/>
  <c r="G205" i="3"/>
  <c r="F205" i="3"/>
  <c r="AB205" i="3" s="1"/>
  <c r="E205" i="3"/>
  <c r="Z205" i="3" s="1"/>
  <c r="AA205" i="3" s="1"/>
  <c r="D205" i="3"/>
  <c r="C205" i="3"/>
  <c r="B205" i="3"/>
  <c r="A205" i="3"/>
  <c r="W205" i="3" s="1"/>
  <c r="AJ204" i="3"/>
  <c r="AH204" i="3"/>
  <c r="AB204" i="3"/>
  <c r="X204" i="3"/>
  <c r="W204" i="3"/>
  <c r="U204" i="3"/>
  <c r="T204" i="3"/>
  <c r="AM204" i="3" s="1"/>
  <c r="S204" i="3"/>
  <c r="R204" i="3"/>
  <c r="Q204" i="3"/>
  <c r="AI204" i="3" s="1"/>
  <c r="P204" i="3"/>
  <c r="O204" i="3"/>
  <c r="AN204" i="3" s="1"/>
  <c r="N204" i="3"/>
  <c r="M204" i="3"/>
  <c r="L204" i="3"/>
  <c r="AE204" i="3" s="1"/>
  <c r="K204" i="3"/>
  <c r="J204" i="3"/>
  <c r="I204" i="3"/>
  <c r="H204" i="3"/>
  <c r="G204" i="3"/>
  <c r="AD204" i="3" s="1"/>
  <c r="F204" i="3"/>
  <c r="E204" i="3"/>
  <c r="Z204" i="3" s="1"/>
  <c r="D204" i="3"/>
  <c r="Y204" i="3" s="1"/>
  <c r="V204" i="3" s="1"/>
  <c r="C204" i="3"/>
  <c r="B204" i="3"/>
  <c r="A204" i="3"/>
  <c r="AH203" i="3"/>
  <c r="AD203" i="3"/>
  <c r="Y203" i="3"/>
  <c r="X203" i="3"/>
  <c r="V203" i="3"/>
  <c r="U203" i="3"/>
  <c r="AJ203" i="3" s="1"/>
  <c r="T203" i="3"/>
  <c r="AM203" i="3" s="1"/>
  <c r="S203" i="3"/>
  <c r="R203" i="3"/>
  <c r="Q203" i="3"/>
  <c r="AI203" i="3" s="1"/>
  <c r="P203" i="3"/>
  <c r="O203" i="3"/>
  <c r="AN203" i="3" s="1"/>
  <c r="N203" i="3"/>
  <c r="M203" i="3"/>
  <c r="AE203" i="3" s="1"/>
  <c r="L203" i="3"/>
  <c r="K203" i="3"/>
  <c r="J203" i="3"/>
  <c r="I203" i="3"/>
  <c r="H203" i="3"/>
  <c r="G203" i="3"/>
  <c r="F203" i="3"/>
  <c r="AB203" i="3" s="1"/>
  <c r="E203" i="3"/>
  <c r="Z203" i="3" s="1"/>
  <c r="AA203" i="3" s="1"/>
  <c r="D203" i="3"/>
  <c r="C203" i="3"/>
  <c r="B203" i="3"/>
  <c r="A203" i="3"/>
  <c r="W203" i="3" s="1"/>
  <c r="AH202" i="3"/>
  <c r="AD202" i="3"/>
  <c r="AB202" i="3"/>
  <c r="X202" i="3"/>
  <c r="U202" i="3"/>
  <c r="AJ202" i="3" s="1"/>
  <c r="T202" i="3"/>
  <c r="AM202" i="3" s="1"/>
  <c r="S202" i="3"/>
  <c r="R202" i="3"/>
  <c r="Q202" i="3"/>
  <c r="AI202" i="3" s="1"/>
  <c r="P202" i="3"/>
  <c r="O202" i="3"/>
  <c r="AN202" i="3" s="1"/>
  <c r="N202" i="3"/>
  <c r="M202" i="3"/>
  <c r="L202" i="3"/>
  <c r="AE202" i="3" s="1"/>
  <c r="K202" i="3"/>
  <c r="J202" i="3"/>
  <c r="I202" i="3"/>
  <c r="H202" i="3"/>
  <c r="G202" i="3"/>
  <c r="F202" i="3"/>
  <c r="E202" i="3"/>
  <c r="Z202" i="3" s="1"/>
  <c r="D202" i="3"/>
  <c r="Y202" i="3" s="1"/>
  <c r="V202" i="3" s="1"/>
  <c r="C202" i="3"/>
  <c r="B202" i="3"/>
  <c r="A202" i="3"/>
  <c r="W202" i="3" s="1"/>
  <c r="AJ201" i="3"/>
  <c r="AH201" i="3"/>
  <c r="AB201" i="3"/>
  <c r="Y201" i="3"/>
  <c r="V201" i="3" s="1"/>
  <c r="X201" i="3"/>
  <c r="U201" i="3"/>
  <c r="T201" i="3"/>
  <c r="AM201" i="3" s="1"/>
  <c r="S201" i="3"/>
  <c r="R201" i="3"/>
  <c r="Q201" i="3"/>
  <c r="AI201" i="3" s="1"/>
  <c r="P201" i="3"/>
  <c r="O201" i="3"/>
  <c r="AN201" i="3" s="1"/>
  <c r="N201" i="3"/>
  <c r="M201" i="3"/>
  <c r="L201" i="3"/>
  <c r="AE201" i="3" s="1"/>
  <c r="K201" i="3"/>
  <c r="J201" i="3"/>
  <c r="I201" i="3"/>
  <c r="H201" i="3"/>
  <c r="G201" i="3"/>
  <c r="AD201" i="3" s="1"/>
  <c r="F201" i="3"/>
  <c r="E201" i="3"/>
  <c r="Z201" i="3" s="1"/>
  <c r="AA201" i="3" s="1"/>
  <c r="D201" i="3"/>
  <c r="C201" i="3"/>
  <c r="B201" i="3"/>
  <c r="A201" i="3"/>
  <c r="W201" i="3" s="1"/>
  <c r="AJ200" i="3"/>
  <c r="AH200" i="3"/>
  <c r="AB200" i="3"/>
  <c r="X200" i="3"/>
  <c r="U200" i="3"/>
  <c r="T200" i="3"/>
  <c r="AM200" i="3" s="1"/>
  <c r="S200" i="3"/>
  <c r="R200" i="3"/>
  <c r="Q200" i="3"/>
  <c r="AI200" i="3" s="1"/>
  <c r="P200" i="3"/>
  <c r="O200" i="3"/>
  <c r="AN200" i="3" s="1"/>
  <c r="N200" i="3"/>
  <c r="M200" i="3"/>
  <c r="L200" i="3"/>
  <c r="AE200" i="3" s="1"/>
  <c r="K200" i="3"/>
  <c r="J200" i="3"/>
  <c r="I200" i="3"/>
  <c r="H200" i="3"/>
  <c r="G200" i="3"/>
  <c r="AD200" i="3" s="1"/>
  <c r="F200" i="3"/>
  <c r="E200" i="3"/>
  <c r="Z200" i="3" s="1"/>
  <c r="D200" i="3"/>
  <c r="Y200" i="3" s="1"/>
  <c r="V200" i="3" s="1"/>
  <c r="C200" i="3"/>
  <c r="B200" i="3"/>
  <c r="A200" i="3"/>
  <c r="W200" i="3" s="1"/>
  <c r="AI199" i="3"/>
  <c r="AH199" i="3"/>
  <c r="Y199" i="3"/>
  <c r="X199" i="3"/>
  <c r="W199" i="3"/>
  <c r="V199" i="3"/>
  <c r="U199" i="3"/>
  <c r="AJ199" i="3" s="1"/>
  <c r="T199" i="3"/>
  <c r="AM199" i="3" s="1"/>
  <c r="S199" i="3"/>
  <c r="R199" i="3"/>
  <c r="Q199" i="3"/>
  <c r="P199" i="3"/>
  <c r="O199" i="3"/>
  <c r="AN199" i="3" s="1"/>
  <c r="N199" i="3"/>
  <c r="M199" i="3"/>
  <c r="AE199" i="3" s="1"/>
  <c r="L199" i="3"/>
  <c r="K199" i="3"/>
  <c r="J199" i="3"/>
  <c r="I199" i="3"/>
  <c r="H199" i="3"/>
  <c r="G199" i="3"/>
  <c r="AD199" i="3" s="1"/>
  <c r="F199" i="3"/>
  <c r="AB199" i="3" s="1"/>
  <c r="E199" i="3"/>
  <c r="Z199" i="3" s="1"/>
  <c r="AA199" i="3" s="1"/>
  <c r="D199" i="3"/>
  <c r="C199" i="3"/>
  <c r="B199" i="3"/>
  <c r="A199" i="3"/>
  <c r="AI198" i="3"/>
  <c r="AH198" i="3"/>
  <c r="AD198" i="3"/>
  <c r="X198" i="3"/>
  <c r="U198" i="3"/>
  <c r="AJ198" i="3" s="1"/>
  <c r="T198" i="3"/>
  <c r="AM198" i="3" s="1"/>
  <c r="S198" i="3"/>
  <c r="R198" i="3"/>
  <c r="Q198" i="3"/>
  <c r="P198" i="3"/>
  <c r="O198" i="3"/>
  <c r="AN198" i="3" s="1"/>
  <c r="N198" i="3"/>
  <c r="M198" i="3"/>
  <c r="AE198" i="3" s="1"/>
  <c r="L198" i="3"/>
  <c r="K198" i="3"/>
  <c r="J198" i="3"/>
  <c r="I198" i="3"/>
  <c r="H198" i="3"/>
  <c r="G198" i="3"/>
  <c r="F198" i="3"/>
  <c r="AB198" i="3" s="1"/>
  <c r="E198" i="3"/>
  <c r="Z198" i="3" s="1"/>
  <c r="AA198" i="3" s="1"/>
  <c r="D198" i="3"/>
  <c r="Y198" i="3" s="1"/>
  <c r="V198" i="3" s="1"/>
  <c r="C198" i="3"/>
  <c r="B198" i="3"/>
  <c r="A198" i="3"/>
  <c r="W198" i="3" s="1"/>
  <c r="AH197" i="3"/>
  <c r="Y197" i="3"/>
  <c r="V197" i="3" s="1"/>
  <c r="X197" i="3"/>
  <c r="W197" i="3"/>
  <c r="U197" i="3"/>
  <c r="AJ197" i="3" s="1"/>
  <c r="T197" i="3"/>
  <c r="AM197" i="3" s="1"/>
  <c r="S197" i="3"/>
  <c r="R197" i="3"/>
  <c r="Q197" i="3"/>
  <c r="AI197" i="3" s="1"/>
  <c r="P197" i="3"/>
  <c r="O197" i="3"/>
  <c r="AN197" i="3" s="1"/>
  <c r="N197" i="3"/>
  <c r="M197" i="3"/>
  <c r="AE197" i="3" s="1"/>
  <c r="L197" i="3"/>
  <c r="K197" i="3"/>
  <c r="J197" i="3"/>
  <c r="I197" i="3"/>
  <c r="H197" i="3"/>
  <c r="G197" i="3"/>
  <c r="AD197" i="3" s="1"/>
  <c r="F197" i="3"/>
  <c r="AB197" i="3" s="1"/>
  <c r="E197" i="3"/>
  <c r="Z197" i="3" s="1"/>
  <c r="AA197" i="3" s="1"/>
  <c r="D197" i="3"/>
  <c r="C197" i="3"/>
  <c r="B197" i="3"/>
  <c r="A197" i="3"/>
  <c r="AJ196" i="3"/>
  <c r="AI196" i="3"/>
  <c r="AH196" i="3"/>
  <c r="AB196" i="3"/>
  <c r="X196" i="3"/>
  <c r="W196" i="3"/>
  <c r="U196" i="3"/>
  <c r="T196" i="3"/>
  <c r="AM196" i="3" s="1"/>
  <c r="S196" i="3"/>
  <c r="R196" i="3"/>
  <c r="Q196" i="3"/>
  <c r="P196" i="3"/>
  <c r="O196" i="3"/>
  <c r="AN196" i="3" s="1"/>
  <c r="N196" i="3"/>
  <c r="M196" i="3"/>
  <c r="L196" i="3"/>
  <c r="AE196" i="3" s="1"/>
  <c r="K196" i="3"/>
  <c r="J196" i="3"/>
  <c r="I196" i="3"/>
  <c r="H196" i="3"/>
  <c r="G196" i="3"/>
  <c r="AD196" i="3" s="1"/>
  <c r="F196" i="3"/>
  <c r="E196" i="3"/>
  <c r="Z196" i="3" s="1"/>
  <c r="D196" i="3"/>
  <c r="Y196" i="3" s="1"/>
  <c r="V196" i="3" s="1"/>
  <c r="C196" i="3"/>
  <c r="B196" i="3"/>
  <c r="A196" i="3"/>
  <c r="AJ195" i="3"/>
  <c r="AH195" i="3"/>
  <c r="AE195" i="3"/>
  <c r="Y195" i="3"/>
  <c r="X195" i="3"/>
  <c r="V195" i="3"/>
  <c r="U195" i="3"/>
  <c r="T195" i="3"/>
  <c r="AM195" i="3" s="1"/>
  <c r="S195" i="3"/>
  <c r="R195" i="3"/>
  <c r="Q195" i="3"/>
  <c r="AI195" i="3" s="1"/>
  <c r="P195" i="3"/>
  <c r="O195" i="3"/>
  <c r="AN195" i="3" s="1"/>
  <c r="N195" i="3"/>
  <c r="M195" i="3"/>
  <c r="L195" i="3"/>
  <c r="K195" i="3"/>
  <c r="J195" i="3"/>
  <c r="I195" i="3"/>
  <c r="H195" i="3"/>
  <c r="G195" i="3"/>
  <c r="AD195" i="3" s="1"/>
  <c r="F195" i="3"/>
  <c r="AB195" i="3" s="1"/>
  <c r="E195" i="3"/>
  <c r="Z195" i="3" s="1"/>
  <c r="AA195" i="3" s="1"/>
  <c r="D195" i="3"/>
  <c r="C195" i="3"/>
  <c r="B195" i="3"/>
  <c r="A195" i="3"/>
  <c r="W195" i="3" s="1"/>
  <c r="AJ194" i="3"/>
  <c r="AH194" i="3"/>
  <c r="Y194" i="3"/>
  <c r="V194" i="3" s="1"/>
  <c r="X194" i="3"/>
  <c r="U194" i="3"/>
  <c r="T194" i="3"/>
  <c r="AM194" i="3" s="1"/>
  <c r="S194" i="3"/>
  <c r="R194" i="3"/>
  <c r="Q194" i="3"/>
  <c r="AI194" i="3" s="1"/>
  <c r="P194" i="3"/>
  <c r="O194" i="3"/>
  <c r="AN194" i="3" s="1"/>
  <c r="N194" i="3"/>
  <c r="M194" i="3"/>
  <c r="AE194" i="3" s="1"/>
  <c r="L194" i="3"/>
  <c r="K194" i="3"/>
  <c r="J194" i="3"/>
  <c r="I194" i="3"/>
  <c r="AD194" i="3" s="1"/>
  <c r="H194" i="3"/>
  <c r="G194" i="3"/>
  <c r="F194" i="3"/>
  <c r="AB194" i="3" s="1"/>
  <c r="E194" i="3"/>
  <c r="Z194" i="3" s="1"/>
  <c r="AA194" i="3" s="1"/>
  <c r="D194" i="3"/>
  <c r="C194" i="3"/>
  <c r="B194" i="3"/>
  <c r="A194" i="3"/>
  <c r="W194" i="3" s="1"/>
  <c r="AH193" i="3"/>
  <c r="AD193" i="3"/>
  <c r="AB193" i="3"/>
  <c r="X193" i="3"/>
  <c r="W193" i="3"/>
  <c r="U193" i="3"/>
  <c r="AJ193" i="3" s="1"/>
  <c r="T193" i="3"/>
  <c r="AM193" i="3" s="1"/>
  <c r="S193" i="3"/>
  <c r="R193" i="3"/>
  <c r="Q193" i="3"/>
  <c r="AI193" i="3" s="1"/>
  <c r="P193" i="3"/>
  <c r="O193" i="3"/>
  <c r="AN193" i="3" s="1"/>
  <c r="N193" i="3"/>
  <c r="M193" i="3"/>
  <c r="L193" i="3"/>
  <c r="AE193" i="3" s="1"/>
  <c r="K193" i="3"/>
  <c r="J193" i="3"/>
  <c r="I193" i="3"/>
  <c r="H193" i="3"/>
  <c r="G193" i="3"/>
  <c r="F193" i="3"/>
  <c r="E193" i="3"/>
  <c r="Z193" i="3" s="1"/>
  <c r="AA193" i="3" s="1"/>
  <c r="D193" i="3"/>
  <c r="Y193" i="3" s="1"/>
  <c r="V193" i="3" s="1"/>
  <c r="C193" i="3"/>
  <c r="B193" i="3"/>
  <c r="A193" i="3"/>
  <c r="AJ192" i="3"/>
  <c r="AH192" i="3"/>
  <c r="Y192" i="3"/>
  <c r="V192" i="3" s="1"/>
  <c r="X192" i="3"/>
  <c r="U192" i="3"/>
  <c r="T192" i="3"/>
  <c r="AM192" i="3" s="1"/>
  <c r="S192" i="3"/>
  <c r="R192" i="3"/>
  <c r="Q192" i="3"/>
  <c r="AI192" i="3" s="1"/>
  <c r="P192" i="3"/>
  <c r="O192" i="3"/>
  <c r="AN192" i="3" s="1"/>
  <c r="N192" i="3"/>
  <c r="M192" i="3"/>
  <c r="L192" i="3"/>
  <c r="AE192" i="3" s="1"/>
  <c r="K192" i="3"/>
  <c r="J192" i="3"/>
  <c r="I192" i="3"/>
  <c r="H192" i="3"/>
  <c r="G192" i="3"/>
  <c r="AD192" i="3" s="1"/>
  <c r="F192" i="3"/>
  <c r="AB192" i="3" s="1"/>
  <c r="E192" i="3"/>
  <c r="Z192" i="3" s="1"/>
  <c r="AA192" i="3" s="1"/>
  <c r="D192" i="3"/>
  <c r="C192" i="3"/>
  <c r="B192" i="3"/>
  <c r="A192" i="3"/>
  <c r="W192" i="3" s="1"/>
  <c r="AI191" i="3"/>
  <c r="AH191" i="3"/>
  <c r="Y191" i="3"/>
  <c r="X191" i="3"/>
  <c r="V191" i="3"/>
  <c r="U191" i="3"/>
  <c r="AJ191" i="3" s="1"/>
  <c r="T191" i="3"/>
  <c r="AM191" i="3" s="1"/>
  <c r="S191" i="3"/>
  <c r="R191" i="3"/>
  <c r="Q191" i="3"/>
  <c r="P191" i="3"/>
  <c r="O191" i="3"/>
  <c r="AN191" i="3" s="1"/>
  <c r="N191" i="3"/>
  <c r="M191" i="3"/>
  <c r="AE191" i="3" s="1"/>
  <c r="L191" i="3"/>
  <c r="K191" i="3"/>
  <c r="J191" i="3"/>
  <c r="I191" i="3"/>
  <c r="H191" i="3"/>
  <c r="AD191" i="3" s="1"/>
  <c r="G191" i="3"/>
  <c r="F191" i="3"/>
  <c r="AB191" i="3" s="1"/>
  <c r="E191" i="3"/>
  <c r="Z191" i="3" s="1"/>
  <c r="AA191" i="3" s="1"/>
  <c r="D191" i="3"/>
  <c r="C191" i="3"/>
  <c r="B191" i="3"/>
  <c r="A191" i="3"/>
  <c r="W191" i="3" s="1"/>
  <c r="AI190" i="3"/>
  <c r="AH190" i="3"/>
  <c r="AB190" i="3"/>
  <c r="X190" i="3"/>
  <c r="W190" i="3"/>
  <c r="U190" i="3"/>
  <c r="AJ190" i="3" s="1"/>
  <c r="T190" i="3"/>
  <c r="AM190" i="3" s="1"/>
  <c r="S190" i="3"/>
  <c r="R190" i="3"/>
  <c r="Q190" i="3"/>
  <c r="P190" i="3"/>
  <c r="O190" i="3"/>
  <c r="AN190" i="3" s="1"/>
  <c r="N190" i="3"/>
  <c r="M190" i="3"/>
  <c r="L190" i="3"/>
  <c r="AE190" i="3" s="1"/>
  <c r="K190" i="3"/>
  <c r="J190" i="3"/>
  <c r="I190" i="3"/>
  <c r="H190" i="3"/>
  <c r="G190" i="3"/>
  <c r="AD190" i="3" s="1"/>
  <c r="F190" i="3"/>
  <c r="E190" i="3"/>
  <c r="Z190" i="3" s="1"/>
  <c r="D190" i="3"/>
  <c r="Y190" i="3" s="1"/>
  <c r="V190" i="3" s="1"/>
  <c r="C190" i="3"/>
  <c r="B190" i="3"/>
  <c r="A190" i="3"/>
  <c r="AH189" i="3"/>
  <c r="AD189" i="3"/>
  <c r="Y189" i="3"/>
  <c r="V189" i="3" s="1"/>
  <c r="X189" i="3"/>
  <c r="U189" i="3"/>
  <c r="AJ189" i="3" s="1"/>
  <c r="T189" i="3"/>
  <c r="AM189" i="3" s="1"/>
  <c r="S189" i="3"/>
  <c r="R189" i="3"/>
  <c r="Q189" i="3"/>
  <c r="AI189" i="3" s="1"/>
  <c r="P189" i="3"/>
  <c r="O189" i="3"/>
  <c r="AN189" i="3" s="1"/>
  <c r="N189" i="3"/>
  <c r="M189" i="3"/>
  <c r="AE189" i="3" s="1"/>
  <c r="L189" i="3"/>
  <c r="K189" i="3"/>
  <c r="J189" i="3"/>
  <c r="I189" i="3"/>
  <c r="H189" i="3"/>
  <c r="G189" i="3"/>
  <c r="F189" i="3"/>
  <c r="AB189" i="3" s="1"/>
  <c r="E189" i="3"/>
  <c r="Z189" i="3" s="1"/>
  <c r="AA189" i="3" s="1"/>
  <c r="D189" i="3"/>
  <c r="C189" i="3"/>
  <c r="B189" i="3"/>
  <c r="A189" i="3"/>
  <c r="W189" i="3" s="1"/>
  <c r="AI188" i="3"/>
  <c r="AH188" i="3"/>
  <c r="AD188" i="3"/>
  <c r="X188" i="3"/>
  <c r="W188" i="3"/>
  <c r="U188" i="3"/>
  <c r="AJ188" i="3" s="1"/>
  <c r="T188" i="3"/>
  <c r="AM188" i="3" s="1"/>
  <c r="S188" i="3"/>
  <c r="R188" i="3"/>
  <c r="Q188" i="3"/>
  <c r="P188" i="3"/>
  <c r="O188" i="3"/>
  <c r="AN188" i="3" s="1"/>
  <c r="N188" i="3"/>
  <c r="M188" i="3"/>
  <c r="AE188" i="3" s="1"/>
  <c r="L188" i="3"/>
  <c r="K188" i="3"/>
  <c r="J188" i="3"/>
  <c r="I188" i="3"/>
  <c r="H188" i="3"/>
  <c r="G188" i="3"/>
  <c r="F188" i="3"/>
  <c r="AB188" i="3" s="1"/>
  <c r="E188" i="3"/>
  <c r="Z188" i="3" s="1"/>
  <c r="AA188" i="3" s="1"/>
  <c r="D188" i="3"/>
  <c r="Y188" i="3" s="1"/>
  <c r="V188" i="3" s="1"/>
  <c r="C188" i="3"/>
  <c r="B188" i="3"/>
  <c r="A188" i="3"/>
  <c r="AJ187" i="3"/>
  <c r="AH187" i="3"/>
  <c r="Y187" i="3"/>
  <c r="V187" i="3" s="1"/>
  <c r="X187" i="3"/>
  <c r="U187" i="3"/>
  <c r="T187" i="3"/>
  <c r="AM187" i="3" s="1"/>
  <c r="S187" i="3"/>
  <c r="R187" i="3"/>
  <c r="Q187" i="3"/>
  <c r="AI187" i="3" s="1"/>
  <c r="P187" i="3"/>
  <c r="O187" i="3"/>
  <c r="AN187" i="3" s="1"/>
  <c r="N187" i="3"/>
  <c r="M187" i="3"/>
  <c r="AE187" i="3" s="1"/>
  <c r="L187" i="3"/>
  <c r="K187" i="3"/>
  <c r="J187" i="3"/>
  <c r="I187" i="3"/>
  <c r="AD187" i="3" s="1"/>
  <c r="H187" i="3"/>
  <c r="G187" i="3"/>
  <c r="F187" i="3"/>
  <c r="AB187" i="3" s="1"/>
  <c r="E187" i="3"/>
  <c r="Z187" i="3" s="1"/>
  <c r="AA187" i="3" s="1"/>
  <c r="D187" i="3"/>
  <c r="C187" i="3"/>
  <c r="B187" i="3"/>
  <c r="A187" i="3"/>
  <c r="W187" i="3" s="1"/>
  <c r="AH186" i="3"/>
  <c r="AD186" i="3"/>
  <c r="Y186" i="3"/>
  <c r="X186" i="3"/>
  <c r="V186" i="3"/>
  <c r="U186" i="3"/>
  <c r="AJ186" i="3" s="1"/>
  <c r="T186" i="3"/>
  <c r="AM186" i="3" s="1"/>
  <c r="S186" i="3"/>
  <c r="R186" i="3"/>
  <c r="Q186" i="3"/>
  <c r="AI186" i="3" s="1"/>
  <c r="P186" i="3"/>
  <c r="O186" i="3"/>
  <c r="AN186" i="3" s="1"/>
  <c r="N186" i="3"/>
  <c r="M186" i="3"/>
  <c r="AE186" i="3" s="1"/>
  <c r="L186" i="3"/>
  <c r="K186" i="3"/>
  <c r="J186" i="3"/>
  <c r="I186" i="3"/>
  <c r="H186" i="3"/>
  <c r="G186" i="3"/>
  <c r="F186" i="3"/>
  <c r="AB186" i="3" s="1"/>
  <c r="E186" i="3"/>
  <c r="Z186" i="3" s="1"/>
  <c r="AA186" i="3" s="1"/>
  <c r="D186" i="3"/>
  <c r="C186" i="3"/>
  <c r="B186" i="3"/>
  <c r="A186" i="3"/>
  <c r="W186" i="3" s="1"/>
  <c r="AJ185" i="3"/>
  <c r="AH185" i="3"/>
  <c r="AB185" i="3"/>
  <c r="Y185" i="3"/>
  <c r="V185" i="3" s="1"/>
  <c r="X185" i="3"/>
  <c r="U185" i="3"/>
  <c r="T185" i="3"/>
  <c r="AM185" i="3" s="1"/>
  <c r="S185" i="3"/>
  <c r="R185" i="3"/>
  <c r="Q185" i="3"/>
  <c r="AI185" i="3" s="1"/>
  <c r="P185" i="3"/>
  <c r="O185" i="3"/>
  <c r="AN185" i="3" s="1"/>
  <c r="N185" i="3"/>
  <c r="M185" i="3"/>
  <c r="L185" i="3"/>
  <c r="AE185" i="3" s="1"/>
  <c r="K185" i="3"/>
  <c r="J185" i="3"/>
  <c r="I185" i="3"/>
  <c r="H185" i="3"/>
  <c r="G185" i="3"/>
  <c r="AD185" i="3" s="1"/>
  <c r="F185" i="3"/>
  <c r="E185" i="3"/>
  <c r="Z185" i="3" s="1"/>
  <c r="AA185" i="3" s="1"/>
  <c r="D185" i="3"/>
  <c r="C185" i="3"/>
  <c r="B185" i="3"/>
  <c r="A185" i="3"/>
  <c r="W185" i="3" s="1"/>
  <c r="AI184" i="3"/>
  <c r="AH184" i="3"/>
  <c r="AE184" i="3"/>
  <c r="Y184" i="3"/>
  <c r="X184" i="3"/>
  <c r="W184" i="3"/>
  <c r="V184" i="3"/>
  <c r="U184" i="3"/>
  <c r="AJ184" i="3" s="1"/>
  <c r="T184" i="3"/>
  <c r="AM184" i="3" s="1"/>
  <c r="S184" i="3"/>
  <c r="R184" i="3"/>
  <c r="Q184" i="3"/>
  <c r="P184" i="3"/>
  <c r="O184" i="3"/>
  <c r="AN184" i="3" s="1"/>
  <c r="N184" i="3"/>
  <c r="M184" i="3"/>
  <c r="L184" i="3"/>
  <c r="K184" i="3"/>
  <c r="J184" i="3"/>
  <c r="I184" i="3"/>
  <c r="H184" i="3"/>
  <c r="G184" i="3"/>
  <c r="AD184" i="3" s="1"/>
  <c r="F184" i="3"/>
  <c r="AB184" i="3" s="1"/>
  <c r="E184" i="3"/>
  <c r="Z184" i="3" s="1"/>
  <c r="AA184" i="3" s="1"/>
  <c r="D184" i="3"/>
  <c r="C184" i="3"/>
  <c r="B184" i="3"/>
  <c r="A184" i="3"/>
  <c r="AH183" i="3"/>
  <c r="AE183" i="3"/>
  <c r="Y183" i="3"/>
  <c r="X183" i="3"/>
  <c r="V183" i="3"/>
  <c r="U183" i="3"/>
  <c r="AJ183" i="3" s="1"/>
  <c r="T183" i="3"/>
  <c r="AM183" i="3" s="1"/>
  <c r="S183" i="3"/>
  <c r="R183" i="3"/>
  <c r="Q183" i="3"/>
  <c r="AI183" i="3" s="1"/>
  <c r="P183" i="3"/>
  <c r="O183" i="3"/>
  <c r="AN183" i="3" s="1"/>
  <c r="N183" i="3"/>
  <c r="M183" i="3"/>
  <c r="L183" i="3"/>
  <c r="K183" i="3"/>
  <c r="J183" i="3"/>
  <c r="I183" i="3"/>
  <c r="H183" i="3"/>
  <c r="G183" i="3"/>
  <c r="AD183" i="3" s="1"/>
  <c r="F183" i="3"/>
  <c r="AB183" i="3" s="1"/>
  <c r="E183" i="3"/>
  <c r="Z183" i="3" s="1"/>
  <c r="AA183" i="3" s="1"/>
  <c r="D183" i="3"/>
  <c r="C183" i="3"/>
  <c r="B183" i="3"/>
  <c r="A183" i="3"/>
  <c r="W183" i="3" s="1"/>
  <c r="AI182" i="3"/>
  <c r="AH182" i="3"/>
  <c r="AD182" i="3"/>
  <c r="AB182" i="3"/>
  <c r="X182" i="3"/>
  <c r="W182" i="3"/>
  <c r="U182" i="3"/>
  <c r="AJ182" i="3" s="1"/>
  <c r="T182" i="3"/>
  <c r="AM182" i="3" s="1"/>
  <c r="S182" i="3"/>
  <c r="R182" i="3"/>
  <c r="Q182" i="3"/>
  <c r="P182" i="3"/>
  <c r="O182" i="3"/>
  <c r="AN182" i="3" s="1"/>
  <c r="N182" i="3"/>
  <c r="M182" i="3"/>
  <c r="L182" i="3"/>
  <c r="AE182" i="3" s="1"/>
  <c r="K182" i="3"/>
  <c r="J182" i="3"/>
  <c r="I182" i="3"/>
  <c r="H182" i="3"/>
  <c r="G182" i="3"/>
  <c r="F182" i="3"/>
  <c r="E182" i="3"/>
  <c r="Z182" i="3" s="1"/>
  <c r="D182" i="3"/>
  <c r="Y182" i="3" s="1"/>
  <c r="V182" i="3" s="1"/>
  <c r="C182" i="3"/>
  <c r="B182" i="3"/>
  <c r="A182" i="3"/>
  <c r="AH181" i="3"/>
  <c r="AD181" i="3"/>
  <c r="AB181" i="3"/>
  <c r="W181" i="3"/>
  <c r="U181" i="3"/>
  <c r="AJ181" i="3" s="1"/>
  <c r="T181" i="3"/>
  <c r="AM181" i="3" s="1"/>
  <c r="S181" i="3"/>
  <c r="R181" i="3"/>
  <c r="Q181" i="3"/>
  <c r="AI181" i="3" s="1"/>
  <c r="P181" i="3"/>
  <c r="O181" i="3"/>
  <c r="AN181" i="3" s="1"/>
  <c r="N181" i="3"/>
  <c r="M181" i="3"/>
  <c r="L181" i="3"/>
  <c r="AE181" i="3" s="1"/>
  <c r="K181" i="3"/>
  <c r="J181" i="3"/>
  <c r="I181" i="3"/>
  <c r="H181" i="3"/>
  <c r="G181" i="3"/>
  <c r="F181" i="3"/>
  <c r="E181" i="3"/>
  <c r="Z181" i="3" s="1"/>
  <c r="AA181" i="3" s="1"/>
  <c r="D181" i="3"/>
  <c r="Y181" i="3" s="1"/>
  <c r="V181" i="3" s="1"/>
  <c r="C181" i="3"/>
  <c r="X181" i="3" s="1"/>
  <c r="B181" i="3"/>
  <c r="A181" i="3"/>
  <c r="AH180" i="3"/>
  <c r="AD180" i="3"/>
  <c r="Y180" i="3"/>
  <c r="X180" i="3"/>
  <c r="V180" i="3"/>
  <c r="U180" i="3"/>
  <c r="AJ180" i="3" s="1"/>
  <c r="T180" i="3"/>
  <c r="AM180" i="3" s="1"/>
  <c r="S180" i="3"/>
  <c r="R180" i="3"/>
  <c r="Q180" i="3"/>
  <c r="AI180" i="3" s="1"/>
  <c r="P180" i="3"/>
  <c r="O180" i="3"/>
  <c r="AN180" i="3" s="1"/>
  <c r="N180" i="3"/>
  <c r="M180" i="3"/>
  <c r="AE180" i="3" s="1"/>
  <c r="L180" i="3"/>
  <c r="K180" i="3"/>
  <c r="J180" i="3"/>
  <c r="I180" i="3"/>
  <c r="H180" i="3"/>
  <c r="G180" i="3"/>
  <c r="F180" i="3"/>
  <c r="AB180" i="3" s="1"/>
  <c r="E180" i="3"/>
  <c r="Z180" i="3" s="1"/>
  <c r="AA180" i="3" s="1"/>
  <c r="D180" i="3"/>
  <c r="C180" i="3"/>
  <c r="B180" i="3"/>
  <c r="A180" i="3"/>
  <c r="W180" i="3" s="1"/>
  <c r="AI179" i="3"/>
  <c r="AH179" i="3"/>
  <c r="X179" i="3"/>
  <c r="W179" i="3"/>
  <c r="U179" i="3"/>
  <c r="AJ179" i="3" s="1"/>
  <c r="T179" i="3"/>
  <c r="AM179" i="3" s="1"/>
  <c r="S179" i="3"/>
  <c r="R179" i="3"/>
  <c r="Q179" i="3"/>
  <c r="P179" i="3"/>
  <c r="O179" i="3"/>
  <c r="AN179" i="3" s="1"/>
  <c r="N179" i="3"/>
  <c r="M179" i="3"/>
  <c r="L179" i="3"/>
  <c r="AE179" i="3" s="1"/>
  <c r="K179" i="3"/>
  <c r="J179" i="3"/>
  <c r="I179" i="3"/>
  <c r="H179" i="3"/>
  <c r="G179" i="3"/>
  <c r="AD179" i="3" s="1"/>
  <c r="F179" i="3"/>
  <c r="AB179" i="3" s="1"/>
  <c r="E179" i="3"/>
  <c r="Z179" i="3" s="1"/>
  <c r="AA179" i="3" s="1"/>
  <c r="D179" i="3"/>
  <c r="Y179" i="3" s="1"/>
  <c r="V179" i="3" s="1"/>
  <c r="C179" i="3"/>
  <c r="B179" i="3"/>
  <c r="A179" i="3"/>
  <c r="AI178" i="3"/>
  <c r="AH178" i="3"/>
  <c r="AD178" i="3"/>
  <c r="X178" i="3"/>
  <c r="W178" i="3"/>
  <c r="U178" i="3"/>
  <c r="AJ178" i="3" s="1"/>
  <c r="T178" i="3"/>
  <c r="AM178" i="3" s="1"/>
  <c r="S178" i="3"/>
  <c r="R178" i="3"/>
  <c r="Q178" i="3"/>
  <c r="P178" i="3"/>
  <c r="O178" i="3"/>
  <c r="AN178" i="3" s="1"/>
  <c r="N178" i="3"/>
  <c r="M178" i="3"/>
  <c r="AE178" i="3" s="1"/>
  <c r="L178" i="3"/>
  <c r="K178" i="3"/>
  <c r="J178" i="3"/>
  <c r="I178" i="3"/>
  <c r="H178" i="3"/>
  <c r="G178" i="3"/>
  <c r="F178" i="3"/>
  <c r="AB178" i="3" s="1"/>
  <c r="E178" i="3"/>
  <c r="Z178" i="3" s="1"/>
  <c r="D178" i="3"/>
  <c r="Y178" i="3" s="1"/>
  <c r="V178" i="3" s="1"/>
  <c r="C178" i="3"/>
  <c r="B178" i="3"/>
  <c r="A178" i="3"/>
  <c r="AI177" i="3"/>
  <c r="AH177" i="3"/>
  <c r="X177" i="3"/>
  <c r="W177" i="3"/>
  <c r="U177" i="3"/>
  <c r="AJ177" i="3" s="1"/>
  <c r="T177" i="3"/>
  <c r="AM177" i="3" s="1"/>
  <c r="S177" i="3"/>
  <c r="R177" i="3"/>
  <c r="Q177" i="3"/>
  <c r="P177" i="3"/>
  <c r="O177" i="3"/>
  <c r="AN177" i="3" s="1"/>
  <c r="N177" i="3"/>
  <c r="M177" i="3"/>
  <c r="AE177" i="3" s="1"/>
  <c r="L177" i="3"/>
  <c r="K177" i="3"/>
  <c r="J177" i="3"/>
  <c r="I177" i="3"/>
  <c r="H177" i="3"/>
  <c r="G177" i="3"/>
  <c r="AD177" i="3" s="1"/>
  <c r="F177" i="3"/>
  <c r="AB177" i="3" s="1"/>
  <c r="E177" i="3"/>
  <c r="Z177" i="3" s="1"/>
  <c r="AA177" i="3" s="1"/>
  <c r="D177" i="3"/>
  <c r="Y177" i="3" s="1"/>
  <c r="V177" i="3" s="1"/>
  <c r="C177" i="3"/>
  <c r="B177" i="3"/>
  <c r="A177" i="3"/>
  <c r="AI176" i="3"/>
  <c r="AH176" i="3"/>
  <c r="AD176" i="3"/>
  <c r="AB176" i="3"/>
  <c r="X176" i="3"/>
  <c r="W176" i="3"/>
  <c r="U176" i="3"/>
  <c r="AJ176" i="3" s="1"/>
  <c r="T176" i="3"/>
  <c r="AM176" i="3" s="1"/>
  <c r="S176" i="3"/>
  <c r="R176" i="3"/>
  <c r="Q176" i="3"/>
  <c r="P176" i="3"/>
  <c r="O176" i="3"/>
  <c r="AN176" i="3" s="1"/>
  <c r="N176" i="3"/>
  <c r="M176" i="3"/>
  <c r="L176" i="3"/>
  <c r="AE176" i="3" s="1"/>
  <c r="K176" i="3"/>
  <c r="J176" i="3"/>
  <c r="I176" i="3"/>
  <c r="H176" i="3"/>
  <c r="G176" i="3"/>
  <c r="F176" i="3"/>
  <c r="E176" i="3"/>
  <c r="Z176" i="3" s="1"/>
  <c r="D176" i="3"/>
  <c r="Y176" i="3" s="1"/>
  <c r="V176" i="3" s="1"/>
  <c r="C176" i="3"/>
  <c r="B176" i="3"/>
  <c r="A176" i="3"/>
  <c r="AI175" i="3"/>
  <c r="AH175" i="3"/>
  <c r="Y175" i="3"/>
  <c r="X175" i="3"/>
  <c r="W175" i="3"/>
  <c r="V175" i="3"/>
  <c r="U175" i="3"/>
  <c r="AJ175" i="3" s="1"/>
  <c r="T175" i="3"/>
  <c r="AM175" i="3" s="1"/>
  <c r="S175" i="3"/>
  <c r="R175" i="3"/>
  <c r="Q175" i="3"/>
  <c r="P175" i="3"/>
  <c r="O175" i="3"/>
  <c r="AN175" i="3" s="1"/>
  <c r="N175" i="3"/>
  <c r="M175" i="3"/>
  <c r="AE175" i="3" s="1"/>
  <c r="L175" i="3"/>
  <c r="K175" i="3"/>
  <c r="J175" i="3"/>
  <c r="I175" i="3"/>
  <c r="H175" i="3"/>
  <c r="G175" i="3"/>
  <c r="AD175" i="3" s="1"/>
  <c r="F175" i="3"/>
  <c r="AB175" i="3" s="1"/>
  <c r="E175" i="3"/>
  <c r="Z175" i="3" s="1"/>
  <c r="AA175" i="3" s="1"/>
  <c r="D175" i="3"/>
  <c r="C175" i="3"/>
  <c r="B175" i="3"/>
  <c r="A175" i="3"/>
  <c r="AH174" i="3"/>
  <c r="AD174" i="3"/>
  <c r="X174" i="3"/>
  <c r="U174" i="3"/>
  <c r="AJ174" i="3" s="1"/>
  <c r="T174" i="3"/>
  <c r="AM174" i="3" s="1"/>
  <c r="S174" i="3"/>
  <c r="R174" i="3"/>
  <c r="Q174" i="3"/>
  <c r="AI174" i="3" s="1"/>
  <c r="P174" i="3"/>
  <c r="O174" i="3"/>
  <c r="AN174" i="3" s="1"/>
  <c r="N174" i="3"/>
  <c r="M174" i="3"/>
  <c r="AE174" i="3" s="1"/>
  <c r="L174" i="3"/>
  <c r="K174" i="3"/>
  <c r="J174" i="3"/>
  <c r="I174" i="3"/>
  <c r="H174" i="3"/>
  <c r="G174" i="3"/>
  <c r="F174" i="3"/>
  <c r="AB174" i="3" s="1"/>
  <c r="E174" i="3"/>
  <c r="Z174" i="3" s="1"/>
  <c r="AA174" i="3" s="1"/>
  <c r="D174" i="3"/>
  <c r="Y174" i="3" s="1"/>
  <c r="V174" i="3" s="1"/>
  <c r="C174" i="3"/>
  <c r="B174" i="3"/>
  <c r="A174" i="3"/>
  <c r="W174" i="3" s="1"/>
  <c r="AM173" i="3"/>
  <c r="AH173" i="3"/>
  <c r="AD173" i="3"/>
  <c r="Y173" i="3"/>
  <c r="X173" i="3"/>
  <c r="V173" i="3"/>
  <c r="U173" i="3"/>
  <c r="AJ173" i="3" s="1"/>
  <c r="T173" i="3"/>
  <c r="S173" i="3"/>
  <c r="R173" i="3"/>
  <c r="Q173" i="3"/>
  <c r="AI173" i="3" s="1"/>
  <c r="P173" i="3"/>
  <c r="O173" i="3"/>
  <c r="AN173" i="3" s="1"/>
  <c r="N173" i="3"/>
  <c r="M173" i="3"/>
  <c r="AE173" i="3" s="1"/>
  <c r="L173" i="3"/>
  <c r="K173" i="3"/>
  <c r="J173" i="3"/>
  <c r="I173" i="3"/>
  <c r="H173" i="3"/>
  <c r="G173" i="3"/>
  <c r="F173" i="3"/>
  <c r="AB173" i="3" s="1"/>
  <c r="E173" i="3"/>
  <c r="Z173" i="3" s="1"/>
  <c r="AA173" i="3" s="1"/>
  <c r="D173" i="3"/>
  <c r="C173" i="3"/>
  <c r="B173" i="3"/>
  <c r="A173" i="3"/>
  <c r="W173" i="3" s="1"/>
  <c r="AH172" i="3"/>
  <c r="AB172" i="3"/>
  <c r="X172" i="3"/>
  <c r="W172" i="3"/>
  <c r="U172" i="3"/>
  <c r="AJ172" i="3" s="1"/>
  <c r="T172" i="3"/>
  <c r="AM172" i="3" s="1"/>
  <c r="S172" i="3"/>
  <c r="R172" i="3"/>
  <c r="Q172" i="3"/>
  <c r="AI172" i="3" s="1"/>
  <c r="P172" i="3"/>
  <c r="O172" i="3"/>
  <c r="AN172" i="3" s="1"/>
  <c r="N172" i="3"/>
  <c r="M172" i="3"/>
  <c r="L172" i="3"/>
  <c r="AE172" i="3" s="1"/>
  <c r="K172" i="3"/>
  <c r="J172" i="3"/>
  <c r="I172" i="3"/>
  <c r="H172" i="3"/>
  <c r="G172" i="3"/>
  <c r="AD172" i="3" s="1"/>
  <c r="F172" i="3"/>
  <c r="E172" i="3"/>
  <c r="Z172" i="3" s="1"/>
  <c r="D172" i="3"/>
  <c r="Y172" i="3" s="1"/>
  <c r="V172" i="3" s="1"/>
  <c r="C172" i="3"/>
  <c r="B172" i="3"/>
  <c r="A172" i="3"/>
  <c r="AH171" i="3"/>
  <c r="AD171" i="3"/>
  <c r="Y171" i="3"/>
  <c r="X171" i="3"/>
  <c r="V171" i="3"/>
  <c r="U171" i="3"/>
  <c r="AJ171" i="3" s="1"/>
  <c r="T171" i="3"/>
  <c r="AM171" i="3" s="1"/>
  <c r="S171" i="3"/>
  <c r="R171" i="3"/>
  <c r="Q171" i="3"/>
  <c r="AI171" i="3" s="1"/>
  <c r="P171" i="3"/>
  <c r="O171" i="3"/>
  <c r="AN171" i="3" s="1"/>
  <c r="N171" i="3"/>
  <c r="M171" i="3"/>
  <c r="AE171" i="3" s="1"/>
  <c r="L171" i="3"/>
  <c r="K171" i="3"/>
  <c r="J171" i="3"/>
  <c r="I171" i="3"/>
  <c r="H171" i="3"/>
  <c r="G171" i="3"/>
  <c r="F171" i="3"/>
  <c r="AB171" i="3" s="1"/>
  <c r="E171" i="3"/>
  <c r="Z171" i="3" s="1"/>
  <c r="AA171" i="3" s="1"/>
  <c r="D171" i="3"/>
  <c r="C171" i="3"/>
  <c r="B171" i="3"/>
  <c r="A171" i="3"/>
  <c r="W171" i="3" s="1"/>
  <c r="AH170" i="3"/>
  <c r="AD170" i="3"/>
  <c r="Y170" i="3"/>
  <c r="X170" i="3"/>
  <c r="V170" i="3"/>
  <c r="U170" i="3"/>
  <c r="AJ170" i="3" s="1"/>
  <c r="T170" i="3"/>
  <c r="AM170" i="3" s="1"/>
  <c r="S170" i="3"/>
  <c r="R170" i="3"/>
  <c r="Q170" i="3"/>
  <c r="AI170" i="3" s="1"/>
  <c r="P170" i="3"/>
  <c r="O170" i="3"/>
  <c r="AN170" i="3" s="1"/>
  <c r="N170" i="3"/>
  <c r="M170" i="3"/>
  <c r="AE170" i="3" s="1"/>
  <c r="L170" i="3"/>
  <c r="K170" i="3"/>
  <c r="J170" i="3"/>
  <c r="I170" i="3"/>
  <c r="H170" i="3"/>
  <c r="G170" i="3"/>
  <c r="F170" i="3"/>
  <c r="AB170" i="3" s="1"/>
  <c r="E170" i="3"/>
  <c r="Z170" i="3" s="1"/>
  <c r="AA170" i="3" s="1"/>
  <c r="D170" i="3"/>
  <c r="C170" i="3"/>
  <c r="B170" i="3"/>
  <c r="A170" i="3"/>
  <c r="W170" i="3" s="1"/>
  <c r="AH169" i="3"/>
  <c r="AD169" i="3"/>
  <c r="Y169" i="3"/>
  <c r="X169" i="3"/>
  <c r="V169" i="3"/>
  <c r="U169" i="3"/>
  <c r="AJ169" i="3" s="1"/>
  <c r="T169" i="3"/>
  <c r="AM169" i="3" s="1"/>
  <c r="S169" i="3"/>
  <c r="R169" i="3"/>
  <c r="Q169" i="3"/>
  <c r="AI169" i="3" s="1"/>
  <c r="P169" i="3"/>
  <c r="O169" i="3"/>
  <c r="AN169" i="3" s="1"/>
  <c r="N169" i="3"/>
  <c r="M169" i="3"/>
  <c r="AE169" i="3" s="1"/>
  <c r="L169" i="3"/>
  <c r="K169" i="3"/>
  <c r="J169" i="3"/>
  <c r="I169" i="3"/>
  <c r="H169" i="3"/>
  <c r="G169" i="3"/>
  <c r="F169" i="3"/>
  <c r="AB169" i="3" s="1"/>
  <c r="E169" i="3"/>
  <c r="Z169" i="3" s="1"/>
  <c r="AA169" i="3" s="1"/>
  <c r="D169" i="3"/>
  <c r="C169" i="3"/>
  <c r="B169" i="3"/>
  <c r="A169" i="3"/>
  <c r="W169" i="3" s="1"/>
  <c r="AI168" i="3"/>
  <c r="AH168" i="3"/>
  <c r="Y168" i="3"/>
  <c r="X168" i="3"/>
  <c r="W168" i="3"/>
  <c r="V168" i="3"/>
  <c r="U168" i="3"/>
  <c r="AJ168" i="3" s="1"/>
  <c r="T168" i="3"/>
  <c r="AM168" i="3" s="1"/>
  <c r="S168" i="3"/>
  <c r="R168" i="3"/>
  <c r="Q168" i="3"/>
  <c r="P168" i="3"/>
  <c r="O168" i="3"/>
  <c r="AN168" i="3" s="1"/>
  <c r="N168" i="3"/>
  <c r="M168" i="3"/>
  <c r="AE168" i="3" s="1"/>
  <c r="L168" i="3"/>
  <c r="K168" i="3"/>
  <c r="J168" i="3"/>
  <c r="I168" i="3"/>
  <c r="H168" i="3"/>
  <c r="G168" i="3"/>
  <c r="AD168" i="3" s="1"/>
  <c r="F168" i="3"/>
  <c r="AB168" i="3" s="1"/>
  <c r="E168" i="3"/>
  <c r="Z168" i="3" s="1"/>
  <c r="AA168" i="3" s="1"/>
  <c r="D168" i="3"/>
  <c r="C168" i="3"/>
  <c r="B168" i="3"/>
  <c r="A168" i="3"/>
  <c r="AJ167" i="3"/>
  <c r="AH167" i="3"/>
  <c r="AE167" i="3"/>
  <c r="Y167" i="3"/>
  <c r="V167" i="3" s="1"/>
  <c r="X167" i="3"/>
  <c r="U167" i="3"/>
  <c r="T167" i="3"/>
  <c r="AM167" i="3" s="1"/>
  <c r="S167" i="3"/>
  <c r="R167" i="3"/>
  <c r="Q167" i="3"/>
  <c r="AI167" i="3" s="1"/>
  <c r="P167" i="3"/>
  <c r="O167" i="3"/>
  <c r="AN167" i="3" s="1"/>
  <c r="N167" i="3"/>
  <c r="M167" i="3"/>
  <c r="L167" i="3"/>
  <c r="K167" i="3"/>
  <c r="J167" i="3"/>
  <c r="I167" i="3"/>
  <c r="H167" i="3"/>
  <c r="G167" i="3"/>
  <c r="AD167" i="3" s="1"/>
  <c r="F167" i="3"/>
  <c r="AB167" i="3" s="1"/>
  <c r="E167" i="3"/>
  <c r="Z167" i="3" s="1"/>
  <c r="AA167" i="3" s="1"/>
  <c r="D167" i="3"/>
  <c r="C167" i="3"/>
  <c r="B167" i="3"/>
  <c r="A167" i="3"/>
  <c r="W167" i="3" s="1"/>
  <c r="AI166" i="3"/>
  <c r="AH166" i="3"/>
  <c r="AB166" i="3"/>
  <c r="X166" i="3"/>
  <c r="W166" i="3"/>
  <c r="U166" i="3"/>
  <c r="AJ166" i="3" s="1"/>
  <c r="T166" i="3"/>
  <c r="AM166" i="3" s="1"/>
  <c r="S166" i="3"/>
  <c r="R166" i="3"/>
  <c r="Q166" i="3"/>
  <c r="P166" i="3"/>
  <c r="O166" i="3"/>
  <c r="AN166" i="3" s="1"/>
  <c r="N166" i="3"/>
  <c r="M166" i="3"/>
  <c r="L166" i="3"/>
  <c r="AE166" i="3" s="1"/>
  <c r="K166" i="3"/>
  <c r="J166" i="3"/>
  <c r="I166" i="3"/>
  <c r="H166" i="3"/>
  <c r="G166" i="3"/>
  <c r="AD166" i="3" s="1"/>
  <c r="F166" i="3"/>
  <c r="E166" i="3"/>
  <c r="Z166" i="3" s="1"/>
  <c r="D166" i="3"/>
  <c r="Y166" i="3" s="1"/>
  <c r="V166" i="3" s="1"/>
  <c r="C166" i="3"/>
  <c r="B166" i="3"/>
  <c r="A166" i="3"/>
  <c r="AI165" i="3"/>
  <c r="AH165" i="3"/>
  <c r="AB165" i="3"/>
  <c r="X165" i="3"/>
  <c r="U165" i="3"/>
  <c r="AJ165" i="3" s="1"/>
  <c r="T165" i="3"/>
  <c r="AM165" i="3" s="1"/>
  <c r="S165" i="3"/>
  <c r="R165" i="3"/>
  <c r="Q165" i="3"/>
  <c r="P165" i="3"/>
  <c r="O165" i="3"/>
  <c r="AN165" i="3" s="1"/>
  <c r="N165" i="3"/>
  <c r="M165" i="3"/>
  <c r="L165" i="3"/>
  <c r="AE165" i="3" s="1"/>
  <c r="K165" i="3"/>
  <c r="J165" i="3"/>
  <c r="I165" i="3"/>
  <c r="H165" i="3"/>
  <c r="AD165" i="3" s="1"/>
  <c r="G165" i="3"/>
  <c r="F165" i="3"/>
  <c r="E165" i="3"/>
  <c r="Z165" i="3" s="1"/>
  <c r="AA165" i="3" s="1"/>
  <c r="D165" i="3"/>
  <c r="Y165" i="3" s="1"/>
  <c r="V165" i="3" s="1"/>
  <c r="C165" i="3"/>
  <c r="B165" i="3"/>
  <c r="A165" i="3"/>
  <c r="W165" i="3" s="1"/>
  <c r="AJ164" i="3"/>
  <c r="AH164" i="3"/>
  <c r="Y164" i="3"/>
  <c r="V164" i="3" s="1"/>
  <c r="X164" i="3"/>
  <c r="U164" i="3"/>
  <c r="T164" i="3"/>
  <c r="AM164" i="3" s="1"/>
  <c r="S164" i="3"/>
  <c r="R164" i="3"/>
  <c r="Q164" i="3"/>
  <c r="AI164" i="3" s="1"/>
  <c r="P164" i="3"/>
  <c r="O164" i="3"/>
  <c r="AN164" i="3" s="1"/>
  <c r="N164" i="3"/>
  <c r="M164" i="3"/>
  <c r="AE164" i="3" s="1"/>
  <c r="L164" i="3"/>
  <c r="K164" i="3"/>
  <c r="J164" i="3"/>
  <c r="I164" i="3"/>
  <c r="AD164" i="3" s="1"/>
  <c r="H164" i="3"/>
  <c r="G164" i="3"/>
  <c r="F164" i="3"/>
  <c r="AB164" i="3" s="1"/>
  <c r="E164" i="3"/>
  <c r="Z164" i="3" s="1"/>
  <c r="AA164" i="3" s="1"/>
  <c r="D164" i="3"/>
  <c r="C164" i="3"/>
  <c r="B164" i="3"/>
  <c r="A164" i="3"/>
  <c r="W164" i="3" s="1"/>
  <c r="AI163" i="3"/>
  <c r="AH163" i="3"/>
  <c r="AD163" i="3"/>
  <c r="X163" i="3"/>
  <c r="W163" i="3"/>
  <c r="U163" i="3"/>
  <c r="AJ163" i="3" s="1"/>
  <c r="T163" i="3"/>
  <c r="AM163" i="3" s="1"/>
  <c r="S163" i="3"/>
  <c r="R163" i="3"/>
  <c r="Q163" i="3"/>
  <c r="P163" i="3"/>
  <c r="O163" i="3"/>
  <c r="AN163" i="3" s="1"/>
  <c r="N163" i="3"/>
  <c r="M163" i="3"/>
  <c r="AE163" i="3" s="1"/>
  <c r="L163" i="3"/>
  <c r="K163" i="3"/>
  <c r="J163" i="3"/>
  <c r="I163" i="3"/>
  <c r="H163" i="3"/>
  <c r="G163" i="3"/>
  <c r="F163" i="3"/>
  <c r="AB163" i="3" s="1"/>
  <c r="E163" i="3"/>
  <c r="Z163" i="3" s="1"/>
  <c r="AA163" i="3" s="1"/>
  <c r="D163" i="3"/>
  <c r="Y163" i="3" s="1"/>
  <c r="V163" i="3" s="1"/>
  <c r="C163" i="3"/>
  <c r="B163" i="3"/>
  <c r="A163" i="3"/>
  <c r="AH162" i="3"/>
  <c r="AD162" i="3"/>
  <c r="AB162" i="3"/>
  <c r="X162" i="3"/>
  <c r="U162" i="3"/>
  <c r="AJ162" i="3" s="1"/>
  <c r="T162" i="3"/>
  <c r="AM162" i="3" s="1"/>
  <c r="S162" i="3"/>
  <c r="R162" i="3"/>
  <c r="Q162" i="3"/>
  <c r="AI162" i="3" s="1"/>
  <c r="P162" i="3"/>
  <c r="O162" i="3"/>
  <c r="AN162" i="3" s="1"/>
  <c r="N162" i="3"/>
  <c r="M162" i="3"/>
  <c r="L162" i="3"/>
  <c r="AE162" i="3" s="1"/>
  <c r="K162" i="3"/>
  <c r="J162" i="3"/>
  <c r="I162" i="3"/>
  <c r="H162" i="3"/>
  <c r="G162" i="3"/>
  <c r="F162" i="3"/>
  <c r="E162" i="3"/>
  <c r="Z162" i="3" s="1"/>
  <c r="AA162" i="3" s="1"/>
  <c r="D162" i="3"/>
  <c r="Y162" i="3" s="1"/>
  <c r="V162" i="3" s="1"/>
  <c r="C162" i="3"/>
  <c r="B162" i="3"/>
  <c r="A162" i="3"/>
  <c r="W162" i="3" s="1"/>
  <c r="AI161" i="3"/>
  <c r="AH161" i="3"/>
  <c r="AB161" i="3"/>
  <c r="X161" i="3"/>
  <c r="W161" i="3"/>
  <c r="U161" i="3"/>
  <c r="AJ161" i="3" s="1"/>
  <c r="T161" i="3"/>
  <c r="AM161" i="3" s="1"/>
  <c r="S161" i="3"/>
  <c r="R161" i="3"/>
  <c r="Q161" i="3"/>
  <c r="P161" i="3"/>
  <c r="O161" i="3"/>
  <c r="AN161" i="3" s="1"/>
  <c r="N161" i="3"/>
  <c r="M161" i="3"/>
  <c r="L161" i="3"/>
  <c r="AE161" i="3" s="1"/>
  <c r="K161" i="3"/>
  <c r="J161" i="3"/>
  <c r="I161" i="3"/>
  <c r="H161" i="3"/>
  <c r="G161" i="3"/>
  <c r="AD161" i="3" s="1"/>
  <c r="F161" i="3"/>
  <c r="E161" i="3"/>
  <c r="Z161" i="3" s="1"/>
  <c r="D161" i="3"/>
  <c r="Y161" i="3" s="1"/>
  <c r="V161" i="3" s="1"/>
  <c r="C161" i="3"/>
  <c r="B161" i="3"/>
  <c r="A161" i="3"/>
  <c r="AH160" i="3"/>
  <c r="AD160" i="3"/>
  <c r="Y160" i="3"/>
  <c r="X160" i="3"/>
  <c r="V160" i="3"/>
  <c r="U160" i="3"/>
  <c r="AJ160" i="3" s="1"/>
  <c r="T160" i="3"/>
  <c r="AM160" i="3" s="1"/>
  <c r="S160" i="3"/>
  <c r="R160" i="3"/>
  <c r="Q160" i="3"/>
  <c r="AI160" i="3" s="1"/>
  <c r="P160" i="3"/>
  <c r="O160" i="3"/>
  <c r="AN160" i="3" s="1"/>
  <c r="N160" i="3"/>
  <c r="M160" i="3"/>
  <c r="AE160" i="3" s="1"/>
  <c r="L160" i="3"/>
  <c r="K160" i="3"/>
  <c r="J160" i="3"/>
  <c r="I160" i="3"/>
  <c r="H160" i="3"/>
  <c r="G160" i="3"/>
  <c r="F160" i="3"/>
  <c r="AB160" i="3" s="1"/>
  <c r="E160" i="3"/>
  <c r="Z160" i="3" s="1"/>
  <c r="AA160" i="3" s="1"/>
  <c r="D160" i="3"/>
  <c r="C160" i="3"/>
  <c r="B160" i="3"/>
  <c r="A160" i="3"/>
  <c r="W160" i="3" s="1"/>
  <c r="AH159" i="3"/>
  <c r="Y159" i="3"/>
  <c r="V159" i="3" s="1"/>
  <c r="X159" i="3"/>
  <c r="U159" i="3"/>
  <c r="AJ159" i="3" s="1"/>
  <c r="T159" i="3"/>
  <c r="AM159" i="3" s="1"/>
  <c r="S159" i="3"/>
  <c r="R159" i="3"/>
  <c r="Q159" i="3"/>
  <c r="AI159" i="3" s="1"/>
  <c r="P159" i="3"/>
  <c r="O159" i="3"/>
  <c r="AN159" i="3" s="1"/>
  <c r="N159" i="3"/>
  <c r="M159" i="3"/>
  <c r="AE159" i="3" s="1"/>
  <c r="L159" i="3"/>
  <c r="K159" i="3"/>
  <c r="J159" i="3"/>
  <c r="I159" i="3"/>
  <c r="H159" i="3"/>
  <c r="G159" i="3"/>
  <c r="AD159" i="3" s="1"/>
  <c r="F159" i="3"/>
  <c r="AB159" i="3" s="1"/>
  <c r="E159" i="3"/>
  <c r="Z159" i="3" s="1"/>
  <c r="AA159" i="3" s="1"/>
  <c r="D159" i="3"/>
  <c r="C159" i="3"/>
  <c r="B159" i="3"/>
  <c r="A159" i="3"/>
  <c r="W159" i="3" s="1"/>
  <c r="AI158" i="3"/>
  <c r="AH158" i="3"/>
  <c r="AE158" i="3"/>
  <c r="X158" i="3"/>
  <c r="W158" i="3"/>
  <c r="U158" i="3"/>
  <c r="AJ158" i="3" s="1"/>
  <c r="T158" i="3"/>
  <c r="AM158" i="3" s="1"/>
  <c r="S158" i="3"/>
  <c r="R158" i="3"/>
  <c r="Q158" i="3"/>
  <c r="P158" i="3"/>
  <c r="O158" i="3"/>
  <c r="AN158" i="3" s="1"/>
  <c r="N158" i="3"/>
  <c r="M158" i="3"/>
  <c r="L158" i="3"/>
  <c r="K158" i="3"/>
  <c r="J158" i="3"/>
  <c r="I158" i="3"/>
  <c r="H158" i="3"/>
  <c r="G158" i="3"/>
  <c r="AD158" i="3" s="1"/>
  <c r="F158" i="3"/>
  <c r="AB158" i="3" s="1"/>
  <c r="E158" i="3"/>
  <c r="Z158" i="3" s="1"/>
  <c r="AA158" i="3" s="1"/>
  <c r="D158" i="3"/>
  <c r="Y158" i="3" s="1"/>
  <c r="V158" i="3" s="1"/>
  <c r="C158" i="3"/>
  <c r="B158" i="3"/>
  <c r="A158" i="3"/>
  <c r="AI157" i="3"/>
  <c r="AH157" i="3"/>
  <c r="AB157" i="3"/>
  <c r="X157" i="3"/>
  <c r="U157" i="3"/>
  <c r="AJ157" i="3" s="1"/>
  <c r="T157" i="3"/>
  <c r="AM157" i="3" s="1"/>
  <c r="S157" i="3"/>
  <c r="R157" i="3"/>
  <c r="Q157" i="3"/>
  <c r="P157" i="3"/>
  <c r="O157" i="3"/>
  <c r="AN157" i="3" s="1"/>
  <c r="N157" i="3"/>
  <c r="M157" i="3"/>
  <c r="L157" i="3"/>
  <c r="AE157" i="3" s="1"/>
  <c r="K157" i="3"/>
  <c r="J157" i="3"/>
  <c r="I157" i="3"/>
  <c r="H157" i="3"/>
  <c r="AD157" i="3" s="1"/>
  <c r="G157" i="3"/>
  <c r="F157" i="3"/>
  <c r="E157" i="3"/>
  <c r="Z157" i="3" s="1"/>
  <c r="AA157" i="3" s="1"/>
  <c r="D157" i="3"/>
  <c r="Y157" i="3" s="1"/>
  <c r="V157" i="3" s="1"/>
  <c r="C157" i="3"/>
  <c r="B157" i="3"/>
  <c r="A157" i="3"/>
  <c r="W157" i="3" s="1"/>
  <c r="AJ156" i="3"/>
  <c r="AH156" i="3"/>
  <c r="AE156" i="3"/>
  <c r="Y156" i="3"/>
  <c r="X156" i="3"/>
  <c r="V156" i="3"/>
  <c r="U156" i="3"/>
  <c r="T156" i="3"/>
  <c r="AM156" i="3" s="1"/>
  <c r="S156" i="3"/>
  <c r="R156" i="3"/>
  <c r="Q156" i="3"/>
  <c r="AI156" i="3" s="1"/>
  <c r="P156" i="3"/>
  <c r="O156" i="3"/>
  <c r="AN156" i="3" s="1"/>
  <c r="N156" i="3"/>
  <c r="M156" i="3"/>
  <c r="L156" i="3"/>
  <c r="K156" i="3"/>
  <c r="J156" i="3"/>
  <c r="I156" i="3"/>
  <c r="AD156" i="3" s="1"/>
  <c r="H156" i="3"/>
  <c r="G156" i="3"/>
  <c r="F156" i="3"/>
  <c r="AB156" i="3" s="1"/>
  <c r="E156" i="3"/>
  <c r="Z156" i="3" s="1"/>
  <c r="AA156" i="3" s="1"/>
  <c r="D156" i="3"/>
  <c r="C156" i="3"/>
  <c r="B156" i="3"/>
  <c r="A156" i="3"/>
  <c r="W156" i="3" s="1"/>
  <c r="AJ155" i="3"/>
  <c r="AH155" i="3"/>
  <c r="AE155" i="3"/>
  <c r="Y155" i="3"/>
  <c r="V155" i="3" s="1"/>
  <c r="X155" i="3"/>
  <c r="U155" i="3"/>
  <c r="T155" i="3"/>
  <c r="AM155" i="3" s="1"/>
  <c r="S155" i="3"/>
  <c r="R155" i="3"/>
  <c r="Q155" i="3"/>
  <c r="AI155" i="3" s="1"/>
  <c r="P155" i="3"/>
  <c r="O155" i="3"/>
  <c r="AN155" i="3" s="1"/>
  <c r="N155" i="3"/>
  <c r="M155" i="3"/>
  <c r="L155" i="3"/>
  <c r="K155" i="3"/>
  <c r="J155" i="3"/>
  <c r="I155" i="3"/>
  <c r="H155" i="3"/>
  <c r="G155" i="3"/>
  <c r="AD155" i="3" s="1"/>
  <c r="F155" i="3"/>
  <c r="AB155" i="3" s="1"/>
  <c r="E155" i="3"/>
  <c r="Z155" i="3" s="1"/>
  <c r="AA155" i="3" s="1"/>
  <c r="D155" i="3"/>
  <c r="C155" i="3"/>
  <c r="B155" i="3"/>
  <c r="A155" i="3"/>
  <c r="W155" i="3" s="1"/>
  <c r="AJ154" i="3"/>
  <c r="AH154" i="3"/>
  <c r="AE154" i="3"/>
  <c r="Y154" i="3"/>
  <c r="X154" i="3"/>
  <c r="W154" i="3"/>
  <c r="V154" i="3"/>
  <c r="U154" i="3"/>
  <c r="T154" i="3"/>
  <c r="AM154" i="3" s="1"/>
  <c r="S154" i="3"/>
  <c r="R154" i="3"/>
  <c r="Q154" i="3"/>
  <c r="AI154" i="3" s="1"/>
  <c r="P154" i="3"/>
  <c r="O154" i="3"/>
  <c r="AN154" i="3" s="1"/>
  <c r="N154" i="3"/>
  <c r="M154" i="3"/>
  <c r="L154" i="3"/>
  <c r="K154" i="3"/>
  <c r="J154" i="3"/>
  <c r="I154" i="3"/>
  <c r="H154" i="3"/>
  <c r="G154" i="3"/>
  <c r="AD154" i="3" s="1"/>
  <c r="F154" i="3"/>
  <c r="AB154" i="3" s="1"/>
  <c r="E154" i="3"/>
  <c r="Z154" i="3" s="1"/>
  <c r="AA154" i="3" s="1"/>
  <c r="D154" i="3"/>
  <c r="C154" i="3"/>
  <c r="B154" i="3"/>
  <c r="A154" i="3"/>
  <c r="AJ153" i="3"/>
  <c r="AH153" i="3"/>
  <c r="AB153" i="3"/>
  <c r="Y153" i="3"/>
  <c r="V153" i="3" s="1"/>
  <c r="X153" i="3"/>
  <c r="U153" i="3"/>
  <c r="T153" i="3"/>
  <c r="AM153" i="3" s="1"/>
  <c r="S153" i="3"/>
  <c r="R153" i="3"/>
  <c r="Q153" i="3"/>
  <c r="AI153" i="3" s="1"/>
  <c r="P153" i="3"/>
  <c r="O153" i="3"/>
  <c r="AN153" i="3" s="1"/>
  <c r="N153" i="3"/>
  <c r="M153" i="3"/>
  <c r="L153" i="3"/>
  <c r="AE153" i="3" s="1"/>
  <c r="K153" i="3"/>
  <c r="J153" i="3"/>
  <c r="I153" i="3"/>
  <c r="H153" i="3"/>
  <c r="G153" i="3"/>
  <c r="AD153" i="3" s="1"/>
  <c r="F153" i="3"/>
  <c r="E153" i="3"/>
  <c r="Z153" i="3" s="1"/>
  <c r="AA153" i="3" s="1"/>
  <c r="D153" i="3"/>
  <c r="C153" i="3"/>
  <c r="B153" i="3"/>
  <c r="A153" i="3"/>
  <c r="W153" i="3" s="1"/>
  <c r="AI152" i="3"/>
  <c r="AH152" i="3"/>
  <c r="AD152" i="3"/>
  <c r="AB152" i="3"/>
  <c r="X152" i="3"/>
  <c r="W152" i="3"/>
  <c r="U152" i="3"/>
  <c r="AJ152" i="3" s="1"/>
  <c r="T152" i="3"/>
  <c r="AM152" i="3" s="1"/>
  <c r="S152" i="3"/>
  <c r="R152" i="3"/>
  <c r="Q152" i="3"/>
  <c r="P152" i="3"/>
  <c r="O152" i="3"/>
  <c r="AN152" i="3" s="1"/>
  <c r="N152" i="3"/>
  <c r="M152" i="3"/>
  <c r="L152" i="3"/>
  <c r="AE152" i="3" s="1"/>
  <c r="K152" i="3"/>
  <c r="J152" i="3"/>
  <c r="I152" i="3"/>
  <c r="H152" i="3"/>
  <c r="G152" i="3"/>
  <c r="F152" i="3"/>
  <c r="E152" i="3"/>
  <c r="Z152" i="3" s="1"/>
  <c r="D152" i="3"/>
  <c r="Y152" i="3" s="1"/>
  <c r="V152" i="3" s="1"/>
  <c r="C152" i="3"/>
  <c r="B152" i="3"/>
  <c r="A152" i="3"/>
  <c r="AJ151" i="3"/>
  <c r="AI151" i="3"/>
  <c r="AH151" i="3"/>
  <c r="AB151" i="3"/>
  <c r="X151" i="3"/>
  <c r="W151" i="3"/>
  <c r="U151" i="3"/>
  <c r="T151" i="3"/>
  <c r="AM151" i="3" s="1"/>
  <c r="S151" i="3"/>
  <c r="R151" i="3"/>
  <c r="Q151" i="3"/>
  <c r="P151" i="3"/>
  <c r="O151" i="3"/>
  <c r="AN151" i="3" s="1"/>
  <c r="N151" i="3"/>
  <c r="M151" i="3"/>
  <c r="L151" i="3"/>
  <c r="AE151" i="3" s="1"/>
  <c r="K151" i="3"/>
  <c r="J151" i="3"/>
  <c r="I151" i="3"/>
  <c r="H151" i="3"/>
  <c r="G151" i="3"/>
  <c r="AD151" i="3" s="1"/>
  <c r="F151" i="3"/>
  <c r="E151" i="3"/>
  <c r="Z151" i="3" s="1"/>
  <c r="AA151" i="3" s="1"/>
  <c r="D151" i="3"/>
  <c r="Y151" i="3" s="1"/>
  <c r="V151" i="3" s="1"/>
  <c r="C151" i="3"/>
  <c r="B151" i="3"/>
  <c r="A151" i="3"/>
  <c r="AH150" i="3"/>
  <c r="AE150" i="3"/>
  <c r="X150" i="3"/>
  <c r="U150" i="3"/>
  <c r="AJ150" i="3" s="1"/>
  <c r="T150" i="3"/>
  <c r="AM150" i="3" s="1"/>
  <c r="S150" i="3"/>
  <c r="R150" i="3"/>
  <c r="Q150" i="3"/>
  <c r="AI150" i="3" s="1"/>
  <c r="P150" i="3"/>
  <c r="O150" i="3"/>
  <c r="AN150" i="3" s="1"/>
  <c r="N150" i="3"/>
  <c r="M150" i="3"/>
  <c r="L150" i="3"/>
  <c r="K150" i="3"/>
  <c r="J150" i="3"/>
  <c r="I150" i="3"/>
  <c r="H150" i="3"/>
  <c r="G150" i="3"/>
  <c r="AD150" i="3" s="1"/>
  <c r="F150" i="3"/>
  <c r="AB150" i="3" s="1"/>
  <c r="E150" i="3"/>
  <c r="Z150" i="3" s="1"/>
  <c r="D150" i="3"/>
  <c r="Y150" i="3" s="1"/>
  <c r="V150" i="3" s="1"/>
  <c r="C150" i="3"/>
  <c r="B150" i="3"/>
  <c r="A150" i="3"/>
  <c r="W150" i="3" s="1"/>
  <c r="AH149" i="3"/>
  <c r="AB149" i="3"/>
  <c r="X149" i="3"/>
  <c r="U149" i="3"/>
  <c r="AJ149" i="3" s="1"/>
  <c r="T149" i="3"/>
  <c r="AM149" i="3" s="1"/>
  <c r="S149" i="3"/>
  <c r="R149" i="3"/>
  <c r="Q149" i="3"/>
  <c r="AI149" i="3" s="1"/>
  <c r="P149" i="3"/>
  <c r="O149" i="3"/>
  <c r="AN149" i="3" s="1"/>
  <c r="N149" i="3"/>
  <c r="M149" i="3"/>
  <c r="L149" i="3"/>
  <c r="AE149" i="3" s="1"/>
  <c r="K149" i="3"/>
  <c r="J149" i="3"/>
  <c r="I149" i="3"/>
  <c r="H149" i="3"/>
  <c r="G149" i="3"/>
  <c r="AD149" i="3" s="1"/>
  <c r="F149" i="3"/>
  <c r="E149" i="3"/>
  <c r="Z149" i="3" s="1"/>
  <c r="D149" i="3"/>
  <c r="Y149" i="3" s="1"/>
  <c r="V149" i="3" s="1"/>
  <c r="C149" i="3"/>
  <c r="B149" i="3"/>
  <c r="A149" i="3"/>
  <c r="W149" i="3" s="1"/>
  <c r="AJ148" i="3"/>
  <c r="AI148" i="3"/>
  <c r="AH148" i="3"/>
  <c r="AB148" i="3"/>
  <c r="X148" i="3"/>
  <c r="U148" i="3"/>
  <c r="T148" i="3"/>
  <c r="AM148" i="3" s="1"/>
  <c r="S148" i="3"/>
  <c r="R148" i="3"/>
  <c r="Q148" i="3"/>
  <c r="P148" i="3"/>
  <c r="O148" i="3"/>
  <c r="AN148" i="3" s="1"/>
  <c r="N148" i="3"/>
  <c r="M148" i="3"/>
  <c r="L148" i="3"/>
  <c r="AE148" i="3" s="1"/>
  <c r="K148" i="3"/>
  <c r="J148" i="3"/>
  <c r="I148" i="3"/>
  <c r="H148" i="3"/>
  <c r="G148" i="3"/>
  <c r="AD148" i="3" s="1"/>
  <c r="F148" i="3"/>
  <c r="E148" i="3"/>
  <c r="Z148" i="3" s="1"/>
  <c r="D148" i="3"/>
  <c r="Y148" i="3" s="1"/>
  <c r="V148" i="3" s="1"/>
  <c r="C148" i="3"/>
  <c r="B148" i="3"/>
  <c r="A148" i="3"/>
  <c r="W148" i="3" s="1"/>
  <c r="AH147" i="3"/>
  <c r="AB147" i="3"/>
  <c r="X147" i="3"/>
  <c r="W147" i="3"/>
  <c r="U147" i="3"/>
  <c r="AJ147" i="3" s="1"/>
  <c r="T147" i="3"/>
  <c r="AM147" i="3" s="1"/>
  <c r="S147" i="3"/>
  <c r="R147" i="3"/>
  <c r="Q147" i="3"/>
  <c r="AI147" i="3" s="1"/>
  <c r="P147" i="3"/>
  <c r="O147" i="3"/>
  <c r="AN147" i="3" s="1"/>
  <c r="N147" i="3"/>
  <c r="M147" i="3"/>
  <c r="L147" i="3"/>
  <c r="AE147" i="3" s="1"/>
  <c r="K147" i="3"/>
  <c r="J147" i="3"/>
  <c r="I147" i="3"/>
  <c r="H147" i="3"/>
  <c r="G147" i="3"/>
  <c r="AD147" i="3" s="1"/>
  <c r="F147" i="3"/>
  <c r="E147" i="3"/>
  <c r="Z147" i="3" s="1"/>
  <c r="AA147" i="3" s="1"/>
  <c r="D147" i="3"/>
  <c r="Y147" i="3" s="1"/>
  <c r="V147" i="3" s="1"/>
  <c r="C147" i="3"/>
  <c r="B147" i="3"/>
  <c r="A147" i="3"/>
  <c r="AJ146" i="3"/>
  <c r="AH146" i="3"/>
  <c r="AB146" i="3"/>
  <c r="X146" i="3"/>
  <c r="U146" i="3"/>
  <c r="T146" i="3"/>
  <c r="AM146" i="3" s="1"/>
  <c r="S146" i="3"/>
  <c r="R146" i="3"/>
  <c r="Q146" i="3"/>
  <c r="AI146" i="3" s="1"/>
  <c r="P146" i="3"/>
  <c r="O146" i="3"/>
  <c r="AN146" i="3" s="1"/>
  <c r="N146" i="3"/>
  <c r="M146" i="3"/>
  <c r="L146" i="3"/>
  <c r="AE146" i="3" s="1"/>
  <c r="K146" i="3"/>
  <c r="J146" i="3"/>
  <c r="I146" i="3"/>
  <c r="H146" i="3"/>
  <c r="G146" i="3"/>
  <c r="AD146" i="3" s="1"/>
  <c r="F146" i="3"/>
  <c r="E146" i="3"/>
  <c r="Z146" i="3" s="1"/>
  <c r="AA146" i="3" s="1"/>
  <c r="D146" i="3"/>
  <c r="Y146" i="3" s="1"/>
  <c r="V146" i="3" s="1"/>
  <c r="C146" i="3"/>
  <c r="B146" i="3"/>
  <c r="A146" i="3"/>
  <c r="W146" i="3" s="1"/>
  <c r="AH145" i="3"/>
  <c r="AD145" i="3"/>
  <c r="AB145" i="3"/>
  <c r="X145" i="3"/>
  <c r="U145" i="3"/>
  <c r="AJ145" i="3" s="1"/>
  <c r="T145" i="3"/>
  <c r="AM145" i="3" s="1"/>
  <c r="S145" i="3"/>
  <c r="R145" i="3"/>
  <c r="Q145" i="3"/>
  <c r="AI145" i="3" s="1"/>
  <c r="P145" i="3"/>
  <c r="O145" i="3"/>
  <c r="AN145" i="3" s="1"/>
  <c r="N145" i="3"/>
  <c r="M145" i="3"/>
  <c r="L145" i="3"/>
  <c r="AE145" i="3" s="1"/>
  <c r="K145" i="3"/>
  <c r="J145" i="3"/>
  <c r="I145" i="3"/>
  <c r="H145" i="3"/>
  <c r="G145" i="3"/>
  <c r="F145" i="3"/>
  <c r="E145" i="3"/>
  <c r="Z145" i="3" s="1"/>
  <c r="AA145" i="3" s="1"/>
  <c r="D145" i="3"/>
  <c r="Y145" i="3" s="1"/>
  <c r="V145" i="3" s="1"/>
  <c r="C145" i="3"/>
  <c r="B145" i="3"/>
  <c r="A145" i="3"/>
  <c r="W145" i="3" s="1"/>
  <c r="AH144" i="3"/>
  <c r="AE144" i="3"/>
  <c r="Y144" i="3"/>
  <c r="X144" i="3"/>
  <c r="W144" i="3"/>
  <c r="V144" i="3"/>
  <c r="U144" i="3"/>
  <c r="AJ144" i="3" s="1"/>
  <c r="T144" i="3"/>
  <c r="AM144" i="3" s="1"/>
  <c r="S144" i="3"/>
  <c r="R144" i="3"/>
  <c r="Q144" i="3"/>
  <c r="AI144" i="3" s="1"/>
  <c r="P144" i="3"/>
  <c r="O144" i="3"/>
  <c r="AN144" i="3" s="1"/>
  <c r="N144" i="3"/>
  <c r="M144" i="3"/>
  <c r="L144" i="3"/>
  <c r="K144" i="3"/>
  <c r="J144" i="3"/>
  <c r="I144" i="3"/>
  <c r="H144" i="3"/>
  <c r="G144" i="3"/>
  <c r="AD144" i="3" s="1"/>
  <c r="F144" i="3"/>
  <c r="AB144" i="3" s="1"/>
  <c r="E144" i="3"/>
  <c r="Z144" i="3" s="1"/>
  <c r="AA144" i="3" s="1"/>
  <c r="D144" i="3"/>
  <c r="C144" i="3"/>
  <c r="B144" i="3"/>
  <c r="A144" i="3"/>
  <c r="AI143" i="3"/>
  <c r="AH143" i="3"/>
  <c r="AD143" i="3"/>
  <c r="AB143" i="3"/>
  <c r="X143" i="3"/>
  <c r="W143" i="3"/>
  <c r="U143" i="3"/>
  <c r="AJ143" i="3" s="1"/>
  <c r="T143" i="3"/>
  <c r="AM143" i="3" s="1"/>
  <c r="S143" i="3"/>
  <c r="R143" i="3"/>
  <c r="Q143" i="3"/>
  <c r="P143" i="3"/>
  <c r="O143" i="3"/>
  <c r="AN143" i="3" s="1"/>
  <c r="N143" i="3"/>
  <c r="M143" i="3"/>
  <c r="L143" i="3"/>
  <c r="AE143" i="3" s="1"/>
  <c r="K143" i="3"/>
  <c r="J143" i="3"/>
  <c r="I143" i="3"/>
  <c r="H143" i="3"/>
  <c r="G143" i="3"/>
  <c r="F143" i="3"/>
  <c r="E143" i="3"/>
  <c r="Z143" i="3" s="1"/>
  <c r="D143" i="3"/>
  <c r="Y143" i="3" s="1"/>
  <c r="V143" i="3" s="1"/>
  <c r="C143" i="3"/>
  <c r="B143" i="3"/>
  <c r="A143" i="3"/>
  <c r="AJ142" i="3"/>
  <c r="AH142" i="3"/>
  <c r="Y142" i="3"/>
  <c r="V142" i="3" s="1"/>
  <c r="X142" i="3"/>
  <c r="U142" i="3"/>
  <c r="T142" i="3"/>
  <c r="AM142" i="3" s="1"/>
  <c r="S142" i="3"/>
  <c r="R142" i="3"/>
  <c r="Q142" i="3"/>
  <c r="AI142" i="3" s="1"/>
  <c r="P142" i="3"/>
  <c r="O142" i="3"/>
  <c r="AN142" i="3" s="1"/>
  <c r="N142" i="3"/>
  <c r="M142" i="3"/>
  <c r="AE142" i="3" s="1"/>
  <c r="L142" i="3"/>
  <c r="K142" i="3"/>
  <c r="J142" i="3"/>
  <c r="I142" i="3"/>
  <c r="H142" i="3"/>
  <c r="AD142" i="3" s="1"/>
  <c r="G142" i="3"/>
  <c r="F142" i="3"/>
  <c r="AB142" i="3" s="1"/>
  <c r="E142" i="3"/>
  <c r="Z142" i="3" s="1"/>
  <c r="AA142" i="3" s="1"/>
  <c r="D142" i="3"/>
  <c r="C142" i="3"/>
  <c r="B142" i="3"/>
  <c r="A142" i="3"/>
  <c r="W142" i="3" s="1"/>
  <c r="AH141" i="3"/>
  <c r="AD141" i="3"/>
  <c r="AB141" i="3"/>
  <c r="X141" i="3"/>
  <c r="U141" i="3"/>
  <c r="AJ141" i="3" s="1"/>
  <c r="T141" i="3"/>
  <c r="AM141" i="3" s="1"/>
  <c r="S141" i="3"/>
  <c r="R141" i="3"/>
  <c r="Q141" i="3"/>
  <c r="AI141" i="3" s="1"/>
  <c r="P141" i="3"/>
  <c r="O141" i="3"/>
  <c r="AN141" i="3" s="1"/>
  <c r="N141" i="3"/>
  <c r="M141" i="3"/>
  <c r="L141" i="3"/>
  <c r="AE141" i="3" s="1"/>
  <c r="K141" i="3"/>
  <c r="J141" i="3"/>
  <c r="I141" i="3"/>
  <c r="H141" i="3"/>
  <c r="G141" i="3"/>
  <c r="F141" i="3"/>
  <c r="E141" i="3"/>
  <c r="Z141" i="3" s="1"/>
  <c r="AA141" i="3" s="1"/>
  <c r="D141" i="3"/>
  <c r="Y141" i="3" s="1"/>
  <c r="V141" i="3" s="1"/>
  <c r="C141" i="3"/>
  <c r="B141" i="3"/>
  <c r="A141" i="3"/>
  <c r="W141" i="3" s="1"/>
  <c r="AI140" i="3"/>
  <c r="AH140" i="3"/>
  <c r="AB140" i="3"/>
  <c r="X140" i="3"/>
  <c r="W140" i="3"/>
  <c r="U140" i="3"/>
  <c r="AJ140" i="3" s="1"/>
  <c r="T140" i="3"/>
  <c r="AM140" i="3" s="1"/>
  <c r="S140" i="3"/>
  <c r="R140" i="3"/>
  <c r="Q140" i="3"/>
  <c r="P140" i="3"/>
  <c r="O140" i="3"/>
  <c r="AN140" i="3" s="1"/>
  <c r="N140" i="3"/>
  <c r="M140" i="3"/>
  <c r="L140" i="3"/>
  <c r="AE140" i="3" s="1"/>
  <c r="K140" i="3"/>
  <c r="J140" i="3"/>
  <c r="I140" i="3"/>
  <c r="H140" i="3"/>
  <c r="G140" i="3"/>
  <c r="AD140" i="3" s="1"/>
  <c r="F140" i="3"/>
  <c r="E140" i="3"/>
  <c r="Z140" i="3" s="1"/>
  <c r="AA140" i="3" s="1"/>
  <c r="D140" i="3"/>
  <c r="Y140" i="3" s="1"/>
  <c r="V140" i="3" s="1"/>
  <c r="C140" i="3"/>
  <c r="B140" i="3"/>
  <c r="A140" i="3"/>
  <c r="AI139" i="3"/>
  <c r="AH139" i="3"/>
  <c r="X139" i="3"/>
  <c r="W139" i="3"/>
  <c r="U139" i="3"/>
  <c r="AJ139" i="3" s="1"/>
  <c r="T139" i="3"/>
  <c r="AM139" i="3" s="1"/>
  <c r="S139" i="3"/>
  <c r="R139" i="3"/>
  <c r="Q139" i="3"/>
  <c r="P139" i="3"/>
  <c r="O139" i="3"/>
  <c r="AN139" i="3" s="1"/>
  <c r="N139" i="3"/>
  <c r="M139" i="3"/>
  <c r="AE139" i="3" s="1"/>
  <c r="L139" i="3"/>
  <c r="K139" i="3"/>
  <c r="J139" i="3"/>
  <c r="I139" i="3"/>
  <c r="H139" i="3"/>
  <c r="G139" i="3"/>
  <c r="AD139" i="3" s="1"/>
  <c r="F139" i="3"/>
  <c r="AB139" i="3" s="1"/>
  <c r="E139" i="3"/>
  <c r="Z139" i="3" s="1"/>
  <c r="AA139" i="3" s="1"/>
  <c r="D139" i="3"/>
  <c r="Y139" i="3" s="1"/>
  <c r="V139" i="3" s="1"/>
  <c r="C139" i="3"/>
  <c r="B139" i="3"/>
  <c r="A139" i="3"/>
  <c r="AH138" i="3"/>
  <c r="AD138" i="3"/>
  <c r="AB138" i="3"/>
  <c r="U138" i="3"/>
  <c r="AJ138" i="3" s="1"/>
  <c r="T138" i="3"/>
  <c r="AM138" i="3" s="1"/>
  <c r="S138" i="3"/>
  <c r="R138" i="3"/>
  <c r="Q138" i="3"/>
  <c r="AI138" i="3" s="1"/>
  <c r="P138" i="3"/>
  <c r="O138" i="3"/>
  <c r="AN138" i="3" s="1"/>
  <c r="N138" i="3"/>
  <c r="M138" i="3"/>
  <c r="L138" i="3"/>
  <c r="AE138" i="3" s="1"/>
  <c r="K138" i="3"/>
  <c r="J138" i="3"/>
  <c r="I138" i="3"/>
  <c r="H138" i="3"/>
  <c r="G138" i="3"/>
  <c r="F138" i="3"/>
  <c r="E138" i="3"/>
  <c r="Z138" i="3" s="1"/>
  <c r="D138" i="3"/>
  <c r="Y138" i="3" s="1"/>
  <c r="V138" i="3" s="1"/>
  <c r="C138" i="3"/>
  <c r="X138" i="3" s="1"/>
  <c r="B138" i="3"/>
  <c r="A138" i="3"/>
  <c r="W138" i="3" s="1"/>
  <c r="AJ137" i="3"/>
  <c r="AH137" i="3"/>
  <c r="Y137" i="3"/>
  <c r="V137" i="3" s="1"/>
  <c r="X137" i="3"/>
  <c r="U137" i="3"/>
  <c r="T137" i="3"/>
  <c r="AM137" i="3" s="1"/>
  <c r="S137" i="3"/>
  <c r="R137" i="3"/>
  <c r="Q137" i="3"/>
  <c r="AI137" i="3" s="1"/>
  <c r="P137" i="3"/>
  <c r="O137" i="3"/>
  <c r="AN137" i="3" s="1"/>
  <c r="N137" i="3"/>
  <c r="M137" i="3"/>
  <c r="L137" i="3"/>
  <c r="AE137" i="3" s="1"/>
  <c r="K137" i="3"/>
  <c r="J137" i="3"/>
  <c r="I137" i="3"/>
  <c r="H137" i="3"/>
  <c r="G137" i="3"/>
  <c r="AD137" i="3" s="1"/>
  <c r="F137" i="3"/>
  <c r="AB137" i="3" s="1"/>
  <c r="E137" i="3"/>
  <c r="Z137" i="3" s="1"/>
  <c r="AA137" i="3" s="1"/>
  <c r="D137" i="3"/>
  <c r="C137" i="3"/>
  <c r="B137" i="3"/>
  <c r="A137" i="3"/>
  <c r="W137" i="3" s="1"/>
  <c r="AI136" i="3"/>
  <c r="AH136" i="3"/>
  <c r="AD136" i="3"/>
  <c r="AB136" i="3"/>
  <c r="X136" i="3"/>
  <c r="W136" i="3"/>
  <c r="U136" i="3"/>
  <c r="AJ136" i="3" s="1"/>
  <c r="T136" i="3"/>
  <c r="AM136" i="3" s="1"/>
  <c r="S136" i="3"/>
  <c r="R136" i="3"/>
  <c r="Q136" i="3"/>
  <c r="P136" i="3"/>
  <c r="O136" i="3"/>
  <c r="AN136" i="3" s="1"/>
  <c r="N136" i="3"/>
  <c r="M136" i="3"/>
  <c r="L136" i="3"/>
  <c r="AE136" i="3" s="1"/>
  <c r="K136" i="3"/>
  <c r="J136" i="3"/>
  <c r="I136" i="3"/>
  <c r="H136" i="3"/>
  <c r="G136" i="3"/>
  <c r="F136" i="3"/>
  <c r="E136" i="3"/>
  <c r="Z136" i="3" s="1"/>
  <c r="D136" i="3"/>
  <c r="Y136" i="3" s="1"/>
  <c r="V136" i="3" s="1"/>
  <c r="C136" i="3"/>
  <c r="B136" i="3"/>
  <c r="A136" i="3"/>
  <c r="AH135" i="3"/>
  <c r="AD135" i="3"/>
  <c r="AB135" i="3"/>
  <c r="X135" i="3"/>
  <c r="U135" i="3"/>
  <c r="AJ135" i="3" s="1"/>
  <c r="T135" i="3"/>
  <c r="AM135" i="3" s="1"/>
  <c r="S135" i="3"/>
  <c r="R135" i="3"/>
  <c r="Q135" i="3"/>
  <c r="AI135" i="3" s="1"/>
  <c r="P135" i="3"/>
  <c r="O135" i="3"/>
  <c r="AN135" i="3" s="1"/>
  <c r="N135" i="3"/>
  <c r="M135" i="3"/>
  <c r="L135" i="3"/>
  <c r="AE135" i="3" s="1"/>
  <c r="K135" i="3"/>
  <c r="J135" i="3"/>
  <c r="I135" i="3"/>
  <c r="H135" i="3"/>
  <c r="G135" i="3"/>
  <c r="F135" i="3"/>
  <c r="E135" i="3"/>
  <c r="Z135" i="3" s="1"/>
  <c r="AA135" i="3" s="1"/>
  <c r="D135" i="3"/>
  <c r="Y135" i="3" s="1"/>
  <c r="V135" i="3" s="1"/>
  <c r="C135" i="3"/>
  <c r="B135" i="3"/>
  <c r="A135" i="3"/>
  <c r="W135" i="3" s="1"/>
  <c r="AI134" i="3"/>
  <c r="AH134" i="3"/>
  <c r="Y134" i="3"/>
  <c r="V134" i="3" s="1"/>
  <c r="X134" i="3"/>
  <c r="U134" i="3"/>
  <c r="AJ134" i="3" s="1"/>
  <c r="T134" i="3"/>
  <c r="AM134" i="3" s="1"/>
  <c r="S134" i="3"/>
  <c r="R134" i="3"/>
  <c r="Q134" i="3"/>
  <c r="P134" i="3"/>
  <c r="O134" i="3"/>
  <c r="AN134" i="3" s="1"/>
  <c r="N134" i="3"/>
  <c r="M134" i="3"/>
  <c r="AE134" i="3" s="1"/>
  <c r="L134" i="3"/>
  <c r="K134" i="3"/>
  <c r="J134" i="3"/>
  <c r="I134" i="3"/>
  <c r="H134" i="3"/>
  <c r="AD134" i="3" s="1"/>
  <c r="G134" i="3"/>
  <c r="F134" i="3"/>
  <c r="AB134" i="3" s="1"/>
  <c r="E134" i="3"/>
  <c r="Z134" i="3" s="1"/>
  <c r="AA134" i="3" s="1"/>
  <c r="D134" i="3"/>
  <c r="C134" i="3"/>
  <c r="B134" i="3"/>
  <c r="A134" i="3"/>
  <c r="W134" i="3" s="1"/>
  <c r="AH133" i="3"/>
  <c r="AD133" i="3"/>
  <c r="Y133" i="3"/>
  <c r="X133" i="3"/>
  <c r="V133" i="3"/>
  <c r="U133" i="3"/>
  <c r="AJ133" i="3" s="1"/>
  <c r="T133" i="3"/>
  <c r="AM133" i="3" s="1"/>
  <c r="S133" i="3"/>
  <c r="R133" i="3"/>
  <c r="Q133" i="3"/>
  <c r="AI133" i="3" s="1"/>
  <c r="P133" i="3"/>
  <c r="O133" i="3"/>
  <c r="AN133" i="3" s="1"/>
  <c r="N133" i="3"/>
  <c r="M133" i="3"/>
  <c r="AE133" i="3" s="1"/>
  <c r="L133" i="3"/>
  <c r="K133" i="3"/>
  <c r="J133" i="3"/>
  <c r="I133" i="3"/>
  <c r="H133" i="3"/>
  <c r="G133" i="3"/>
  <c r="F133" i="3"/>
  <c r="AB133" i="3" s="1"/>
  <c r="E133" i="3"/>
  <c r="Z133" i="3" s="1"/>
  <c r="AA133" i="3" s="1"/>
  <c r="D133" i="3"/>
  <c r="C133" i="3"/>
  <c r="B133" i="3"/>
  <c r="A133" i="3"/>
  <c r="W133" i="3" s="1"/>
  <c r="AH132" i="3"/>
  <c r="AD132" i="3"/>
  <c r="AB132" i="3"/>
  <c r="X132" i="3"/>
  <c r="U132" i="3"/>
  <c r="AJ132" i="3" s="1"/>
  <c r="T132" i="3"/>
  <c r="AM132" i="3" s="1"/>
  <c r="S132" i="3"/>
  <c r="R132" i="3"/>
  <c r="Q132" i="3"/>
  <c r="AI132" i="3" s="1"/>
  <c r="P132" i="3"/>
  <c r="O132" i="3"/>
  <c r="AN132" i="3" s="1"/>
  <c r="N132" i="3"/>
  <c r="M132" i="3"/>
  <c r="L132" i="3"/>
  <c r="AE132" i="3" s="1"/>
  <c r="K132" i="3"/>
  <c r="J132" i="3"/>
  <c r="I132" i="3"/>
  <c r="H132" i="3"/>
  <c r="G132" i="3"/>
  <c r="F132" i="3"/>
  <c r="E132" i="3"/>
  <c r="Z132" i="3" s="1"/>
  <c r="AA132" i="3" s="1"/>
  <c r="D132" i="3"/>
  <c r="Y132" i="3" s="1"/>
  <c r="V132" i="3" s="1"/>
  <c r="C132" i="3"/>
  <c r="B132" i="3"/>
  <c r="A132" i="3"/>
  <c r="W132" i="3" s="1"/>
  <c r="AJ131" i="3"/>
  <c r="AH131" i="3"/>
  <c r="AB131" i="3"/>
  <c r="X131" i="3"/>
  <c r="U131" i="3"/>
  <c r="T131" i="3"/>
  <c r="AM131" i="3" s="1"/>
  <c r="S131" i="3"/>
  <c r="R131" i="3"/>
  <c r="Q131" i="3"/>
  <c r="AI131" i="3" s="1"/>
  <c r="P131" i="3"/>
  <c r="O131" i="3"/>
  <c r="AN131" i="3" s="1"/>
  <c r="N131" i="3"/>
  <c r="M131" i="3"/>
  <c r="L131" i="3"/>
  <c r="AE131" i="3" s="1"/>
  <c r="K131" i="3"/>
  <c r="J131" i="3"/>
  <c r="I131" i="3"/>
  <c r="H131" i="3"/>
  <c r="G131" i="3"/>
  <c r="AD131" i="3" s="1"/>
  <c r="F131" i="3"/>
  <c r="E131" i="3"/>
  <c r="Z131" i="3" s="1"/>
  <c r="AA131" i="3" s="1"/>
  <c r="D131" i="3"/>
  <c r="Y131" i="3" s="1"/>
  <c r="V131" i="3" s="1"/>
  <c r="C131" i="3"/>
  <c r="B131" i="3"/>
  <c r="A131" i="3"/>
  <c r="W131" i="3" s="1"/>
  <c r="AJ130" i="3"/>
  <c r="AH130" i="3"/>
  <c r="AB130" i="3"/>
  <c r="X130" i="3"/>
  <c r="U130" i="3"/>
  <c r="T130" i="3"/>
  <c r="AM130" i="3" s="1"/>
  <c r="S130" i="3"/>
  <c r="R130" i="3"/>
  <c r="Q130" i="3"/>
  <c r="AI130" i="3" s="1"/>
  <c r="P130" i="3"/>
  <c r="O130" i="3"/>
  <c r="AN130" i="3" s="1"/>
  <c r="N130" i="3"/>
  <c r="M130" i="3"/>
  <c r="L130" i="3"/>
  <c r="AE130" i="3" s="1"/>
  <c r="K130" i="3"/>
  <c r="J130" i="3"/>
  <c r="I130" i="3"/>
  <c r="H130" i="3"/>
  <c r="G130" i="3"/>
  <c r="AD130" i="3" s="1"/>
  <c r="F130" i="3"/>
  <c r="E130" i="3"/>
  <c r="Z130" i="3" s="1"/>
  <c r="AA130" i="3" s="1"/>
  <c r="D130" i="3"/>
  <c r="Y130" i="3" s="1"/>
  <c r="V130" i="3" s="1"/>
  <c r="C130" i="3"/>
  <c r="B130" i="3"/>
  <c r="A130" i="3"/>
  <c r="W130" i="3" s="1"/>
  <c r="AJ129" i="3"/>
  <c r="AI129" i="3"/>
  <c r="AH129" i="3"/>
  <c r="AB129" i="3"/>
  <c r="X129" i="3"/>
  <c r="W129" i="3"/>
  <c r="U129" i="3"/>
  <c r="T129" i="3"/>
  <c r="AM129" i="3" s="1"/>
  <c r="S129" i="3"/>
  <c r="R129" i="3"/>
  <c r="Q129" i="3"/>
  <c r="P129" i="3"/>
  <c r="O129" i="3"/>
  <c r="AN129" i="3" s="1"/>
  <c r="N129" i="3"/>
  <c r="M129" i="3"/>
  <c r="L129" i="3"/>
  <c r="AE129" i="3" s="1"/>
  <c r="K129" i="3"/>
  <c r="J129" i="3"/>
  <c r="I129" i="3"/>
  <c r="H129" i="3"/>
  <c r="G129" i="3"/>
  <c r="AD129" i="3" s="1"/>
  <c r="F129" i="3"/>
  <c r="E129" i="3"/>
  <c r="Z129" i="3" s="1"/>
  <c r="D129" i="3"/>
  <c r="Y129" i="3" s="1"/>
  <c r="V129" i="3" s="1"/>
  <c r="C129" i="3"/>
  <c r="B129" i="3"/>
  <c r="A129" i="3"/>
  <c r="AJ128" i="3"/>
  <c r="AH128" i="3"/>
  <c r="AE128" i="3"/>
  <c r="Y128" i="3"/>
  <c r="X128" i="3"/>
  <c r="V128" i="3"/>
  <c r="U128" i="3"/>
  <c r="T128" i="3"/>
  <c r="AM128" i="3" s="1"/>
  <c r="S128" i="3"/>
  <c r="R128" i="3"/>
  <c r="Q128" i="3"/>
  <c r="AI128" i="3" s="1"/>
  <c r="P128" i="3"/>
  <c r="O128" i="3"/>
  <c r="AN128" i="3" s="1"/>
  <c r="N128" i="3"/>
  <c r="M128" i="3"/>
  <c r="L128" i="3"/>
  <c r="K128" i="3"/>
  <c r="J128" i="3"/>
  <c r="I128" i="3"/>
  <c r="AD128" i="3" s="1"/>
  <c r="H128" i="3"/>
  <c r="G128" i="3"/>
  <c r="F128" i="3"/>
  <c r="AB128" i="3" s="1"/>
  <c r="E128" i="3"/>
  <c r="Z128" i="3" s="1"/>
  <c r="AA128" i="3" s="1"/>
  <c r="D128" i="3"/>
  <c r="C128" i="3"/>
  <c r="B128" i="3"/>
  <c r="A128" i="3"/>
  <c r="W128" i="3" s="1"/>
  <c r="AH127" i="3"/>
  <c r="AD127" i="3"/>
  <c r="AB127" i="3"/>
  <c r="X127" i="3"/>
  <c r="U127" i="3"/>
  <c r="AJ127" i="3" s="1"/>
  <c r="T127" i="3"/>
  <c r="AM127" i="3" s="1"/>
  <c r="S127" i="3"/>
  <c r="R127" i="3"/>
  <c r="Q127" i="3"/>
  <c r="AI127" i="3" s="1"/>
  <c r="P127" i="3"/>
  <c r="O127" i="3"/>
  <c r="AN127" i="3" s="1"/>
  <c r="N127" i="3"/>
  <c r="M127" i="3"/>
  <c r="L127" i="3"/>
  <c r="AE127" i="3" s="1"/>
  <c r="K127" i="3"/>
  <c r="J127" i="3"/>
  <c r="I127" i="3"/>
  <c r="H127" i="3"/>
  <c r="G127" i="3"/>
  <c r="F127" i="3"/>
  <c r="E127" i="3"/>
  <c r="Z127" i="3" s="1"/>
  <c r="AA127" i="3" s="1"/>
  <c r="D127" i="3"/>
  <c r="Y127" i="3" s="1"/>
  <c r="V127" i="3" s="1"/>
  <c r="C127" i="3"/>
  <c r="B127" i="3"/>
  <c r="A127" i="3"/>
  <c r="W127" i="3" s="1"/>
  <c r="AJ126" i="3"/>
  <c r="AI126" i="3"/>
  <c r="AH126" i="3"/>
  <c r="AB126" i="3"/>
  <c r="X126" i="3"/>
  <c r="U126" i="3"/>
  <c r="T126" i="3"/>
  <c r="AM126" i="3" s="1"/>
  <c r="S126" i="3"/>
  <c r="R126" i="3"/>
  <c r="Q126" i="3"/>
  <c r="P126" i="3"/>
  <c r="O126" i="3"/>
  <c r="AN126" i="3" s="1"/>
  <c r="N126" i="3"/>
  <c r="M126" i="3"/>
  <c r="L126" i="3"/>
  <c r="AE126" i="3" s="1"/>
  <c r="K126" i="3"/>
  <c r="J126" i="3"/>
  <c r="I126" i="3"/>
  <c r="H126" i="3"/>
  <c r="G126" i="3"/>
  <c r="AD126" i="3" s="1"/>
  <c r="F126" i="3"/>
  <c r="E126" i="3"/>
  <c r="Z126" i="3" s="1"/>
  <c r="D126" i="3"/>
  <c r="Y126" i="3" s="1"/>
  <c r="V126" i="3" s="1"/>
  <c r="C126" i="3"/>
  <c r="B126" i="3"/>
  <c r="A126" i="3"/>
  <c r="W126" i="3" s="1"/>
  <c r="AH125" i="3"/>
  <c r="AD125" i="3"/>
  <c r="X125" i="3"/>
  <c r="U125" i="3"/>
  <c r="AJ125" i="3" s="1"/>
  <c r="T125" i="3"/>
  <c r="AM125" i="3" s="1"/>
  <c r="S125" i="3"/>
  <c r="R125" i="3"/>
  <c r="Q125" i="3"/>
  <c r="AI125" i="3" s="1"/>
  <c r="P125" i="3"/>
  <c r="O125" i="3"/>
  <c r="AN125" i="3" s="1"/>
  <c r="N125" i="3"/>
  <c r="M125" i="3"/>
  <c r="L125" i="3"/>
  <c r="AE125" i="3" s="1"/>
  <c r="K125" i="3"/>
  <c r="J125" i="3"/>
  <c r="I125" i="3"/>
  <c r="H125" i="3"/>
  <c r="G125" i="3"/>
  <c r="F125" i="3"/>
  <c r="AB125" i="3" s="1"/>
  <c r="E125" i="3"/>
  <c r="Z125" i="3" s="1"/>
  <c r="D125" i="3"/>
  <c r="Y125" i="3" s="1"/>
  <c r="V125" i="3" s="1"/>
  <c r="C125" i="3"/>
  <c r="B125" i="3"/>
  <c r="A125" i="3"/>
  <c r="W125" i="3" s="1"/>
  <c r="AI124" i="3"/>
  <c r="AH124" i="3"/>
  <c r="AE124" i="3"/>
  <c r="X124" i="3"/>
  <c r="W124" i="3"/>
  <c r="U124" i="3"/>
  <c r="AJ124" i="3" s="1"/>
  <c r="T124" i="3"/>
  <c r="AM124" i="3" s="1"/>
  <c r="S124" i="3"/>
  <c r="R124" i="3"/>
  <c r="Q124" i="3"/>
  <c r="P124" i="3"/>
  <c r="O124" i="3"/>
  <c r="AN124" i="3" s="1"/>
  <c r="N124" i="3"/>
  <c r="M124" i="3"/>
  <c r="L124" i="3"/>
  <c r="K124" i="3"/>
  <c r="J124" i="3"/>
  <c r="I124" i="3"/>
  <c r="H124" i="3"/>
  <c r="G124" i="3"/>
  <c r="AD124" i="3" s="1"/>
  <c r="F124" i="3"/>
  <c r="AB124" i="3" s="1"/>
  <c r="E124" i="3"/>
  <c r="Z124" i="3" s="1"/>
  <c r="AA124" i="3" s="1"/>
  <c r="D124" i="3"/>
  <c r="Y124" i="3" s="1"/>
  <c r="V124" i="3" s="1"/>
  <c r="C124" i="3"/>
  <c r="B124" i="3"/>
  <c r="A124" i="3"/>
  <c r="AH123" i="3"/>
  <c r="Y123" i="3"/>
  <c r="V123" i="3" s="1"/>
  <c r="X123" i="3"/>
  <c r="W123" i="3"/>
  <c r="U123" i="3"/>
  <c r="AJ123" i="3" s="1"/>
  <c r="T123" i="3"/>
  <c r="AM123" i="3" s="1"/>
  <c r="S123" i="3"/>
  <c r="R123" i="3"/>
  <c r="Q123" i="3"/>
  <c r="AI123" i="3" s="1"/>
  <c r="P123" i="3"/>
  <c r="O123" i="3"/>
  <c r="AN123" i="3" s="1"/>
  <c r="N123" i="3"/>
  <c r="M123" i="3"/>
  <c r="AE123" i="3" s="1"/>
  <c r="L123" i="3"/>
  <c r="K123" i="3"/>
  <c r="J123" i="3"/>
  <c r="I123" i="3"/>
  <c r="H123" i="3"/>
  <c r="G123" i="3"/>
  <c r="AD123" i="3" s="1"/>
  <c r="F123" i="3"/>
  <c r="AB123" i="3" s="1"/>
  <c r="E123" i="3"/>
  <c r="Z123" i="3" s="1"/>
  <c r="AA123" i="3" s="1"/>
  <c r="D123" i="3"/>
  <c r="C123" i="3"/>
  <c r="B123" i="3"/>
  <c r="A123" i="3"/>
  <c r="AI122" i="3"/>
  <c r="AH122" i="3"/>
  <c r="AD122" i="3"/>
  <c r="AB122" i="3"/>
  <c r="X122" i="3"/>
  <c r="W122" i="3"/>
  <c r="U122" i="3"/>
  <c r="AJ122" i="3" s="1"/>
  <c r="T122" i="3"/>
  <c r="AM122" i="3" s="1"/>
  <c r="S122" i="3"/>
  <c r="R122" i="3"/>
  <c r="Q122" i="3"/>
  <c r="P122" i="3"/>
  <c r="O122" i="3"/>
  <c r="AN122" i="3" s="1"/>
  <c r="N122" i="3"/>
  <c r="M122" i="3"/>
  <c r="L122" i="3"/>
  <c r="AE122" i="3" s="1"/>
  <c r="K122" i="3"/>
  <c r="J122" i="3"/>
  <c r="I122" i="3"/>
  <c r="H122" i="3"/>
  <c r="G122" i="3"/>
  <c r="F122" i="3"/>
  <c r="E122" i="3"/>
  <c r="Z122" i="3" s="1"/>
  <c r="D122" i="3"/>
  <c r="Y122" i="3" s="1"/>
  <c r="V122" i="3" s="1"/>
  <c r="C122" i="3"/>
  <c r="B122" i="3"/>
  <c r="A122" i="3"/>
  <c r="AH121" i="3"/>
  <c r="AE121" i="3"/>
  <c r="Y121" i="3"/>
  <c r="X121" i="3"/>
  <c r="W121" i="3"/>
  <c r="V121" i="3"/>
  <c r="U121" i="3"/>
  <c r="AJ121" i="3" s="1"/>
  <c r="T121" i="3"/>
  <c r="AM121" i="3" s="1"/>
  <c r="S121" i="3"/>
  <c r="R121" i="3"/>
  <c r="Q121" i="3"/>
  <c r="AI121" i="3" s="1"/>
  <c r="P121" i="3"/>
  <c r="O121" i="3"/>
  <c r="AN121" i="3" s="1"/>
  <c r="N121" i="3"/>
  <c r="M121" i="3"/>
  <c r="L121" i="3"/>
  <c r="K121" i="3"/>
  <c r="J121" i="3"/>
  <c r="I121" i="3"/>
  <c r="H121" i="3"/>
  <c r="G121" i="3"/>
  <c r="AD121" i="3" s="1"/>
  <c r="F121" i="3"/>
  <c r="AB121" i="3" s="1"/>
  <c r="E121" i="3"/>
  <c r="Z121" i="3" s="1"/>
  <c r="AA121" i="3" s="1"/>
  <c r="D121" i="3"/>
  <c r="C121" i="3"/>
  <c r="B121" i="3"/>
  <c r="A121" i="3"/>
  <c r="AI120" i="3"/>
  <c r="AH120" i="3"/>
  <c r="AB120" i="3"/>
  <c r="X120" i="3"/>
  <c r="W120" i="3"/>
  <c r="U120" i="3"/>
  <c r="AJ120" i="3" s="1"/>
  <c r="T120" i="3"/>
  <c r="AM120" i="3" s="1"/>
  <c r="S120" i="3"/>
  <c r="R120" i="3"/>
  <c r="Q120" i="3"/>
  <c r="P120" i="3"/>
  <c r="O120" i="3"/>
  <c r="AN120" i="3" s="1"/>
  <c r="N120" i="3"/>
  <c r="M120" i="3"/>
  <c r="L120" i="3"/>
  <c r="AE120" i="3" s="1"/>
  <c r="K120" i="3"/>
  <c r="J120" i="3"/>
  <c r="I120" i="3"/>
  <c r="H120" i="3"/>
  <c r="G120" i="3"/>
  <c r="AD120" i="3" s="1"/>
  <c r="F120" i="3"/>
  <c r="E120" i="3"/>
  <c r="Z120" i="3" s="1"/>
  <c r="D120" i="3"/>
  <c r="Y120" i="3" s="1"/>
  <c r="V120" i="3" s="1"/>
  <c r="C120" i="3"/>
  <c r="B120" i="3"/>
  <c r="A120" i="3"/>
  <c r="AH119" i="3"/>
  <c r="AE119" i="3"/>
  <c r="Y119" i="3"/>
  <c r="X119" i="3"/>
  <c r="V119" i="3"/>
  <c r="U119" i="3"/>
  <c r="AJ119" i="3" s="1"/>
  <c r="T119" i="3"/>
  <c r="AM119" i="3" s="1"/>
  <c r="S119" i="3"/>
  <c r="R119" i="3"/>
  <c r="Q119" i="3"/>
  <c r="AI119" i="3" s="1"/>
  <c r="P119" i="3"/>
  <c r="O119" i="3"/>
  <c r="AN119" i="3" s="1"/>
  <c r="N119" i="3"/>
  <c r="M119" i="3"/>
  <c r="L119" i="3"/>
  <c r="K119" i="3"/>
  <c r="J119" i="3"/>
  <c r="I119" i="3"/>
  <c r="H119" i="3"/>
  <c r="G119" i="3"/>
  <c r="AD119" i="3" s="1"/>
  <c r="F119" i="3"/>
  <c r="AB119" i="3" s="1"/>
  <c r="E119" i="3"/>
  <c r="Z119" i="3" s="1"/>
  <c r="AA119" i="3" s="1"/>
  <c r="D119" i="3"/>
  <c r="C119" i="3"/>
  <c r="B119" i="3"/>
  <c r="A119" i="3"/>
  <c r="W119" i="3" s="1"/>
  <c r="AH118" i="3"/>
  <c r="X118" i="3"/>
  <c r="W118" i="3"/>
  <c r="U118" i="3"/>
  <c r="AJ118" i="3" s="1"/>
  <c r="T118" i="3"/>
  <c r="AM118" i="3" s="1"/>
  <c r="S118" i="3"/>
  <c r="R118" i="3"/>
  <c r="Q118" i="3"/>
  <c r="AI118" i="3" s="1"/>
  <c r="P118" i="3"/>
  <c r="O118" i="3"/>
  <c r="AN118" i="3" s="1"/>
  <c r="N118" i="3"/>
  <c r="M118" i="3"/>
  <c r="L118" i="3"/>
  <c r="AE118" i="3" s="1"/>
  <c r="K118" i="3"/>
  <c r="J118" i="3"/>
  <c r="I118" i="3"/>
  <c r="H118" i="3"/>
  <c r="G118" i="3"/>
  <c r="AD118" i="3" s="1"/>
  <c r="F118" i="3"/>
  <c r="AB118" i="3" s="1"/>
  <c r="E118" i="3"/>
  <c r="Z118" i="3" s="1"/>
  <c r="D118" i="3"/>
  <c r="Y118" i="3" s="1"/>
  <c r="V118" i="3" s="1"/>
  <c r="C118" i="3"/>
  <c r="B118" i="3"/>
  <c r="A118" i="3"/>
  <c r="AI117" i="3"/>
  <c r="AH117" i="3"/>
  <c r="AB117" i="3"/>
  <c r="X117" i="3"/>
  <c r="W117" i="3"/>
  <c r="U117" i="3"/>
  <c r="AJ117" i="3" s="1"/>
  <c r="T117" i="3"/>
  <c r="AM117" i="3" s="1"/>
  <c r="S117" i="3"/>
  <c r="R117" i="3"/>
  <c r="Q117" i="3"/>
  <c r="P117" i="3"/>
  <c r="O117" i="3"/>
  <c r="AN117" i="3" s="1"/>
  <c r="N117" i="3"/>
  <c r="M117" i="3"/>
  <c r="L117" i="3"/>
  <c r="AE117" i="3" s="1"/>
  <c r="K117" i="3"/>
  <c r="J117" i="3"/>
  <c r="I117" i="3"/>
  <c r="H117" i="3"/>
  <c r="G117" i="3"/>
  <c r="AD117" i="3" s="1"/>
  <c r="F117" i="3"/>
  <c r="E117" i="3"/>
  <c r="Z117" i="3" s="1"/>
  <c r="D117" i="3"/>
  <c r="Y117" i="3" s="1"/>
  <c r="V117" i="3" s="1"/>
  <c r="C117" i="3"/>
  <c r="B117" i="3"/>
  <c r="A117" i="3"/>
  <c r="AJ116" i="3"/>
  <c r="AH116" i="3"/>
  <c r="AB116" i="3"/>
  <c r="X116" i="3"/>
  <c r="U116" i="3"/>
  <c r="T116" i="3"/>
  <c r="AM116" i="3" s="1"/>
  <c r="S116" i="3"/>
  <c r="R116" i="3"/>
  <c r="Q116" i="3"/>
  <c r="AI116" i="3" s="1"/>
  <c r="P116" i="3"/>
  <c r="O116" i="3"/>
  <c r="AN116" i="3" s="1"/>
  <c r="N116" i="3"/>
  <c r="M116" i="3"/>
  <c r="L116" i="3"/>
  <c r="AE116" i="3" s="1"/>
  <c r="K116" i="3"/>
  <c r="J116" i="3"/>
  <c r="I116" i="3"/>
  <c r="H116" i="3"/>
  <c r="G116" i="3"/>
  <c r="AD116" i="3" s="1"/>
  <c r="F116" i="3"/>
  <c r="E116" i="3"/>
  <c r="Z116" i="3" s="1"/>
  <c r="AA116" i="3" s="1"/>
  <c r="D116" i="3"/>
  <c r="Y116" i="3" s="1"/>
  <c r="V116" i="3" s="1"/>
  <c r="C116" i="3"/>
  <c r="B116" i="3"/>
  <c r="A116" i="3"/>
  <c r="W116" i="3" s="1"/>
  <c r="AM115" i="3"/>
  <c r="AJ115" i="3"/>
  <c r="AI115" i="3"/>
  <c r="AH115" i="3"/>
  <c r="AE115" i="3"/>
  <c r="Y115" i="3"/>
  <c r="X115" i="3"/>
  <c r="W115" i="3"/>
  <c r="V115" i="3"/>
  <c r="U115" i="3"/>
  <c r="T115" i="3"/>
  <c r="S115" i="3"/>
  <c r="R115" i="3"/>
  <c r="Q115" i="3"/>
  <c r="P115" i="3"/>
  <c r="O115" i="3"/>
  <c r="AN115" i="3" s="1"/>
  <c r="N115" i="3"/>
  <c r="M115" i="3"/>
  <c r="L115" i="3"/>
  <c r="K115" i="3"/>
  <c r="J115" i="3"/>
  <c r="I115" i="3"/>
  <c r="H115" i="3"/>
  <c r="G115" i="3"/>
  <c r="AD115" i="3" s="1"/>
  <c r="F115" i="3"/>
  <c r="AB115" i="3" s="1"/>
  <c r="E115" i="3"/>
  <c r="Z115" i="3" s="1"/>
  <c r="AA115" i="3" s="1"/>
  <c r="D115" i="3"/>
  <c r="C115" i="3"/>
  <c r="B115" i="3"/>
  <c r="A115" i="3"/>
  <c r="AI114" i="3"/>
  <c r="AH114" i="3"/>
  <c r="AD114" i="3"/>
  <c r="AB114" i="3"/>
  <c r="X114" i="3"/>
  <c r="U114" i="3"/>
  <c r="AJ114" i="3" s="1"/>
  <c r="T114" i="3"/>
  <c r="AM114" i="3" s="1"/>
  <c r="S114" i="3"/>
  <c r="R114" i="3"/>
  <c r="Q114" i="3"/>
  <c r="P114" i="3"/>
  <c r="O114" i="3"/>
  <c r="AN114" i="3" s="1"/>
  <c r="N114" i="3"/>
  <c r="M114" i="3"/>
  <c r="L114" i="3"/>
  <c r="AE114" i="3" s="1"/>
  <c r="K114" i="3"/>
  <c r="J114" i="3"/>
  <c r="I114" i="3"/>
  <c r="H114" i="3"/>
  <c r="G114" i="3"/>
  <c r="F114" i="3"/>
  <c r="E114" i="3"/>
  <c r="Z114" i="3" s="1"/>
  <c r="D114" i="3"/>
  <c r="Y114" i="3" s="1"/>
  <c r="V114" i="3" s="1"/>
  <c r="C114" i="3"/>
  <c r="B114" i="3"/>
  <c r="A114" i="3"/>
  <c r="W114" i="3" s="1"/>
  <c r="AI113" i="3"/>
  <c r="AH113" i="3"/>
  <c r="AB113" i="3"/>
  <c r="X113" i="3"/>
  <c r="W113" i="3"/>
  <c r="U113" i="3"/>
  <c r="AJ113" i="3" s="1"/>
  <c r="T113" i="3"/>
  <c r="AM113" i="3" s="1"/>
  <c r="S113" i="3"/>
  <c r="R113" i="3"/>
  <c r="Q113" i="3"/>
  <c r="P113" i="3"/>
  <c r="O113" i="3"/>
  <c r="AN113" i="3" s="1"/>
  <c r="N113" i="3"/>
  <c r="M113" i="3"/>
  <c r="L113" i="3"/>
  <c r="AE113" i="3" s="1"/>
  <c r="K113" i="3"/>
  <c r="J113" i="3"/>
  <c r="I113" i="3"/>
  <c r="H113" i="3"/>
  <c r="G113" i="3"/>
  <c r="AD113" i="3" s="1"/>
  <c r="F113" i="3"/>
  <c r="E113" i="3"/>
  <c r="Z113" i="3" s="1"/>
  <c r="D113" i="3"/>
  <c r="Y113" i="3" s="1"/>
  <c r="V113" i="3" s="1"/>
  <c r="C113" i="3"/>
  <c r="B113" i="3"/>
  <c r="A113" i="3"/>
  <c r="AN112" i="3"/>
  <c r="U112" i="3"/>
  <c r="AJ112" i="3" s="1"/>
  <c r="T112" i="3"/>
  <c r="AM112" i="3" s="1"/>
  <c r="S112" i="3"/>
  <c r="AH112" i="3" s="1"/>
  <c r="R112" i="3"/>
  <c r="Q112" i="3"/>
  <c r="AI112" i="3" s="1"/>
  <c r="P112" i="3"/>
  <c r="O112" i="3"/>
  <c r="N112" i="3"/>
  <c r="M112" i="3"/>
  <c r="L112" i="3"/>
  <c r="AE112" i="3" s="1"/>
  <c r="K112" i="3"/>
  <c r="J112" i="3"/>
  <c r="I112" i="3"/>
  <c r="H112" i="3"/>
  <c r="G112" i="3"/>
  <c r="AD112" i="3" s="1"/>
  <c r="F112" i="3"/>
  <c r="AB112" i="3" s="1"/>
  <c r="E112" i="3"/>
  <c r="Z112" i="3" s="1"/>
  <c r="AA112" i="3" s="1"/>
  <c r="D112" i="3"/>
  <c r="Y112" i="3" s="1"/>
  <c r="V112" i="3" s="1"/>
  <c r="C112" i="3"/>
  <c r="X112" i="3" s="1"/>
  <c r="B112" i="3"/>
  <c r="A112" i="3"/>
  <c r="W112" i="3" s="1"/>
  <c r="AH111" i="3"/>
  <c r="AD111" i="3"/>
  <c r="AB111" i="3"/>
  <c r="X111" i="3"/>
  <c r="U111" i="3"/>
  <c r="AJ111" i="3" s="1"/>
  <c r="T111" i="3"/>
  <c r="AM111" i="3" s="1"/>
  <c r="S111" i="3"/>
  <c r="R111" i="3"/>
  <c r="Q111" i="3"/>
  <c r="AI111" i="3" s="1"/>
  <c r="P111" i="3"/>
  <c r="O111" i="3"/>
  <c r="AN111" i="3" s="1"/>
  <c r="N111" i="3"/>
  <c r="M111" i="3"/>
  <c r="L111" i="3"/>
  <c r="AE111" i="3" s="1"/>
  <c r="K111" i="3"/>
  <c r="J111" i="3"/>
  <c r="I111" i="3"/>
  <c r="H111" i="3"/>
  <c r="G111" i="3"/>
  <c r="F111" i="3"/>
  <c r="E111" i="3"/>
  <c r="Z111" i="3" s="1"/>
  <c r="AA111" i="3" s="1"/>
  <c r="D111" i="3"/>
  <c r="Y111" i="3" s="1"/>
  <c r="V111" i="3" s="1"/>
  <c r="C111" i="3"/>
  <c r="B111" i="3"/>
  <c r="A111" i="3"/>
  <c r="W111" i="3" s="1"/>
  <c r="AI110" i="3"/>
  <c r="AH110" i="3"/>
  <c r="AD110" i="3"/>
  <c r="AB110" i="3"/>
  <c r="X110" i="3"/>
  <c r="W110" i="3"/>
  <c r="U110" i="3"/>
  <c r="AJ110" i="3" s="1"/>
  <c r="T110" i="3"/>
  <c r="AM110" i="3" s="1"/>
  <c r="S110" i="3"/>
  <c r="R110" i="3"/>
  <c r="Q110" i="3"/>
  <c r="P110" i="3"/>
  <c r="O110" i="3"/>
  <c r="AN110" i="3" s="1"/>
  <c r="N110" i="3"/>
  <c r="M110" i="3"/>
  <c r="L110" i="3"/>
  <c r="AE110" i="3" s="1"/>
  <c r="K110" i="3"/>
  <c r="J110" i="3"/>
  <c r="I110" i="3"/>
  <c r="H110" i="3"/>
  <c r="G110" i="3"/>
  <c r="F110" i="3"/>
  <c r="E110" i="3"/>
  <c r="Z110" i="3" s="1"/>
  <c r="D110" i="3"/>
  <c r="Y110" i="3" s="1"/>
  <c r="V110" i="3" s="1"/>
  <c r="C110" i="3"/>
  <c r="B110" i="3"/>
  <c r="A110" i="3"/>
  <c r="AI109" i="3"/>
  <c r="AH109" i="3"/>
  <c r="X109" i="3"/>
  <c r="W109" i="3"/>
  <c r="U109" i="3"/>
  <c r="AJ109" i="3" s="1"/>
  <c r="T109" i="3"/>
  <c r="AM109" i="3" s="1"/>
  <c r="S109" i="3"/>
  <c r="R109" i="3"/>
  <c r="Q109" i="3"/>
  <c r="P109" i="3"/>
  <c r="O109" i="3"/>
  <c r="AN109" i="3" s="1"/>
  <c r="N109" i="3"/>
  <c r="M109" i="3"/>
  <c r="AE109" i="3" s="1"/>
  <c r="L109" i="3"/>
  <c r="K109" i="3"/>
  <c r="J109" i="3"/>
  <c r="I109" i="3"/>
  <c r="H109" i="3"/>
  <c r="G109" i="3"/>
  <c r="AD109" i="3" s="1"/>
  <c r="F109" i="3"/>
  <c r="AB109" i="3" s="1"/>
  <c r="E109" i="3"/>
  <c r="Z109" i="3" s="1"/>
  <c r="AA109" i="3" s="1"/>
  <c r="D109" i="3"/>
  <c r="Y109" i="3" s="1"/>
  <c r="V109" i="3" s="1"/>
  <c r="C109" i="3"/>
  <c r="B109" i="3"/>
  <c r="A109" i="3"/>
  <c r="AI108" i="3"/>
  <c r="AH108" i="3"/>
  <c r="Y108" i="3"/>
  <c r="X108" i="3"/>
  <c r="V108" i="3"/>
  <c r="U108" i="3"/>
  <c r="AJ108" i="3" s="1"/>
  <c r="T108" i="3"/>
  <c r="AM108" i="3" s="1"/>
  <c r="S108" i="3"/>
  <c r="R108" i="3"/>
  <c r="Q108" i="3"/>
  <c r="P108" i="3"/>
  <c r="O108" i="3"/>
  <c r="AN108" i="3" s="1"/>
  <c r="N108" i="3"/>
  <c r="M108" i="3"/>
  <c r="AE108" i="3" s="1"/>
  <c r="L108" i="3"/>
  <c r="K108" i="3"/>
  <c r="J108" i="3"/>
  <c r="I108" i="3"/>
  <c r="H108" i="3"/>
  <c r="AD108" i="3" s="1"/>
  <c r="G108" i="3"/>
  <c r="F108" i="3"/>
  <c r="AB108" i="3" s="1"/>
  <c r="E108" i="3"/>
  <c r="Z108" i="3" s="1"/>
  <c r="AA108" i="3" s="1"/>
  <c r="D108" i="3"/>
  <c r="C108" i="3"/>
  <c r="B108" i="3"/>
  <c r="A108" i="3"/>
  <c r="W108" i="3" s="1"/>
  <c r="AI107" i="3"/>
  <c r="AH107" i="3"/>
  <c r="AB107" i="3"/>
  <c r="Y107" i="3"/>
  <c r="V107" i="3" s="1"/>
  <c r="X107" i="3"/>
  <c r="U107" i="3"/>
  <c r="AJ107" i="3" s="1"/>
  <c r="T107" i="3"/>
  <c r="AM107" i="3" s="1"/>
  <c r="S107" i="3"/>
  <c r="R107" i="3"/>
  <c r="Q107" i="3"/>
  <c r="P107" i="3"/>
  <c r="O107" i="3"/>
  <c r="AN107" i="3" s="1"/>
  <c r="N107" i="3"/>
  <c r="M107" i="3"/>
  <c r="L107" i="3"/>
  <c r="AE107" i="3" s="1"/>
  <c r="K107" i="3"/>
  <c r="J107" i="3"/>
  <c r="I107" i="3"/>
  <c r="H107" i="3"/>
  <c r="AD107" i="3" s="1"/>
  <c r="G107" i="3"/>
  <c r="F107" i="3"/>
  <c r="E107" i="3"/>
  <c r="Z107" i="3" s="1"/>
  <c r="AA107" i="3" s="1"/>
  <c r="D107" i="3"/>
  <c r="C107" i="3"/>
  <c r="B107" i="3"/>
  <c r="A107" i="3"/>
  <c r="W107" i="3" s="1"/>
  <c r="AH106" i="3"/>
  <c r="AD106" i="3"/>
  <c r="AB106" i="3"/>
  <c r="X106" i="3"/>
  <c r="U106" i="3"/>
  <c r="AJ106" i="3" s="1"/>
  <c r="T106" i="3"/>
  <c r="AM106" i="3" s="1"/>
  <c r="S106" i="3"/>
  <c r="R106" i="3"/>
  <c r="Q106" i="3"/>
  <c r="AI106" i="3" s="1"/>
  <c r="P106" i="3"/>
  <c r="O106" i="3"/>
  <c r="AN106" i="3" s="1"/>
  <c r="N106" i="3"/>
  <c r="M106" i="3"/>
  <c r="L106" i="3"/>
  <c r="AE106" i="3" s="1"/>
  <c r="K106" i="3"/>
  <c r="J106" i="3"/>
  <c r="I106" i="3"/>
  <c r="H106" i="3"/>
  <c r="G106" i="3"/>
  <c r="F106" i="3"/>
  <c r="E106" i="3"/>
  <c r="Z106" i="3" s="1"/>
  <c r="AA106" i="3" s="1"/>
  <c r="D106" i="3"/>
  <c r="Y106" i="3" s="1"/>
  <c r="V106" i="3" s="1"/>
  <c r="C106" i="3"/>
  <c r="B106" i="3"/>
  <c r="A106" i="3"/>
  <c r="W106" i="3" s="1"/>
  <c r="AI105" i="3"/>
  <c r="AH105" i="3"/>
  <c r="AB105" i="3"/>
  <c r="X105" i="3"/>
  <c r="W105" i="3"/>
  <c r="U105" i="3"/>
  <c r="AJ105" i="3" s="1"/>
  <c r="T105" i="3"/>
  <c r="AM105" i="3" s="1"/>
  <c r="S105" i="3"/>
  <c r="R105" i="3"/>
  <c r="Q105" i="3"/>
  <c r="P105" i="3"/>
  <c r="O105" i="3"/>
  <c r="AN105" i="3" s="1"/>
  <c r="N105" i="3"/>
  <c r="M105" i="3"/>
  <c r="L105" i="3"/>
  <c r="AE105" i="3" s="1"/>
  <c r="K105" i="3"/>
  <c r="J105" i="3"/>
  <c r="I105" i="3"/>
  <c r="H105" i="3"/>
  <c r="G105" i="3"/>
  <c r="AD105" i="3" s="1"/>
  <c r="F105" i="3"/>
  <c r="E105" i="3"/>
  <c r="Z105" i="3" s="1"/>
  <c r="D105" i="3"/>
  <c r="Y105" i="3" s="1"/>
  <c r="V105" i="3" s="1"/>
  <c r="C105" i="3"/>
  <c r="B105" i="3"/>
  <c r="A105" i="3"/>
  <c r="AH104" i="3"/>
  <c r="AD104" i="3"/>
  <c r="AB104" i="3"/>
  <c r="X104" i="3"/>
  <c r="U104" i="3"/>
  <c r="AJ104" i="3" s="1"/>
  <c r="T104" i="3"/>
  <c r="AM104" i="3" s="1"/>
  <c r="S104" i="3"/>
  <c r="R104" i="3"/>
  <c r="Q104" i="3"/>
  <c r="AI104" i="3" s="1"/>
  <c r="P104" i="3"/>
  <c r="O104" i="3"/>
  <c r="AN104" i="3" s="1"/>
  <c r="N104" i="3"/>
  <c r="M104" i="3"/>
  <c r="L104" i="3"/>
  <c r="AE104" i="3" s="1"/>
  <c r="K104" i="3"/>
  <c r="J104" i="3"/>
  <c r="I104" i="3"/>
  <c r="H104" i="3"/>
  <c r="G104" i="3"/>
  <c r="F104" i="3"/>
  <c r="E104" i="3"/>
  <c r="Z104" i="3" s="1"/>
  <c r="AA104" i="3" s="1"/>
  <c r="D104" i="3"/>
  <c r="Y104" i="3" s="1"/>
  <c r="V104" i="3" s="1"/>
  <c r="C104" i="3"/>
  <c r="B104" i="3"/>
  <c r="A104" i="3"/>
  <c r="W104" i="3" s="1"/>
  <c r="AH103" i="3"/>
  <c r="AB103" i="3"/>
  <c r="X103" i="3"/>
  <c r="U103" i="3"/>
  <c r="AJ103" i="3" s="1"/>
  <c r="T103" i="3"/>
  <c r="AM103" i="3" s="1"/>
  <c r="S103" i="3"/>
  <c r="R103" i="3"/>
  <c r="Q103" i="3"/>
  <c r="AI103" i="3" s="1"/>
  <c r="P103" i="3"/>
  <c r="O103" i="3"/>
  <c r="AN103" i="3" s="1"/>
  <c r="N103" i="3"/>
  <c r="M103" i="3"/>
  <c r="L103" i="3"/>
  <c r="AE103" i="3" s="1"/>
  <c r="K103" i="3"/>
  <c r="J103" i="3"/>
  <c r="I103" i="3"/>
  <c r="H103" i="3"/>
  <c r="G103" i="3"/>
  <c r="AD103" i="3" s="1"/>
  <c r="F103" i="3"/>
  <c r="E103" i="3"/>
  <c r="Z103" i="3" s="1"/>
  <c r="D103" i="3"/>
  <c r="Y103" i="3" s="1"/>
  <c r="V103" i="3" s="1"/>
  <c r="C103" i="3"/>
  <c r="B103" i="3"/>
  <c r="A103" i="3"/>
  <c r="W103" i="3" s="1"/>
  <c r="AH102" i="3"/>
  <c r="AD102" i="3"/>
  <c r="AB102" i="3"/>
  <c r="X102" i="3"/>
  <c r="U102" i="3"/>
  <c r="AJ102" i="3" s="1"/>
  <c r="T102" i="3"/>
  <c r="AM102" i="3" s="1"/>
  <c r="S102" i="3"/>
  <c r="R102" i="3"/>
  <c r="Q102" i="3"/>
  <c r="AI102" i="3" s="1"/>
  <c r="P102" i="3"/>
  <c r="O102" i="3"/>
  <c r="AN102" i="3" s="1"/>
  <c r="N102" i="3"/>
  <c r="M102" i="3"/>
  <c r="L102" i="3"/>
  <c r="AE102" i="3" s="1"/>
  <c r="K102" i="3"/>
  <c r="J102" i="3"/>
  <c r="I102" i="3"/>
  <c r="H102" i="3"/>
  <c r="G102" i="3"/>
  <c r="F102" i="3"/>
  <c r="E102" i="3"/>
  <c r="Z102" i="3" s="1"/>
  <c r="AA102" i="3" s="1"/>
  <c r="D102" i="3"/>
  <c r="Y102" i="3" s="1"/>
  <c r="V102" i="3" s="1"/>
  <c r="C102" i="3"/>
  <c r="B102" i="3"/>
  <c r="A102" i="3"/>
  <c r="W102" i="3" s="1"/>
  <c r="AH101" i="3"/>
  <c r="AD101" i="3"/>
  <c r="AB101" i="3"/>
  <c r="X101" i="3"/>
  <c r="U101" i="3"/>
  <c r="AJ101" i="3" s="1"/>
  <c r="T101" i="3"/>
  <c r="AM101" i="3" s="1"/>
  <c r="S101" i="3"/>
  <c r="R101" i="3"/>
  <c r="Q101" i="3"/>
  <c r="AI101" i="3" s="1"/>
  <c r="P101" i="3"/>
  <c r="O101" i="3"/>
  <c r="AN101" i="3" s="1"/>
  <c r="N101" i="3"/>
  <c r="M101" i="3"/>
  <c r="L101" i="3"/>
  <c r="AE101" i="3" s="1"/>
  <c r="K101" i="3"/>
  <c r="J101" i="3"/>
  <c r="I101" i="3"/>
  <c r="H101" i="3"/>
  <c r="G101" i="3"/>
  <c r="F101" i="3"/>
  <c r="E101" i="3"/>
  <c r="Z101" i="3" s="1"/>
  <c r="D101" i="3"/>
  <c r="Y101" i="3" s="1"/>
  <c r="V101" i="3" s="1"/>
  <c r="C101" i="3"/>
  <c r="B101" i="3"/>
  <c r="A101" i="3"/>
  <c r="W101" i="3" s="1"/>
  <c r="AI100" i="3"/>
  <c r="AH100" i="3"/>
  <c r="X100" i="3"/>
  <c r="W100" i="3"/>
  <c r="U100" i="3"/>
  <c r="AJ100" i="3" s="1"/>
  <c r="T100" i="3"/>
  <c r="AM100" i="3" s="1"/>
  <c r="S100" i="3"/>
  <c r="R100" i="3"/>
  <c r="Q100" i="3"/>
  <c r="P100" i="3"/>
  <c r="O100" i="3"/>
  <c r="AN100" i="3" s="1"/>
  <c r="N100" i="3"/>
  <c r="M100" i="3"/>
  <c r="L100" i="3"/>
  <c r="AE100" i="3" s="1"/>
  <c r="K100" i="3"/>
  <c r="J100" i="3"/>
  <c r="I100" i="3"/>
  <c r="H100" i="3"/>
  <c r="G100" i="3"/>
  <c r="AD100" i="3" s="1"/>
  <c r="F100" i="3"/>
  <c r="AB100" i="3" s="1"/>
  <c r="E100" i="3"/>
  <c r="Z100" i="3" s="1"/>
  <c r="D100" i="3"/>
  <c r="Y100" i="3" s="1"/>
  <c r="V100" i="3" s="1"/>
  <c r="C100" i="3"/>
  <c r="B100" i="3"/>
  <c r="A100" i="3"/>
  <c r="AH99" i="3"/>
  <c r="AD99" i="3"/>
  <c r="AB99" i="3"/>
  <c r="X99" i="3"/>
  <c r="U99" i="3"/>
  <c r="AJ99" i="3" s="1"/>
  <c r="T99" i="3"/>
  <c r="AM99" i="3" s="1"/>
  <c r="S99" i="3"/>
  <c r="R99" i="3"/>
  <c r="Q99" i="3"/>
  <c r="AI99" i="3" s="1"/>
  <c r="P99" i="3"/>
  <c r="O99" i="3"/>
  <c r="AN99" i="3" s="1"/>
  <c r="N99" i="3"/>
  <c r="M99" i="3"/>
  <c r="L99" i="3"/>
  <c r="AE99" i="3" s="1"/>
  <c r="K99" i="3"/>
  <c r="J99" i="3"/>
  <c r="I99" i="3"/>
  <c r="H99" i="3"/>
  <c r="G99" i="3"/>
  <c r="F99" i="3"/>
  <c r="E99" i="3"/>
  <c r="Z99" i="3" s="1"/>
  <c r="AA99" i="3" s="1"/>
  <c r="D99" i="3"/>
  <c r="Y99" i="3" s="1"/>
  <c r="V99" i="3" s="1"/>
  <c r="C99" i="3"/>
  <c r="B99" i="3"/>
  <c r="A99" i="3"/>
  <c r="W99" i="3" s="1"/>
  <c r="AH98" i="3"/>
  <c r="AE98" i="3"/>
  <c r="AD98" i="3"/>
  <c r="X98" i="3"/>
  <c r="U98" i="3"/>
  <c r="AJ98" i="3" s="1"/>
  <c r="T98" i="3"/>
  <c r="AM98" i="3" s="1"/>
  <c r="S98" i="3"/>
  <c r="R98" i="3"/>
  <c r="Q98" i="3"/>
  <c r="AI98" i="3" s="1"/>
  <c r="P98" i="3"/>
  <c r="O98" i="3"/>
  <c r="AN98" i="3" s="1"/>
  <c r="N98" i="3"/>
  <c r="M98" i="3"/>
  <c r="L98" i="3"/>
  <c r="K98" i="3"/>
  <c r="J98" i="3"/>
  <c r="I98" i="3"/>
  <c r="H98" i="3"/>
  <c r="G98" i="3"/>
  <c r="F98" i="3"/>
  <c r="AB98" i="3" s="1"/>
  <c r="E98" i="3"/>
  <c r="Z98" i="3" s="1"/>
  <c r="AA98" i="3" s="1"/>
  <c r="D98" i="3"/>
  <c r="Y98" i="3" s="1"/>
  <c r="V98" i="3" s="1"/>
  <c r="C98" i="3"/>
  <c r="B98" i="3"/>
  <c r="A98" i="3"/>
  <c r="W98" i="3" s="1"/>
  <c r="AJ97" i="3"/>
  <c r="AH97" i="3"/>
  <c r="AB97" i="3"/>
  <c r="X97" i="3"/>
  <c r="W97" i="3"/>
  <c r="U97" i="3"/>
  <c r="T97" i="3"/>
  <c r="AM97" i="3" s="1"/>
  <c r="S97" i="3"/>
  <c r="R97" i="3"/>
  <c r="Q97" i="3"/>
  <c r="AI97" i="3" s="1"/>
  <c r="P97" i="3"/>
  <c r="O97" i="3"/>
  <c r="AN97" i="3" s="1"/>
  <c r="N97" i="3"/>
  <c r="M97" i="3"/>
  <c r="L97" i="3"/>
  <c r="AE97" i="3" s="1"/>
  <c r="K97" i="3"/>
  <c r="J97" i="3"/>
  <c r="I97" i="3"/>
  <c r="H97" i="3"/>
  <c r="G97" i="3"/>
  <c r="AD97" i="3" s="1"/>
  <c r="F97" i="3"/>
  <c r="E97" i="3"/>
  <c r="Z97" i="3" s="1"/>
  <c r="D97" i="3"/>
  <c r="Y97" i="3" s="1"/>
  <c r="V97" i="3" s="1"/>
  <c r="C97" i="3"/>
  <c r="B97" i="3"/>
  <c r="A97" i="3"/>
  <c r="AH96" i="3"/>
  <c r="X96" i="3"/>
  <c r="W96" i="3"/>
  <c r="U96" i="3"/>
  <c r="AJ96" i="3" s="1"/>
  <c r="T96" i="3"/>
  <c r="AM96" i="3" s="1"/>
  <c r="S96" i="3"/>
  <c r="R96" i="3"/>
  <c r="Q96" i="3"/>
  <c r="AI96" i="3" s="1"/>
  <c r="P96" i="3"/>
  <c r="O96" i="3"/>
  <c r="AN96" i="3" s="1"/>
  <c r="N96" i="3"/>
  <c r="M96" i="3"/>
  <c r="L96" i="3"/>
  <c r="AE96" i="3" s="1"/>
  <c r="K96" i="3"/>
  <c r="J96" i="3"/>
  <c r="I96" i="3"/>
  <c r="H96" i="3"/>
  <c r="G96" i="3"/>
  <c r="AD96" i="3" s="1"/>
  <c r="F96" i="3"/>
  <c r="AB96" i="3" s="1"/>
  <c r="E96" i="3"/>
  <c r="Z96" i="3" s="1"/>
  <c r="D96" i="3"/>
  <c r="Y96" i="3" s="1"/>
  <c r="V96" i="3" s="1"/>
  <c r="C96" i="3"/>
  <c r="B96" i="3"/>
  <c r="A96" i="3"/>
  <c r="AH95" i="3"/>
  <c r="AD95" i="3"/>
  <c r="Y95" i="3"/>
  <c r="X95" i="3"/>
  <c r="V95" i="3"/>
  <c r="U95" i="3"/>
  <c r="AJ95" i="3" s="1"/>
  <c r="T95" i="3"/>
  <c r="AM95" i="3" s="1"/>
  <c r="S95" i="3"/>
  <c r="R95" i="3"/>
  <c r="Q95" i="3"/>
  <c r="AI95" i="3" s="1"/>
  <c r="P95" i="3"/>
  <c r="O95" i="3"/>
  <c r="AN95" i="3" s="1"/>
  <c r="N95" i="3"/>
  <c r="M95" i="3"/>
  <c r="AE95" i="3" s="1"/>
  <c r="L95" i="3"/>
  <c r="K95" i="3"/>
  <c r="J95" i="3"/>
  <c r="I95" i="3"/>
  <c r="H95" i="3"/>
  <c r="G95" i="3"/>
  <c r="F95" i="3"/>
  <c r="AB95" i="3" s="1"/>
  <c r="E95" i="3"/>
  <c r="Z95" i="3" s="1"/>
  <c r="AA95" i="3" s="1"/>
  <c r="D95" i="3"/>
  <c r="C95" i="3"/>
  <c r="B95" i="3"/>
  <c r="A95" i="3"/>
  <c r="W95" i="3" s="1"/>
  <c r="AH94" i="3"/>
  <c r="Y94" i="3"/>
  <c r="V94" i="3" s="1"/>
  <c r="X94" i="3"/>
  <c r="U94" i="3"/>
  <c r="AJ94" i="3" s="1"/>
  <c r="T94" i="3"/>
  <c r="AM94" i="3" s="1"/>
  <c r="S94" i="3"/>
  <c r="R94" i="3"/>
  <c r="Q94" i="3"/>
  <c r="AI94" i="3" s="1"/>
  <c r="P94" i="3"/>
  <c r="O94" i="3"/>
  <c r="AN94" i="3" s="1"/>
  <c r="N94" i="3"/>
  <c r="M94" i="3"/>
  <c r="AE94" i="3" s="1"/>
  <c r="L94" i="3"/>
  <c r="K94" i="3"/>
  <c r="J94" i="3"/>
  <c r="I94" i="3"/>
  <c r="H94" i="3"/>
  <c r="G94" i="3"/>
  <c r="AD94" i="3" s="1"/>
  <c r="F94" i="3"/>
  <c r="AB94" i="3" s="1"/>
  <c r="E94" i="3"/>
  <c r="Z94" i="3" s="1"/>
  <c r="AA94" i="3" s="1"/>
  <c r="D94" i="3"/>
  <c r="C94" i="3"/>
  <c r="B94" i="3"/>
  <c r="A94" i="3"/>
  <c r="W94" i="3" s="1"/>
  <c r="AI93" i="3"/>
  <c r="AH93" i="3"/>
  <c r="AD93" i="3"/>
  <c r="X93" i="3"/>
  <c r="W93" i="3"/>
  <c r="U93" i="3"/>
  <c r="AJ93" i="3" s="1"/>
  <c r="T93" i="3"/>
  <c r="AM93" i="3" s="1"/>
  <c r="S93" i="3"/>
  <c r="R93" i="3"/>
  <c r="Q93" i="3"/>
  <c r="P93" i="3"/>
  <c r="O93" i="3"/>
  <c r="AN93" i="3" s="1"/>
  <c r="N93" i="3"/>
  <c r="M93" i="3"/>
  <c r="AE93" i="3" s="1"/>
  <c r="L93" i="3"/>
  <c r="K93" i="3"/>
  <c r="J93" i="3"/>
  <c r="I93" i="3"/>
  <c r="H93" i="3"/>
  <c r="G93" i="3"/>
  <c r="F93" i="3"/>
  <c r="AB93" i="3" s="1"/>
  <c r="E93" i="3"/>
  <c r="Z93" i="3" s="1"/>
  <c r="AA93" i="3" s="1"/>
  <c r="D93" i="3"/>
  <c r="Y93" i="3" s="1"/>
  <c r="V93" i="3" s="1"/>
  <c r="C93" i="3"/>
  <c r="B93" i="3"/>
  <c r="A93" i="3"/>
  <c r="AH92" i="3"/>
  <c r="AE92" i="3"/>
  <c r="X92" i="3"/>
  <c r="W92" i="3"/>
  <c r="U92" i="3"/>
  <c r="AJ92" i="3" s="1"/>
  <c r="T92" i="3"/>
  <c r="AM92" i="3" s="1"/>
  <c r="S92" i="3"/>
  <c r="R92" i="3"/>
  <c r="Q92" i="3"/>
  <c r="AI92" i="3" s="1"/>
  <c r="P92" i="3"/>
  <c r="O92" i="3"/>
  <c r="AN92" i="3" s="1"/>
  <c r="N92" i="3"/>
  <c r="M92" i="3"/>
  <c r="L92" i="3"/>
  <c r="K92" i="3"/>
  <c r="J92" i="3"/>
  <c r="I92" i="3"/>
  <c r="H92" i="3"/>
  <c r="G92" i="3"/>
  <c r="AD92" i="3" s="1"/>
  <c r="F92" i="3"/>
  <c r="AB92" i="3" s="1"/>
  <c r="E92" i="3"/>
  <c r="Z92" i="3" s="1"/>
  <c r="AA92" i="3" s="1"/>
  <c r="D92" i="3"/>
  <c r="Y92" i="3" s="1"/>
  <c r="V92" i="3" s="1"/>
  <c r="C92" i="3"/>
  <c r="B92" i="3"/>
  <c r="A92" i="3"/>
  <c r="AJ91" i="3"/>
  <c r="AH91" i="3"/>
  <c r="AE91" i="3"/>
  <c r="Y91" i="3"/>
  <c r="X91" i="3"/>
  <c r="V91" i="3"/>
  <c r="U91" i="3"/>
  <c r="T91" i="3"/>
  <c r="AM91" i="3" s="1"/>
  <c r="S91" i="3"/>
  <c r="R91" i="3"/>
  <c r="Q91" i="3"/>
  <c r="AI91" i="3" s="1"/>
  <c r="P91" i="3"/>
  <c r="O91" i="3"/>
  <c r="AN91" i="3" s="1"/>
  <c r="N91" i="3"/>
  <c r="M91" i="3"/>
  <c r="L91" i="3"/>
  <c r="K91" i="3"/>
  <c r="J91" i="3"/>
  <c r="I91" i="3"/>
  <c r="AD91" i="3" s="1"/>
  <c r="H91" i="3"/>
  <c r="G91" i="3"/>
  <c r="F91" i="3"/>
  <c r="AB91" i="3" s="1"/>
  <c r="E91" i="3"/>
  <c r="Z91" i="3" s="1"/>
  <c r="AA91" i="3" s="1"/>
  <c r="D91" i="3"/>
  <c r="C91" i="3"/>
  <c r="B91" i="3"/>
  <c r="A91" i="3"/>
  <c r="W91" i="3" s="1"/>
  <c r="AH90" i="3"/>
  <c r="AD90" i="3"/>
  <c r="Y90" i="3"/>
  <c r="X90" i="3"/>
  <c r="V90" i="3"/>
  <c r="U90" i="3"/>
  <c r="AJ90" i="3" s="1"/>
  <c r="T90" i="3"/>
  <c r="AM90" i="3" s="1"/>
  <c r="S90" i="3"/>
  <c r="R90" i="3"/>
  <c r="Q90" i="3"/>
  <c r="AI90" i="3" s="1"/>
  <c r="P90" i="3"/>
  <c r="O90" i="3"/>
  <c r="AN90" i="3" s="1"/>
  <c r="N90" i="3"/>
  <c r="M90" i="3"/>
  <c r="AE90" i="3" s="1"/>
  <c r="L90" i="3"/>
  <c r="K90" i="3"/>
  <c r="J90" i="3"/>
  <c r="I90" i="3"/>
  <c r="H90" i="3"/>
  <c r="G90" i="3"/>
  <c r="F90" i="3"/>
  <c r="AB90" i="3" s="1"/>
  <c r="E90" i="3"/>
  <c r="Z90" i="3" s="1"/>
  <c r="AA90" i="3" s="1"/>
  <c r="D90" i="3"/>
  <c r="C90" i="3"/>
  <c r="B90" i="3"/>
  <c r="A90" i="3"/>
  <c r="W90" i="3" s="1"/>
  <c r="AM89" i="3"/>
  <c r="AH89" i="3"/>
  <c r="AD89" i="3"/>
  <c r="Y89" i="3"/>
  <c r="X89" i="3"/>
  <c r="V89" i="3"/>
  <c r="U89" i="3"/>
  <c r="AJ89" i="3" s="1"/>
  <c r="T89" i="3"/>
  <c r="S89" i="3"/>
  <c r="R89" i="3"/>
  <c r="Q89" i="3"/>
  <c r="AI89" i="3" s="1"/>
  <c r="P89" i="3"/>
  <c r="O89" i="3"/>
  <c r="AN89" i="3" s="1"/>
  <c r="N89" i="3"/>
  <c r="M89" i="3"/>
  <c r="AE89" i="3" s="1"/>
  <c r="L89" i="3"/>
  <c r="K89" i="3"/>
  <c r="J89" i="3"/>
  <c r="I89" i="3"/>
  <c r="H89" i="3"/>
  <c r="G89" i="3"/>
  <c r="F89" i="3"/>
  <c r="AB89" i="3" s="1"/>
  <c r="E89" i="3"/>
  <c r="Z89" i="3" s="1"/>
  <c r="AA89" i="3" s="1"/>
  <c r="D89" i="3"/>
  <c r="C89" i="3"/>
  <c r="B89" i="3"/>
  <c r="A89" i="3"/>
  <c r="W89" i="3" s="1"/>
  <c r="AI88" i="3"/>
  <c r="AH88" i="3"/>
  <c r="AE88" i="3"/>
  <c r="X88" i="3"/>
  <c r="W88" i="3"/>
  <c r="U88" i="3"/>
  <c r="AJ88" i="3" s="1"/>
  <c r="T88" i="3"/>
  <c r="AM88" i="3" s="1"/>
  <c r="S88" i="3"/>
  <c r="R88" i="3"/>
  <c r="Q88" i="3"/>
  <c r="P88" i="3"/>
  <c r="O88" i="3"/>
  <c r="AN88" i="3" s="1"/>
  <c r="N88" i="3"/>
  <c r="M88" i="3"/>
  <c r="L88" i="3"/>
  <c r="K88" i="3"/>
  <c r="J88" i="3"/>
  <c r="I88" i="3"/>
  <c r="H88" i="3"/>
  <c r="G88" i="3"/>
  <c r="AD88" i="3" s="1"/>
  <c r="F88" i="3"/>
  <c r="AB88" i="3" s="1"/>
  <c r="E88" i="3"/>
  <c r="Z88" i="3" s="1"/>
  <c r="AA88" i="3" s="1"/>
  <c r="D88" i="3"/>
  <c r="Y88" i="3" s="1"/>
  <c r="V88" i="3" s="1"/>
  <c r="C88" i="3"/>
  <c r="B88" i="3"/>
  <c r="A88" i="3"/>
  <c r="AJ87" i="3"/>
  <c r="AH87" i="3"/>
  <c r="AD87" i="3"/>
  <c r="Y87" i="3"/>
  <c r="V87" i="3" s="1"/>
  <c r="X87" i="3"/>
  <c r="U87" i="3"/>
  <c r="T87" i="3"/>
  <c r="AM87" i="3" s="1"/>
  <c r="S87" i="3"/>
  <c r="R87" i="3"/>
  <c r="Q87" i="3"/>
  <c r="AI87" i="3" s="1"/>
  <c r="P87" i="3"/>
  <c r="O87" i="3"/>
  <c r="AN87" i="3" s="1"/>
  <c r="N87" i="3"/>
  <c r="M87" i="3"/>
  <c r="L87" i="3"/>
  <c r="AE87" i="3" s="1"/>
  <c r="K87" i="3"/>
  <c r="J87" i="3"/>
  <c r="I87" i="3"/>
  <c r="H87" i="3"/>
  <c r="G87" i="3"/>
  <c r="F87" i="3"/>
  <c r="AB87" i="3" s="1"/>
  <c r="E87" i="3"/>
  <c r="Z87" i="3" s="1"/>
  <c r="AA87" i="3" s="1"/>
  <c r="D87" i="3"/>
  <c r="C87" i="3"/>
  <c r="B87" i="3"/>
  <c r="A87" i="3"/>
  <c r="W87" i="3" s="1"/>
  <c r="AJ86" i="3"/>
  <c r="AH86" i="3"/>
  <c r="Y86" i="3"/>
  <c r="V86" i="3" s="1"/>
  <c r="X86" i="3"/>
  <c r="U86" i="3"/>
  <c r="T86" i="3"/>
  <c r="AM86" i="3" s="1"/>
  <c r="S86" i="3"/>
  <c r="R86" i="3"/>
  <c r="Q86" i="3"/>
  <c r="AI86" i="3" s="1"/>
  <c r="P86" i="3"/>
  <c r="O86" i="3"/>
  <c r="AN86" i="3" s="1"/>
  <c r="N86" i="3"/>
  <c r="M86" i="3"/>
  <c r="L86" i="3"/>
  <c r="AE86" i="3" s="1"/>
  <c r="K86" i="3"/>
  <c r="J86" i="3"/>
  <c r="I86" i="3"/>
  <c r="H86" i="3"/>
  <c r="G86" i="3"/>
  <c r="AD86" i="3" s="1"/>
  <c r="F86" i="3"/>
  <c r="AB86" i="3" s="1"/>
  <c r="E86" i="3"/>
  <c r="Z86" i="3" s="1"/>
  <c r="AA86" i="3" s="1"/>
  <c r="D86" i="3"/>
  <c r="C86" i="3"/>
  <c r="B86" i="3"/>
  <c r="A86" i="3"/>
  <c r="W86" i="3" s="1"/>
  <c r="AI85" i="3"/>
  <c r="AH85" i="3"/>
  <c r="AB85" i="3"/>
  <c r="X85" i="3"/>
  <c r="W85" i="3"/>
  <c r="U85" i="3"/>
  <c r="AJ85" i="3" s="1"/>
  <c r="T85" i="3"/>
  <c r="AM85" i="3" s="1"/>
  <c r="S85" i="3"/>
  <c r="R85" i="3"/>
  <c r="Q85" i="3"/>
  <c r="P85" i="3"/>
  <c r="O85" i="3"/>
  <c r="AN85" i="3" s="1"/>
  <c r="N85" i="3"/>
  <c r="M85" i="3"/>
  <c r="L85" i="3"/>
  <c r="AE85" i="3" s="1"/>
  <c r="K85" i="3"/>
  <c r="J85" i="3"/>
  <c r="I85" i="3"/>
  <c r="H85" i="3"/>
  <c r="G85" i="3"/>
  <c r="AD85" i="3" s="1"/>
  <c r="F85" i="3"/>
  <c r="E85" i="3"/>
  <c r="Z85" i="3" s="1"/>
  <c r="D85" i="3"/>
  <c r="Y85" i="3" s="1"/>
  <c r="V85" i="3" s="1"/>
  <c r="C85" i="3"/>
  <c r="B85" i="3"/>
  <c r="A85" i="3"/>
  <c r="AI84" i="3"/>
  <c r="AH84" i="3"/>
  <c r="AD84" i="3"/>
  <c r="X84" i="3"/>
  <c r="W84" i="3"/>
  <c r="U84" i="3"/>
  <c r="AJ84" i="3" s="1"/>
  <c r="T84" i="3"/>
  <c r="AM84" i="3" s="1"/>
  <c r="S84" i="3"/>
  <c r="R84" i="3"/>
  <c r="Q84" i="3"/>
  <c r="P84" i="3"/>
  <c r="O84" i="3"/>
  <c r="AN84" i="3" s="1"/>
  <c r="N84" i="3"/>
  <c r="M84" i="3"/>
  <c r="AE84" i="3" s="1"/>
  <c r="L84" i="3"/>
  <c r="K84" i="3"/>
  <c r="J84" i="3"/>
  <c r="I84" i="3"/>
  <c r="H84" i="3"/>
  <c r="G84" i="3"/>
  <c r="F84" i="3"/>
  <c r="AB84" i="3" s="1"/>
  <c r="E84" i="3"/>
  <c r="Z84" i="3" s="1"/>
  <c r="AA84" i="3" s="1"/>
  <c r="D84" i="3"/>
  <c r="Y84" i="3" s="1"/>
  <c r="V84" i="3" s="1"/>
  <c r="C84" i="3"/>
  <c r="B84" i="3"/>
  <c r="A84" i="3"/>
  <c r="AI83" i="3"/>
  <c r="AH83" i="3"/>
  <c r="AB83" i="3"/>
  <c r="X83" i="3"/>
  <c r="W83" i="3"/>
  <c r="U83" i="3"/>
  <c r="AJ83" i="3" s="1"/>
  <c r="T83" i="3"/>
  <c r="AM83" i="3" s="1"/>
  <c r="S83" i="3"/>
  <c r="R83" i="3"/>
  <c r="Q83" i="3"/>
  <c r="P83" i="3"/>
  <c r="O83" i="3"/>
  <c r="AN83" i="3" s="1"/>
  <c r="N83" i="3"/>
  <c r="M83" i="3"/>
  <c r="L83" i="3"/>
  <c r="AE83" i="3" s="1"/>
  <c r="K83" i="3"/>
  <c r="J83" i="3"/>
  <c r="I83" i="3"/>
  <c r="H83" i="3"/>
  <c r="G83" i="3"/>
  <c r="AD83" i="3" s="1"/>
  <c r="F83" i="3"/>
  <c r="E83" i="3"/>
  <c r="Z83" i="3" s="1"/>
  <c r="D83" i="3"/>
  <c r="Y83" i="3" s="1"/>
  <c r="V83" i="3" s="1"/>
  <c r="C83" i="3"/>
  <c r="B83" i="3"/>
  <c r="A83" i="3"/>
  <c r="AH82" i="3"/>
  <c r="AD82" i="3"/>
  <c r="Y82" i="3"/>
  <c r="X82" i="3"/>
  <c r="V82" i="3"/>
  <c r="U82" i="3"/>
  <c r="AJ82" i="3" s="1"/>
  <c r="T82" i="3"/>
  <c r="AM82" i="3" s="1"/>
  <c r="S82" i="3"/>
  <c r="R82" i="3"/>
  <c r="Q82" i="3"/>
  <c r="AI82" i="3" s="1"/>
  <c r="P82" i="3"/>
  <c r="O82" i="3"/>
  <c r="AN82" i="3" s="1"/>
  <c r="N82" i="3"/>
  <c r="M82" i="3"/>
  <c r="AE82" i="3" s="1"/>
  <c r="L82" i="3"/>
  <c r="K82" i="3"/>
  <c r="J82" i="3"/>
  <c r="I82" i="3"/>
  <c r="H82" i="3"/>
  <c r="G82" i="3"/>
  <c r="F82" i="3"/>
  <c r="AB82" i="3" s="1"/>
  <c r="E82" i="3"/>
  <c r="Z82" i="3" s="1"/>
  <c r="AA82" i="3" s="1"/>
  <c r="D82" i="3"/>
  <c r="C82" i="3"/>
  <c r="B82" i="3"/>
  <c r="A82" i="3"/>
  <c r="W82" i="3" s="1"/>
  <c r="AH81" i="3"/>
  <c r="AB81" i="3"/>
  <c r="U81" i="3"/>
  <c r="AJ81" i="3" s="1"/>
  <c r="T81" i="3"/>
  <c r="AM81" i="3" s="1"/>
  <c r="S81" i="3"/>
  <c r="R81" i="3"/>
  <c r="Q81" i="3"/>
  <c r="AI81" i="3" s="1"/>
  <c r="P81" i="3"/>
  <c r="O81" i="3"/>
  <c r="AN81" i="3" s="1"/>
  <c r="N81" i="3"/>
  <c r="M81" i="3"/>
  <c r="L81" i="3"/>
  <c r="AE81" i="3" s="1"/>
  <c r="K81" i="3"/>
  <c r="J81" i="3"/>
  <c r="I81" i="3"/>
  <c r="AD81" i="3" s="1"/>
  <c r="H81" i="3"/>
  <c r="G81" i="3"/>
  <c r="F81" i="3"/>
  <c r="E81" i="3"/>
  <c r="Z81" i="3" s="1"/>
  <c r="D81" i="3"/>
  <c r="Y81" i="3" s="1"/>
  <c r="V81" i="3" s="1"/>
  <c r="C81" i="3"/>
  <c r="X81" i="3" s="1"/>
  <c r="B81" i="3"/>
  <c r="A81" i="3"/>
  <c r="W81" i="3" s="1"/>
  <c r="AH80" i="3"/>
  <c r="AD80" i="3"/>
  <c r="AB80" i="3"/>
  <c r="X80" i="3"/>
  <c r="U80" i="3"/>
  <c r="AJ80" i="3" s="1"/>
  <c r="T80" i="3"/>
  <c r="AM80" i="3" s="1"/>
  <c r="S80" i="3"/>
  <c r="R80" i="3"/>
  <c r="Q80" i="3"/>
  <c r="AI80" i="3" s="1"/>
  <c r="P80" i="3"/>
  <c r="O80" i="3"/>
  <c r="AN80" i="3" s="1"/>
  <c r="N80" i="3"/>
  <c r="M80" i="3"/>
  <c r="L80" i="3"/>
  <c r="AE80" i="3" s="1"/>
  <c r="K80" i="3"/>
  <c r="J80" i="3"/>
  <c r="I80" i="3"/>
  <c r="H80" i="3"/>
  <c r="G80" i="3"/>
  <c r="F80" i="3"/>
  <c r="E80" i="3"/>
  <c r="Z80" i="3" s="1"/>
  <c r="AA80" i="3" s="1"/>
  <c r="D80" i="3"/>
  <c r="Y80" i="3" s="1"/>
  <c r="V80" i="3" s="1"/>
  <c r="C80" i="3"/>
  <c r="B80" i="3"/>
  <c r="A80" i="3"/>
  <c r="W80" i="3" s="1"/>
  <c r="AI79" i="3"/>
  <c r="AH79" i="3"/>
  <c r="Y79" i="3"/>
  <c r="V79" i="3" s="1"/>
  <c r="X79" i="3"/>
  <c r="U79" i="3"/>
  <c r="AJ79" i="3" s="1"/>
  <c r="T79" i="3"/>
  <c r="AM79" i="3" s="1"/>
  <c r="S79" i="3"/>
  <c r="R79" i="3"/>
  <c r="Q79" i="3"/>
  <c r="P79" i="3"/>
  <c r="O79" i="3"/>
  <c r="AN79" i="3" s="1"/>
  <c r="N79" i="3"/>
  <c r="M79" i="3"/>
  <c r="AE79" i="3" s="1"/>
  <c r="L79" i="3"/>
  <c r="K79" i="3"/>
  <c r="J79" i="3"/>
  <c r="I79" i="3"/>
  <c r="H79" i="3"/>
  <c r="G79" i="3"/>
  <c r="AD79" i="3" s="1"/>
  <c r="F79" i="3"/>
  <c r="AB79" i="3" s="1"/>
  <c r="E79" i="3"/>
  <c r="Z79" i="3" s="1"/>
  <c r="AA79" i="3" s="1"/>
  <c r="D79" i="3"/>
  <c r="C79" i="3"/>
  <c r="B79" i="3"/>
  <c r="A79" i="3"/>
  <c r="W79" i="3" s="1"/>
  <c r="AJ78" i="3"/>
  <c r="AH78" i="3"/>
  <c r="Y78" i="3"/>
  <c r="V78" i="3" s="1"/>
  <c r="X78" i="3"/>
  <c r="U78" i="3"/>
  <c r="T78" i="3"/>
  <c r="AM78" i="3" s="1"/>
  <c r="S78" i="3"/>
  <c r="R78" i="3"/>
  <c r="Q78" i="3"/>
  <c r="AI78" i="3" s="1"/>
  <c r="P78" i="3"/>
  <c r="O78" i="3"/>
  <c r="AN78" i="3" s="1"/>
  <c r="N78" i="3"/>
  <c r="M78" i="3"/>
  <c r="AE78" i="3" s="1"/>
  <c r="L78" i="3"/>
  <c r="K78" i="3"/>
  <c r="J78" i="3"/>
  <c r="I78" i="3"/>
  <c r="AD78" i="3" s="1"/>
  <c r="H78" i="3"/>
  <c r="G78" i="3"/>
  <c r="F78" i="3"/>
  <c r="AB78" i="3" s="1"/>
  <c r="E78" i="3"/>
  <c r="Z78" i="3" s="1"/>
  <c r="AA78" i="3" s="1"/>
  <c r="D78" i="3"/>
  <c r="C78" i="3"/>
  <c r="B78" i="3"/>
  <c r="A78" i="3"/>
  <c r="W78" i="3" s="1"/>
  <c r="AH77" i="3"/>
  <c r="Y77" i="3"/>
  <c r="V77" i="3" s="1"/>
  <c r="X77" i="3"/>
  <c r="U77" i="3"/>
  <c r="AJ77" i="3" s="1"/>
  <c r="T77" i="3"/>
  <c r="AM77" i="3" s="1"/>
  <c r="S77" i="3"/>
  <c r="R77" i="3"/>
  <c r="Q77" i="3"/>
  <c r="AI77" i="3" s="1"/>
  <c r="P77" i="3"/>
  <c r="O77" i="3"/>
  <c r="AN77" i="3" s="1"/>
  <c r="N77" i="3"/>
  <c r="M77" i="3"/>
  <c r="AE77" i="3" s="1"/>
  <c r="L77" i="3"/>
  <c r="K77" i="3"/>
  <c r="J77" i="3"/>
  <c r="I77" i="3"/>
  <c r="AD77" i="3" s="1"/>
  <c r="H77" i="3"/>
  <c r="G77" i="3"/>
  <c r="F77" i="3"/>
  <c r="AB77" i="3" s="1"/>
  <c r="E77" i="3"/>
  <c r="Z77" i="3" s="1"/>
  <c r="AA77" i="3" s="1"/>
  <c r="D77" i="3"/>
  <c r="C77" i="3"/>
  <c r="B77" i="3"/>
  <c r="A77" i="3"/>
  <c r="W77" i="3" s="1"/>
  <c r="AI76" i="3"/>
  <c r="AH76" i="3"/>
  <c r="Y76" i="3"/>
  <c r="X76" i="3"/>
  <c r="W76" i="3"/>
  <c r="V76" i="3"/>
  <c r="U76" i="3"/>
  <c r="AJ76" i="3" s="1"/>
  <c r="T76" i="3"/>
  <c r="AM76" i="3" s="1"/>
  <c r="S76" i="3"/>
  <c r="R76" i="3"/>
  <c r="Q76" i="3"/>
  <c r="P76" i="3"/>
  <c r="O76" i="3"/>
  <c r="AN76" i="3" s="1"/>
  <c r="N76" i="3"/>
  <c r="M76" i="3"/>
  <c r="AE76" i="3" s="1"/>
  <c r="L76" i="3"/>
  <c r="K76" i="3"/>
  <c r="J76" i="3"/>
  <c r="I76" i="3"/>
  <c r="H76" i="3"/>
  <c r="G76" i="3"/>
  <c r="AD76" i="3" s="1"/>
  <c r="F76" i="3"/>
  <c r="AB76" i="3" s="1"/>
  <c r="E76" i="3"/>
  <c r="Z76" i="3" s="1"/>
  <c r="AA76" i="3" s="1"/>
  <c r="D76" i="3"/>
  <c r="C76" i="3"/>
  <c r="B76" i="3"/>
  <c r="A76" i="3"/>
  <c r="AH75" i="3"/>
  <c r="AE75" i="3"/>
  <c r="Y75" i="3"/>
  <c r="X75" i="3"/>
  <c r="V75" i="3"/>
  <c r="U75" i="3"/>
  <c r="AJ75" i="3" s="1"/>
  <c r="T75" i="3"/>
  <c r="AM75" i="3" s="1"/>
  <c r="S75" i="3"/>
  <c r="R75" i="3"/>
  <c r="Q75" i="3"/>
  <c r="AI75" i="3" s="1"/>
  <c r="P75" i="3"/>
  <c r="O75" i="3"/>
  <c r="AN75" i="3" s="1"/>
  <c r="N75" i="3"/>
  <c r="M75" i="3"/>
  <c r="L75" i="3"/>
  <c r="K75" i="3"/>
  <c r="J75" i="3"/>
  <c r="I75" i="3"/>
  <c r="H75" i="3"/>
  <c r="G75" i="3"/>
  <c r="AD75" i="3" s="1"/>
  <c r="F75" i="3"/>
  <c r="AB75" i="3" s="1"/>
  <c r="E75" i="3"/>
  <c r="Z75" i="3" s="1"/>
  <c r="AA75" i="3" s="1"/>
  <c r="D75" i="3"/>
  <c r="C75" i="3"/>
  <c r="B75" i="3"/>
  <c r="A75" i="3"/>
  <c r="W75" i="3" s="1"/>
  <c r="AJ74" i="3"/>
  <c r="AI74" i="3"/>
  <c r="AH74" i="3"/>
  <c r="AB74" i="3"/>
  <c r="X74" i="3"/>
  <c r="W74" i="3"/>
  <c r="U74" i="3"/>
  <c r="T74" i="3"/>
  <c r="AM74" i="3" s="1"/>
  <c r="S74" i="3"/>
  <c r="R74" i="3"/>
  <c r="Q74" i="3"/>
  <c r="P74" i="3"/>
  <c r="O74" i="3"/>
  <c r="AN74" i="3" s="1"/>
  <c r="N74" i="3"/>
  <c r="M74" i="3"/>
  <c r="L74" i="3"/>
  <c r="AE74" i="3" s="1"/>
  <c r="K74" i="3"/>
  <c r="J74" i="3"/>
  <c r="I74" i="3"/>
  <c r="H74" i="3"/>
  <c r="G74" i="3"/>
  <c r="AD74" i="3" s="1"/>
  <c r="F74" i="3"/>
  <c r="E74" i="3"/>
  <c r="Z74" i="3" s="1"/>
  <c r="D74" i="3"/>
  <c r="Y74" i="3" s="1"/>
  <c r="V74" i="3" s="1"/>
  <c r="C74" i="3"/>
  <c r="B74" i="3"/>
  <c r="A74" i="3"/>
  <c r="AJ73" i="3"/>
  <c r="AI73" i="3"/>
  <c r="AH73" i="3"/>
  <c r="Y73" i="3"/>
  <c r="V73" i="3" s="1"/>
  <c r="X73" i="3"/>
  <c r="U73" i="3"/>
  <c r="T73" i="3"/>
  <c r="AM73" i="3" s="1"/>
  <c r="S73" i="3"/>
  <c r="R73" i="3"/>
  <c r="Q73" i="3"/>
  <c r="P73" i="3"/>
  <c r="O73" i="3"/>
  <c r="AN73" i="3" s="1"/>
  <c r="N73" i="3"/>
  <c r="M73" i="3"/>
  <c r="L73" i="3"/>
  <c r="AE73" i="3" s="1"/>
  <c r="K73" i="3"/>
  <c r="J73" i="3"/>
  <c r="I73" i="3"/>
  <c r="H73" i="3"/>
  <c r="G73" i="3"/>
  <c r="AD73" i="3" s="1"/>
  <c r="F73" i="3"/>
  <c r="AB73" i="3" s="1"/>
  <c r="E73" i="3"/>
  <c r="Z73" i="3" s="1"/>
  <c r="AA73" i="3" s="1"/>
  <c r="D73" i="3"/>
  <c r="C73" i="3"/>
  <c r="B73" i="3"/>
  <c r="A73" i="3"/>
  <c r="W73" i="3" s="1"/>
  <c r="AI72" i="3"/>
  <c r="AH72" i="3"/>
  <c r="X72" i="3"/>
  <c r="W72" i="3"/>
  <c r="U72" i="3"/>
  <c r="AJ72" i="3" s="1"/>
  <c r="T72" i="3"/>
  <c r="AM72" i="3" s="1"/>
  <c r="S72" i="3"/>
  <c r="R72" i="3"/>
  <c r="Q72" i="3"/>
  <c r="P72" i="3"/>
  <c r="O72" i="3"/>
  <c r="AN72" i="3" s="1"/>
  <c r="N72" i="3"/>
  <c r="M72" i="3"/>
  <c r="AE72" i="3" s="1"/>
  <c r="L72" i="3"/>
  <c r="K72" i="3"/>
  <c r="J72" i="3"/>
  <c r="I72" i="3"/>
  <c r="H72" i="3"/>
  <c r="G72" i="3"/>
  <c r="AD72" i="3" s="1"/>
  <c r="F72" i="3"/>
  <c r="AB72" i="3" s="1"/>
  <c r="E72" i="3"/>
  <c r="Z72" i="3" s="1"/>
  <c r="AA72" i="3" s="1"/>
  <c r="D72" i="3"/>
  <c r="Y72" i="3" s="1"/>
  <c r="V72" i="3" s="1"/>
  <c r="C72" i="3"/>
  <c r="B72" i="3"/>
  <c r="A72" i="3"/>
  <c r="AH71" i="3"/>
  <c r="AB71" i="3"/>
  <c r="X71" i="3"/>
  <c r="W71" i="3"/>
  <c r="U71" i="3"/>
  <c r="AJ71" i="3" s="1"/>
  <c r="T71" i="3"/>
  <c r="AM71" i="3" s="1"/>
  <c r="S71" i="3"/>
  <c r="R71" i="3"/>
  <c r="Q71" i="3"/>
  <c r="AI71" i="3" s="1"/>
  <c r="P71" i="3"/>
  <c r="O71" i="3"/>
  <c r="AN71" i="3" s="1"/>
  <c r="N71" i="3"/>
  <c r="M71" i="3"/>
  <c r="L71" i="3"/>
  <c r="AE71" i="3" s="1"/>
  <c r="K71" i="3"/>
  <c r="J71" i="3"/>
  <c r="I71" i="3"/>
  <c r="H71" i="3"/>
  <c r="G71" i="3"/>
  <c r="AD71" i="3" s="1"/>
  <c r="F71" i="3"/>
  <c r="E71" i="3"/>
  <c r="Z71" i="3" s="1"/>
  <c r="D71" i="3"/>
  <c r="Y71" i="3" s="1"/>
  <c r="V71" i="3" s="1"/>
  <c r="C71" i="3"/>
  <c r="B71" i="3"/>
  <c r="A71" i="3"/>
  <c r="AH70" i="3"/>
  <c r="AB70" i="3"/>
  <c r="X70" i="3"/>
  <c r="U70" i="3"/>
  <c r="AJ70" i="3" s="1"/>
  <c r="T70" i="3"/>
  <c r="AM70" i="3" s="1"/>
  <c r="S70" i="3"/>
  <c r="R70" i="3"/>
  <c r="Q70" i="3"/>
  <c r="AI70" i="3" s="1"/>
  <c r="P70" i="3"/>
  <c r="O70" i="3"/>
  <c r="AN70" i="3" s="1"/>
  <c r="N70" i="3"/>
  <c r="M70" i="3"/>
  <c r="L70" i="3"/>
  <c r="AE70" i="3" s="1"/>
  <c r="K70" i="3"/>
  <c r="J70" i="3"/>
  <c r="I70" i="3"/>
  <c r="H70" i="3"/>
  <c r="G70" i="3"/>
  <c r="AD70" i="3" s="1"/>
  <c r="F70" i="3"/>
  <c r="E70" i="3"/>
  <c r="Z70" i="3" s="1"/>
  <c r="AA70" i="3" s="1"/>
  <c r="D70" i="3"/>
  <c r="Y70" i="3" s="1"/>
  <c r="V70" i="3" s="1"/>
  <c r="C70" i="3"/>
  <c r="B70" i="3"/>
  <c r="A70" i="3"/>
  <c r="W70" i="3" s="1"/>
  <c r="AH69" i="3"/>
  <c r="AD69" i="3"/>
  <c r="X69" i="3"/>
  <c r="U69" i="3"/>
  <c r="AJ69" i="3" s="1"/>
  <c r="T69" i="3"/>
  <c r="AM69" i="3" s="1"/>
  <c r="S69" i="3"/>
  <c r="R69" i="3"/>
  <c r="Q69" i="3"/>
  <c r="AI69" i="3" s="1"/>
  <c r="P69" i="3"/>
  <c r="O69" i="3"/>
  <c r="AN69" i="3" s="1"/>
  <c r="N69" i="3"/>
  <c r="M69" i="3"/>
  <c r="L69" i="3"/>
  <c r="AE69" i="3" s="1"/>
  <c r="K69" i="3"/>
  <c r="J69" i="3"/>
  <c r="I69" i="3"/>
  <c r="H69" i="3"/>
  <c r="G69" i="3"/>
  <c r="F69" i="3"/>
  <c r="AB69" i="3" s="1"/>
  <c r="E69" i="3"/>
  <c r="Z69" i="3" s="1"/>
  <c r="D69" i="3"/>
  <c r="Y69" i="3" s="1"/>
  <c r="V69" i="3" s="1"/>
  <c r="C69" i="3"/>
  <c r="B69" i="3"/>
  <c r="A69" i="3"/>
  <c r="W69" i="3" s="1"/>
  <c r="AH68" i="3"/>
  <c r="AD68" i="3"/>
  <c r="Y68" i="3"/>
  <c r="X68" i="3"/>
  <c r="V68" i="3"/>
  <c r="U68" i="3"/>
  <c r="AJ68" i="3" s="1"/>
  <c r="T68" i="3"/>
  <c r="AM68" i="3" s="1"/>
  <c r="S68" i="3"/>
  <c r="R68" i="3"/>
  <c r="Q68" i="3"/>
  <c r="AI68" i="3" s="1"/>
  <c r="P68" i="3"/>
  <c r="O68" i="3"/>
  <c r="AN68" i="3" s="1"/>
  <c r="N68" i="3"/>
  <c r="M68" i="3"/>
  <c r="AE68" i="3" s="1"/>
  <c r="L68" i="3"/>
  <c r="K68" i="3"/>
  <c r="J68" i="3"/>
  <c r="I68" i="3"/>
  <c r="H68" i="3"/>
  <c r="G68" i="3"/>
  <c r="F68" i="3"/>
  <c r="AB68" i="3" s="1"/>
  <c r="E68" i="3"/>
  <c r="Z68" i="3" s="1"/>
  <c r="AA68" i="3" s="1"/>
  <c r="D68" i="3"/>
  <c r="C68" i="3"/>
  <c r="B68" i="3"/>
  <c r="A68" i="3"/>
  <c r="W68" i="3" s="1"/>
  <c r="AH67" i="3"/>
  <c r="AE67" i="3"/>
  <c r="AD67" i="3"/>
  <c r="X67" i="3"/>
  <c r="U67" i="3"/>
  <c r="AJ67" i="3" s="1"/>
  <c r="T67" i="3"/>
  <c r="AM67" i="3" s="1"/>
  <c r="S67" i="3"/>
  <c r="R67" i="3"/>
  <c r="Q67" i="3"/>
  <c r="AI67" i="3" s="1"/>
  <c r="P67" i="3"/>
  <c r="O67" i="3"/>
  <c r="AN67" i="3" s="1"/>
  <c r="N67" i="3"/>
  <c r="M67" i="3"/>
  <c r="L67" i="3"/>
  <c r="K67" i="3"/>
  <c r="J67" i="3"/>
  <c r="I67" i="3"/>
  <c r="H67" i="3"/>
  <c r="G67" i="3"/>
  <c r="F67" i="3"/>
  <c r="AB67" i="3" s="1"/>
  <c r="E67" i="3"/>
  <c r="Z67" i="3" s="1"/>
  <c r="AA67" i="3" s="1"/>
  <c r="D67" i="3"/>
  <c r="Y67" i="3" s="1"/>
  <c r="V67" i="3" s="1"/>
  <c r="C67" i="3"/>
  <c r="B67" i="3"/>
  <c r="A67" i="3"/>
  <c r="W67" i="3" s="1"/>
  <c r="AH66" i="3"/>
  <c r="AD66" i="3"/>
  <c r="AB66" i="3"/>
  <c r="X66" i="3"/>
  <c r="U66" i="3"/>
  <c r="AJ66" i="3" s="1"/>
  <c r="T66" i="3"/>
  <c r="AM66" i="3" s="1"/>
  <c r="S66" i="3"/>
  <c r="R66" i="3"/>
  <c r="Q66" i="3"/>
  <c r="AI66" i="3" s="1"/>
  <c r="P66" i="3"/>
  <c r="O66" i="3"/>
  <c r="AN66" i="3" s="1"/>
  <c r="N66" i="3"/>
  <c r="M66" i="3"/>
  <c r="L66" i="3"/>
  <c r="AE66" i="3" s="1"/>
  <c r="K66" i="3"/>
  <c r="J66" i="3"/>
  <c r="I66" i="3"/>
  <c r="H66" i="3"/>
  <c r="G66" i="3"/>
  <c r="F66" i="3"/>
  <c r="E66" i="3"/>
  <c r="Z66" i="3" s="1"/>
  <c r="D66" i="3"/>
  <c r="Y66" i="3" s="1"/>
  <c r="V66" i="3" s="1"/>
  <c r="C66" i="3"/>
  <c r="B66" i="3"/>
  <c r="A66" i="3"/>
  <c r="W66" i="3" s="1"/>
  <c r="AI65" i="3"/>
  <c r="AD65" i="3"/>
  <c r="AB65" i="3"/>
  <c r="X65" i="3"/>
  <c r="U65" i="3"/>
  <c r="AJ65" i="3" s="1"/>
  <c r="T65" i="3"/>
  <c r="AM65" i="3" s="1"/>
  <c r="S65" i="3"/>
  <c r="R65" i="3"/>
  <c r="AH65" i="3" s="1"/>
  <c r="Q65" i="3"/>
  <c r="P65" i="3"/>
  <c r="O65" i="3"/>
  <c r="AN65" i="3" s="1"/>
  <c r="N65" i="3"/>
  <c r="M65" i="3"/>
  <c r="L65" i="3"/>
  <c r="AE65" i="3" s="1"/>
  <c r="K65" i="3"/>
  <c r="J65" i="3"/>
  <c r="I65" i="3"/>
  <c r="H65" i="3"/>
  <c r="G65" i="3"/>
  <c r="F65" i="3"/>
  <c r="E65" i="3"/>
  <c r="Z65" i="3" s="1"/>
  <c r="D65" i="3"/>
  <c r="Y65" i="3" s="1"/>
  <c r="V65" i="3" s="1"/>
  <c r="C65" i="3"/>
  <c r="B65" i="3"/>
  <c r="A65" i="3"/>
  <c r="W65" i="3" s="1"/>
  <c r="AJ64" i="3"/>
  <c r="AH64" i="3"/>
  <c r="AB64" i="3"/>
  <c r="Y64" i="3"/>
  <c r="V64" i="3" s="1"/>
  <c r="X64" i="3"/>
  <c r="U64" i="3"/>
  <c r="T64" i="3"/>
  <c r="AM64" i="3" s="1"/>
  <c r="S64" i="3"/>
  <c r="R64" i="3"/>
  <c r="Q64" i="3"/>
  <c r="AI64" i="3" s="1"/>
  <c r="P64" i="3"/>
  <c r="O64" i="3"/>
  <c r="AN64" i="3" s="1"/>
  <c r="N64" i="3"/>
  <c r="M64" i="3"/>
  <c r="L64" i="3"/>
  <c r="AE64" i="3" s="1"/>
  <c r="K64" i="3"/>
  <c r="J64" i="3"/>
  <c r="I64" i="3"/>
  <c r="H64" i="3"/>
  <c r="G64" i="3"/>
  <c r="AD64" i="3" s="1"/>
  <c r="F64" i="3"/>
  <c r="E64" i="3"/>
  <c r="Z64" i="3" s="1"/>
  <c r="AA64" i="3" s="1"/>
  <c r="D64" i="3"/>
  <c r="C64" i="3"/>
  <c r="B64" i="3"/>
  <c r="A64" i="3"/>
  <c r="W64" i="3" s="1"/>
  <c r="AJ63" i="3"/>
  <c r="AH63" i="3"/>
  <c r="AB63" i="3"/>
  <c r="X63" i="3"/>
  <c r="U63" i="3"/>
  <c r="T63" i="3"/>
  <c r="AM63" i="3" s="1"/>
  <c r="S63" i="3"/>
  <c r="R63" i="3"/>
  <c r="Q63" i="3"/>
  <c r="AI63" i="3" s="1"/>
  <c r="P63" i="3"/>
  <c r="O63" i="3"/>
  <c r="AN63" i="3" s="1"/>
  <c r="N63" i="3"/>
  <c r="M63" i="3"/>
  <c r="L63" i="3"/>
  <c r="AE63" i="3" s="1"/>
  <c r="K63" i="3"/>
  <c r="J63" i="3"/>
  <c r="I63" i="3"/>
  <c r="H63" i="3"/>
  <c r="G63" i="3"/>
  <c r="AD63" i="3" s="1"/>
  <c r="F63" i="3"/>
  <c r="E63" i="3"/>
  <c r="Z63" i="3" s="1"/>
  <c r="AA63" i="3" s="1"/>
  <c r="D63" i="3"/>
  <c r="Y63" i="3" s="1"/>
  <c r="V63" i="3" s="1"/>
  <c r="C63" i="3"/>
  <c r="B63" i="3"/>
  <c r="A63" i="3"/>
  <c r="W63" i="3" s="1"/>
  <c r="AJ62" i="3"/>
  <c r="AH62" i="3"/>
  <c r="X62" i="3"/>
  <c r="U62" i="3"/>
  <c r="T62" i="3"/>
  <c r="AM62" i="3" s="1"/>
  <c r="S62" i="3"/>
  <c r="R62" i="3"/>
  <c r="Q62" i="3"/>
  <c r="AI62" i="3" s="1"/>
  <c r="P62" i="3"/>
  <c r="O62" i="3"/>
  <c r="AN62" i="3" s="1"/>
  <c r="N62" i="3"/>
  <c r="M62" i="3"/>
  <c r="L62" i="3"/>
  <c r="AE62" i="3" s="1"/>
  <c r="K62" i="3"/>
  <c r="J62" i="3"/>
  <c r="I62" i="3"/>
  <c r="H62" i="3"/>
  <c r="G62" i="3"/>
  <c r="AD62" i="3" s="1"/>
  <c r="F62" i="3"/>
  <c r="AB62" i="3" s="1"/>
  <c r="E62" i="3"/>
  <c r="Z62" i="3" s="1"/>
  <c r="D62" i="3"/>
  <c r="Y62" i="3" s="1"/>
  <c r="V62" i="3" s="1"/>
  <c r="C62" i="3"/>
  <c r="B62" i="3"/>
  <c r="A62" i="3"/>
  <c r="W62" i="3" s="1"/>
  <c r="AJ61" i="3"/>
  <c r="AH61" i="3"/>
  <c r="AE61" i="3"/>
  <c r="Y61" i="3"/>
  <c r="X61" i="3"/>
  <c r="V61" i="3"/>
  <c r="U61" i="3"/>
  <c r="T61" i="3"/>
  <c r="AM61" i="3" s="1"/>
  <c r="S61" i="3"/>
  <c r="R61" i="3"/>
  <c r="Q61" i="3"/>
  <c r="AI61" i="3" s="1"/>
  <c r="P61" i="3"/>
  <c r="O61" i="3"/>
  <c r="AN61" i="3" s="1"/>
  <c r="N61" i="3"/>
  <c r="M61" i="3"/>
  <c r="L61" i="3"/>
  <c r="K61" i="3"/>
  <c r="J61" i="3"/>
  <c r="I61" i="3"/>
  <c r="H61" i="3"/>
  <c r="G61" i="3"/>
  <c r="AD61" i="3" s="1"/>
  <c r="F61" i="3"/>
  <c r="AB61" i="3" s="1"/>
  <c r="E61" i="3"/>
  <c r="Z61" i="3" s="1"/>
  <c r="AA61" i="3" s="1"/>
  <c r="D61" i="3"/>
  <c r="C61" i="3"/>
  <c r="B61" i="3"/>
  <c r="A61" i="3"/>
  <c r="W61" i="3" s="1"/>
  <c r="AH60" i="3"/>
  <c r="AB60" i="3"/>
  <c r="Y60" i="3"/>
  <c r="V60" i="3" s="1"/>
  <c r="X60" i="3"/>
  <c r="U60" i="3"/>
  <c r="AJ60" i="3" s="1"/>
  <c r="T60" i="3"/>
  <c r="AM60" i="3" s="1"/>
  <c r="S60" i="3"/>
  <c r="R60" i="3"/>
  <c r="Q60" i="3"/>
  <c r="AI60" i="3" s="1"/>
  <c r="P60" i="3"/>
  <c r="O60" i="3"/>
  <c r="AN60" i="3" s="1"/>
  <c r="N60" i="3"/>
  <c r="M60" i="3"/>
  <c r="L60" i="3"/>
  <c r="AE60" i="3" s="1"/>
  <c r="K60" i="3"/>
  <c r="J60" i="3"/>
  <c r="I60" i="3"/>
  <c r="AD60" i="3" s="1"/>
  <c r="H60" i="3"/>
  <c r="G60" i="3"/>
  <c r="F60" i="3"/>
  <c r="E60" i="3"/>
  <c r="Z60" i="3" s="1"/>
  <c r="AA60" i="3" s="1"/>
  <c r="D60" i="3"/>
  <c r="C60" i="3"/>
  <c r="B60" i="3"/>
  <c r="A60" i="3"/>
  <c r="W60" i="3" s="1"/>
  <c r="AI59" i="3"/>
  <c r="AH59" i="3"/>
  <c r="AD59" i="3"/>
  <c r="X59" i="3"/>
  <c r="W59" i="3"/>
  <c r="U59" i="3"/>
  <c r="AJ59" i="3" s="1"/>
  <c r="T59" i="3"/>
  <c r="AM59" i="3" s="1"/>
  <c r="S59" i="3"/>
  <c r="R59" i="3"/>
  <c r="Q59" i="3"/>
  <c r="P59" i="3"/>
  <c r="O59" i="3"/>
  <c r="AN59" i="3" s="1"/>
  <c r="N59" i="3"/>
  <c r="M59" i="3"/>
  <c r="AE59" i="3" s="1"/>
  <c r="L59" i="3"/>
  <c r="K59" i="3"/>
  <c r="J59" i="3"/>
  <c r="I59" i="3"/>
  <c r="H59" i="3"/>
  <c r="G59" i="3"/>
  <c r="F59" i="3"/>
  <c r="AB59" i="3" s="1"/>
  <c r="E59" i="3"/>
  <c r="Z59" i="3" s="1"/>
  <c r="AA59" i="3" s="1"/>
  <c r="D59" i="3"/>
  <c r="Y59" i="3" s="1"/>
  <c r="V59" i="3" s="1"/>
  <c r="C59" i="3"/>
  <c r="B59" i="3"/>
  <c r="A59" i="3"/>
  <c r="AI58" i="3"/>
  <c r="AH58" i="3"/>
  <c r="AE58" i="3"/>
  <c r="X58" i="3"/>
  <c r="W58" i="3"/>
  <c r="U58" i="3"/>
  <c r="AJ58" i="3" s="1"/>
  <c r="T58" i="3"/>
  <c r="AM58" i="3" s="1"/>
  <c r="S58" i="3"/>
  <c r="R58" i="3"/>
  <c r="Q58" i="3"/>
  <c r="P58" i="3"/>
  <c r="O58" i="3"/>
  <c r="AN58" i="3" s="1"/>
  <c r="N58" i="3"/>
  <c r="M58" i="3"/>
  <c r="L58" i="3"/>
  <c r="K58" i="3"/>
  <c r="J58" i="3"/>
  <c r="I58" i="3"/>
  <c r="H58" i="3"/>
  <c r="G58" i="3"/>
  <c r="AD58" i="3" s="1"/>
  <c r="F58" i="3"/>
  <c r="AB58" i="3" s="1"/>
  <c r="E58" i="3"/>
  <c r="Z58" i="3" s="1"/>
  <c r="AA58" i="3" s="1"/>
  <c r="D58" i="3"/>
  <c r="Y58" i="3" s="1"/>
  <c r="V58" i="3" s="1"/>
  <c r="C58" i="3"/>
  <c r="B58" i="3"/>
  <c r="A58" i="3"/>
  <c r="AJ57" i="3"/>
  <c r="AH57" i="3"/>
  <c r="AB57" i="3"/>
  <c r="X57" i="3"/>
  <c r="U57" i="3"/>
  <c r="T57" i="3"/>
  <c r="AM57" i="3" s="1"/>
  <c r="S57" i="3"/>
  <c r="R57" i="3"/>
  <c r="Q57" i="3"/>
  <c r="AI57" i="3" s="1"/>
  <c r="P57" i="3"/>
  <c r="O57" i="3"/>
  <c r="AN57" i="3" s="1"/>
  <c r="N57" i="3"/>
  <c r="M57" i="3"/>
  <c r="L57" i="3"/>
  <c r="AE57" i="3" s="1"/>
  <c r="K57" i="3"/>
  <c r="J57" i="3"/>
  <c r="I57" i="3"/>
  <c r="H57" i="3"/>
  <c r="AD57" i="3" s="1"/>
  <c r="G57" i="3"/>
  <c r="F57" i="3"/>
  <c r="E57" i="3"/>
  <c r="Z57" i="3" s="1"/>
  <c r="AA57" i="3" s="1"/>
  <c r="D57" i="3"/>
  <c r="Y57" i="3" s="1"/>
  <c r="V57" i="3" s="1"/>
  <c r="C57" i="3"/>
  <c r="B57" i="3"/>
  <c r="A57" i="3"/>
  <c r="W57" i="3" s="1"/>
  <c r="AH56" i="3"/>
  <c r="AD56" i="3"/>
  <c r="AB56" i="3"/>
  <c r="X56" i="3"/>
  <c r="U56" i="3"/>
  <c r="AJ56" i="3" s="1"/>
  <c r="T56" i="3"/>
  <c r="AM56" i="3" s="1"/>
  <c r="S56" i="3"/>
  <c r="R56" i="3"/>
  <c r="Q56" i="3"/>
  <c r="AI56" i="3" s="1"/>
  <c r="P56" i="3"/>
  <c r="O56" i="3"/>
  <c r="AN56" i="3" s="1"/>
  <c r="N56" i="3"/>
  <c r="M56" i="3"/>
  <c r="L56" i="3"/>
  <c r="AE56" i="3" s="1"/>
  <c r="K56" i="3"/>
  <c r="J56" i="3"/>
  <c r="I56" i="3"/>
  <c r="H56" i="3"/>
  <c r="G56" i="3"/>
  <c r="F56" i="3"/>
  <c r="E56" i="3"/>
  <c r="Z56" i="3" s="1"/>
  <c r="D56" i="3"/>
  <c r="Y56" i="3" s="1"/>
  <c r="V56" i="3" s="1"/>
  <c r="C56" i="3"/>
  <c r="B56" i="3"/>
  <c r="A56" i="3"/>
  <c r="W56" i="3" s="1"/>
  <c r="AH55" i="3"/>
  <c r="AD55" i="3"/>
  <c r="AB55" i="3"/>
  <c r="X55" i="3"/>
  <c r="U55" i="3"/>
  <c r="AJ55" i="3" s="1"/>
  <c r="T55" i="3"/>
  <c r="AM55" i="3" s="1"/>
  <c r="S55" i="3"/>
  <c r="R55" i="3"/>
  <c r="Q55" i="3"/>
  <c r="AI55" i="3" s="1"/>
  <c r="P55" i="3"/>
  <c r="O55" i="3"/>
  <c r="AN55" i="3" s="1"/>
  <c r="N55" i="3"/>
  <c r="M55" i="3"/>
  <c r="L55" i="3"/>
  <c r="AE55" i="3" s="1"/>
  <c r="K55" i="3"/>
  <c r="J55" i="3"/>
  <c r="I55" i="3"/>
  <c r="H55" i="3"/>
  <c r="G55" i="3"/>
  <c r="F55" i="3"/>
  <c r="E55" i="3"/>
  <c r="Z55" i="3" s="1"/>
  <c r="AA55" i="3" s="1"/>
  <c r="D55" i="3"/>
  <c r="Y55" i="3" s="1"/>
  <c r="V55" i="3" s="1"/>
  <c r="C55" i="3"/>
  <c r="B55" i="3"/>
  <c r="A55" i="3"/>
  <c r="W55" i="3" s="1"/>
  <c r="AH54" i="3"/>
  <c r="AD54" i="3"/>
  <c r="AB54" i="3"/>
  <c r="X54" i="3"/>
  <c r="U54" i="3"/>
  <c r="AJ54" i="3" s="1"/>
  <c r="T54" i="3"/>
  <c r="AM54" i="3" s="1"/>
  <c r="S54" i="3"/>
  <c r="R54" i="3"/>
  <c r="Q54" i="3"/>
  <c r="AI54" i="3" s="1"/>
  <c r="P54" i="3"/>
  <c r="O54" i="3"/>
  <c r="AN54" i="3" s="1"/>
  <c r="N54" i="3"/>
  <c r="M54" i="3"/>
  <c r="L54" i="3"/>
  <c r="AE54" i="3" s="1"/>
  <c r="K54" i="3"/>
  <c r="J54" i="3"/>
  <c r="I54" i="3"/>
  <c r="H54" i="3"/>
  <c r="G54" i="3"/>
  <c r="F54" i="3"/>
  <c r="E54" i="3"/>
  <c r="Z54" i="3" s="1"/>
  <c r="D54" i="3"/>
  <c r="Y54" i="3" s="1"/>
  <c r="V54" i="3" s="1"/>
  <c r="C54" i="3"/>
  <c r="B54" i="3"/>
  <c r="A54" i="3"/>
  <c r="W54" i="3" s="1"/>
  <c r="AH53" i="3"/>
  <c r="AD53" i="3"/>
  <c r="Y53" i="3"/>
  <c r="X53" i="3"/>
  <c r="V53" i="3"/>
  <c r="U53" i="3"/>
  <c r="AJ53" i="3" s="1"/>
  <c r="T53" i="3"/>
  <c r="AM53" i="3" s="1"/>
  <c r="S53" i="3"/>
  <c r="R53" i="3"/>
  <c r="Q53" i="3"/>
  <c r="AI53" i="3" s="1"/>
  <c r="P53" i="3"/>
  <c r="O53" i="3"/>
  <c r="AN53" i="3" s="1"/>
  <c r="N53" i="3"/>
  <c r="M53" i="3"/>
  <c r="AE53" i="3" s="1"/>
  <c r="L53" i="3"/>
  <c r="K53" i="3"/>
  <c r="J53" i="3"/>
  <c r="I53" i="3"/>
  <c r="H53" i="3"/>
  <c r="G53" i="3"/>
  <c r="F53" i="3"/>
  <c r="AB53" i="3" s="1"/>
  <c r="E53" i="3"/>
  <c r="Z53" i="3" s="1"/>
  <c r="AA53" i="3" s="1"/>
  <c r="D53" i="3"/>
  <c r="C53" i="3"/>
  <c r="B53" i="3"/>
  <c r="A53" i="3"/>
  <c r="W53" i="3" s="1"/>
  <c r="AH52" i="3"/>
  <c r="AB52" i="3"/>
  <c r="Y52" i="3"/>
  <c r="V52" i="3" s="1"/>
  <c r="X52" i="3"/>
  <c r="U52" i="3"/>
  <c r="AJ52" i="3" s="1"/>
  <c r="T52" i="3"/>
  <c r="AM52" i="3" s="1"/>
  <c r="S52" i="3"/>
  <c r="R52" i="3"/>
  <c r="Q52" i="3"/>
  <c r="AI52" i="3" s="1"/>
  <c r="P52" i="3"/>
  <c r="O52" i="3"/>
  <c r="AN52" i="3" s="1"/>
  <c r="N52" i="3"/>
  <c r="M52" i="3"/>
  <c r="L52" i="3"/>
  <c r="AE52" i="3" s="1"/>
  <c r="K52" i="3"/>
  <c r="J52" i="3"/>
  <c r="I52" i="3"/>
  <c r="AD52" i="3" s="1"/>
  <c r="H52" i="3"/>
  <c r="G52" i="3"/>
  <c r="F52" i="3"/>
  <c r="E52" i="3"/>
  <c r="Z52" i="3" s="1"/>
  <c r="AA52" i="3" s="1"/>
  <c r="D52" i="3"/>
  <c r="C52" i="3"/>
  <c r="B52" i="3"/>
  <c r="A52" i="3"/>
  <c r="W52" i="3" s="1"/>
  <c r="AI51" i="3"/>
  <c r="AH51" i="3"/>
  <c r="AB51" i="3"/>
  <c r="X51" i="3"/>
  <c r="W51" i="3"/>
  <c r="U51" i="3"/>
  <c r="AJ51" i="3" s="1"/>
  <c r="T51" i="3"/>
  <c r="AM51" i="3" s="1"/>
  <c r="S51" i="3"/>
  <c r="R51" i="3"/>
  <c r="Q51" i="3"/>
  <c r="P51" i="3"/>
  <c r="O51" i="3"/>
  <c r="AN51" i="3" s="1"/>
  <c r="N51" i="3"/>
  <c r="M51" i="3"/>
  <c r="L51" i="3"/>
  <c r="AE51" i="3" s="1"/>
  <c r="K51" i="3"/>
  <c r="J51" i="3"/>
  <c r="I51" i="3"/>
  <c r="H51" i="3"/>
  <c r="G51" i="3"/>
  <c r="AD51" i="3" s="1"/>
  <c r="F51" i="3"/>
  <c r="E51" i="3"/>
  <c r="Z51" i="3" s="1"/>
  <c r="D51" i="3"/>
  <c r="Y51" i="3" s="1"/>
  <c r="V51" i="3" s="1"/>
  <c r="C51" i="3"/>
  <c r="B51" i="3"/>
  <c r="A51" i="3"/>
  <c r="AH50" i="3"/>
  <c r="AD50" i="3"/>
  <c r="AB50" i="3"/>
  <c r="X50" i="3"/>
  <c r="U50" i="3"/>
  <c r="AJ50" i="3" s="1"/>
  <c r="T50" i="3"/>
  <c r="AM50" i="3" s="1"/>
  <c r="S50" i="3"/>
  <c r="R50" i="3"/>
  <c r="Q50" i="3"/>
  <c r="AI50" i="3" s="1"/>
  <c r="P50" i="3"/>
  <c r="O50" i="3"/>
  <c r="AN50" i="3" s="1"/>
  <c r="N50" i="3"/>
  <c r="M50" i="3"/>
  <c r="L50" i="3"/>
  <c r="AE50" i="3" s="1"/>
  <c r="K50" i="3"/>
  <c r="J50" i="3"/>
  <c r="I50" i="3"/>
  <c r="H50" i="3"/>
  <c r="G50" i="3"/>
  <c r="F50" i="3"/>
  <c r="E50" i="3"/>
  <c r="Z50" i="3" s="1"/>
  <c r="D50" i="3"/>
  <c r="Y50" i="3" s="1"/>
  <c r="V50" i="3" s="1"/>
  <c r="C50" i="3"/>
  <c r="B50" i="3"/>
  <c r="A50" i="3"/>
  <c r="W50" i="3" s="1"/>
  <c r="AI49" i="3"/>
  <c r="AD49" i="3"/>
  <c r="AB49" i="3"/>
  <c r="X49" i="3"/>
  <c r="U49" i="3"/>
  <c r="AJ49" i="3" s="1"/>
  <c r="T49" i="3"/>
  <c r="AM49" i="3" s="1"/>
  <c r="S49" i="3"/>
  <c r="R49" i="3"/>
  <c r="AH49" i="3" s="1"/>
  <c r="Q49" i="3"/>
  <c r="P49" i="3"/>
  <c r="O49" i="3"/>
  <c r="AN49" i="3" s="1"/>
  <c r="N49" i="3"/>
  <c r="M49" i="3"/>
  <c r="L49" i="3"/>
  <c r="AE49" i="3" s="1"/>
  <c r="K49" i="3"/>
  <c r="J49" i="3"/>
  <c r="I49" i="3"/>
  <c r="H49" i="3"/>
  <c r="G49" i="3"/>
  <c r="F49" i="3"/>
  <c r="E49" i="3"/>
  <c r="Z49" i="3" s="1"/>
  <c r="D49" i="3"/>
  <c r="Y49" i="3" s="1"/>
  <c r="V49" i="3" s="1"/>
  <c r="C49" i="3"/>
  <c r="B49" i="3"/>
  <c r="A49" i="3"/>
  <c r="W49" i="3" s="1"/>
  <c r="AI48" i="3"/>
  <c r="AH48" i="3"/>
  <c r="AD48" i="3"/>
  <c r="X48" i="3"/>
  <c r="W48" i="3"/>
  <c r="U48" i="3"/>
  <c r="AJ48" i="3" s="1"/>
  <c r="T48" i="3"/>
  <c r="AM48" i="3" s="1"/>
  <c r="S48" i="3"/>
  <c r="R48" i="3"/>
  <c r="Q48" i="3"/>
  <c r="P48" i="3"/>
  <c r="O48" i="3"/>
  <c r="AN48" i="3" s="1"/>
  <c r="N48" i="3"/>
  <c r="M48" i="3"/>
  <c r="AE48" i="3" s="1"/>
  <c r="L48" i="3"/>
  <c r="K48" i="3"/>
  <c r="J48" i="3"/>
  <c r="I48" i="3"/>
  <c r="H48" i="3"/>
  <c r="G48" i="3"/>
  <c r="F48" i="3"/>
  <c r="AB48" i="3" s="1"/>
  <c r="E48" i="3"/>
  <c r="Z48" i="3" s="1"/>
  <c r="AA48" i="3" s="1"/>
  <c r="D48" i="3"/>
  <c r="Y48" i="3" s="1"/>
  <c r="V48" i="3" s="1"/>
  <c r="C48" i="3"/>
  <c r="B48" i="3"/>
  <c r="A48" i="3"/>
  <c r="AJ47" i="3"/>
  <c r="AH47" i="3"/>
  <c r="AB47" i="3"/>
  <c r="Y47" i="3"/>
  <c r="V47" i="3" s="1"/>
  <c r="X47" i="3"/>
  <c r="U47" i="3"/>
  <c r="T47" i="3"/>
  <c r="AM47" i="3" s="1"/>
  <c r="S47" i="3"/>
  <c r="R47" i="3"/>
  <c r="Q47" i="3"/>
  <c r="AI47" i="3" s="1"/>
  <c r="P47" i="3"/>
  <c r="O47" i="3"/>
  <c r="AN47" i="3" s="1"/>
  <c r="N47" i="3"/>
  <c r="M47" i="3"/>
  <c r="L47" i="3"/>
  <c r="AE47" i="3" s="1"/>
  <c r="K47" i="3"/>
  <c r="J47" i="3"/>
  <c r="I47" i="3"/>
  <c r="H47" i="3"/>
  <c r="G47" i="3"/>
  <c r="AD47" i="3" s="1"/>
  <c r="F47" i="3"/>
  <c r="E47" i="3"/>
  <c r="Z47" i="3" s="1"/>
  <c r="AA47" i="3" s="1"/>
  <c r="D47" i="3"/>
  <c r="C47" i="3"/>
  <c r="B47" i="3"/>
  <c r="A47" i="3"/>
  <c r="W47" i="3" s="1"/>
  <c r="AI46" i="3"/>
  <c r="AH46" i="3"/>
  <c r="AB46" i="3"/>
  <c r="X46" i="3"/>
  <c r="W46" i="3"/>
  <c r="U46" i="3"/>
  <c r="AJ46" i="3" s="1"/>
  <c r="T46" i="3"/>
  <c r="AM46" i="3" s="1"/>
  <c r="S46" i="3"/>
  <c r="R46" i="3"/>
  <c r="Q46" i="3"/>
  <c r="P46" i="3"/>
  <c r="O46" i="3"/>
  <c r="AN46" i="3" s="1"/>
  <c r="N46" i="3"/>
  <c r="M46" i="3"/>
  <c r="L46" i="3"/>
  <c r="AE46" i="3" s="1"/>
  <c r="K46" i="3"/>
  <c r="J46" i="3"/>
  <c r="I46" i="3"/>
  <c r="H46" i="3"/>
  <c r="G46" i="3"/>
  <c r="AD46" i="3" s="1"/>
  <c r="F46" i="3"/>
  <c r="E46" i="3"/>
  <c r="Z46" i="3" s="1"/>
  <c r="D46" i="3"/>
  <c r="Y46" i="3" s="1"/>
  <c r="V46" i="3" s="1"/>
  <c r="C46" i="3"/>
  <c r="B46" i="3"/>
  <c r="A46" i="3"/>
  <c r="AI45" i="3"/>
  <c r="AH45" i="3"/>
  <c r="AE45" i="3"/>
  <c r="X45" i="3"/>
  <c r="W45" i="3"/>
  <c r="U45" i="3"/>
  <c r="AJ45" i="3" s="1"/>
  <c r="T45" i="3"/>
  <c r="AM45" i="3" s="1"/>
  <c r="S45" i="3"/>
  <c r="R45" i="3"/>
  <c r="Q45" i="3"/>
  <c r="P45" i="3"/>
  <c r="O45" i="3"/>
  <c r="AN45" i="3" s="1"/>
  <c r="N45" i="3"/>
  <c r="M45" i="3"/>
  <c r="L45" i="3"/>
  <c r="K45" i="3"/>
  <c r="J45" i="3"/>
  <c r="I45" i="3"/>
  <c r="H45" i="3"/>
  <c r="G45" i="3"/>
  <c r="AD45" i="3" s="1"/>
  <c r="F45" i="3"/>
  <c r="AB45" i="3" s="1"/>
  <c r="E45" i="3"/>
  <c r="Z45" i="3" s="1"/>
  <c r="D45" i="3"/>
  <c r="Y45" i="3" s="1"/>
  <c r="V45" i="3" s="1"/>
  <c r="C45" i="3"/>
  <c r="B45" i="3"/>
  <c r="A45" i="3"/>
  <c r="AI44" i="3"/>
  <c r="AH44" i="3"/>
  <c r="AB44" i="3"/>
  <c r="X44" i="3"/>
  <c r="W44" i="3"/>
  <c r="U44" i="3"/>
  <c r="AJ44" i="3" s="1"/>
  <c r="T44" i="3"/>
  <c r="AM44" i="3" s="1"/>
  <c r="S44" i="3"/>
  <c r="R44" i="3"/>
  <c r="Q44" i="3"/>
  <c r="P44" i="3"/>
  <c r="O44" i="3"/>
  <c r="AN44" i="3" s="1"/>
  <c r="N44" i="3"/>
  <c r="M44" i="3"/>
  <c r="L44" i="3"/>
  <c r="AE44" i="3" s="1"/>
  <c r="K44" i="3"/>
  <c r="J44" i="3"/>
  <c r="I44" i="3"/>
  <c r="H44" i="3"/>
  <c r="G44" i="3"/>
  <c r="AD44" i="3" s="1"/>
  <c r="F44" i="3"/>
  <c r="E44" i="3"/>
  <c r="Z44" i="3" s="1"/>
  <c r="D44" i="3"/>
  <c r="Y44" i="3" s="1"/>
  <c r="V44" i="3" s="1"/>
  <c r="C44" i="3"/>
  <c r="B44" i="3"/>
  <c r="A44" i="3"/>
  <c r="AI43" i="3"/>
  <c r="AH43" i="3"/>
  <c r="AD43" i="3"/>
  <c r="X43" i="3"/>
  <c r="W43" i="3"/>
  <c r="U43" i="3"/>
  <c r="AJ43" i="3" s="1"/>
  <c r="T43" i="3"/>
  <c r="AM43" i="3" s="1"/>
  <c r="S43" i="3"/>
  <c r="R43" i="3"/>
  <c r="Q43" i="3"/>
  <c r="P43" i="3"/>
  <c r="O43" i="3"/>
  <c r="AN43" i="3" s="1"/>
  <c r="N43" i="3"/>
  <c r="M43" i="3"/>
  <c r="AE43" i="3" s="1"/>
  <c r="L43" i="3"/>
  <c r="K43" i="3"/>
  <c r="J43" i="3"/>
  <c r="I43" i="3"/>
  <c r="H43" i="3"/>
  <c r="G43" i="3"/>
  <c r="F43" i="3"/>
  <c r="AB43" i="3" s="1"/>
  <c r="E43" i="3"/>
  <c r="Z43" i="3" s="1"/>
  <c r="AA43" i="3" s="1"/>
  <c r="D43" i="3"/>
  <c r="Y43" i="3" s="1"/>
  <c r="V43" i="3" s="1"/>
  <c r="C43" i="3"/>
  <c r="B43" i="3"/>
  <c r="A43" i="3"/>
  <c r="AH42" i="3"/>
  <c r="AD42" i="3"/>
  <c r="AB42" i="3"/>
  <c r="X42" i="3"/>
  <c r="U42" i="3"/>
  <c r="AJ42" i="3" s="1"/>
  <c r="T42" i="3"/>
  <c r="AM42" i="3" s="1"/>
  <c r="S42" i="3"/>
  <c r="R42" i="3"/>
  <c r="Q42" i="3"/>
  <c r="AI42" i="3" s="1"/>
  <c r="P42" i="3"/>
  <c r="O42" i="3"/>
  <c r="AN42" i="3" s="1"/>
  <c r="N42" i="3"/>
  <c r="M42" i="3"/>
  <c r="L42" i="3"/>
  <c r="AE42" i="3" s="1"/>
  <c r="K42" i="3"/>
  <c r="J42" i="3"/>
  <c r="I42" i="3"/>
  <c r="H42" i="3"/>
  <c r="G42" i="3"/>
  <c r="F42" i="3"/>
  <c r="E42" i="3"/>
  <c r="Z42" i="3" s="1"/>
  <c r="AA42" i="3" s="1"/>
  <c r="D42" i="3"/>
  <c r="Y42" i="3" s="1"/>
  <c r="V42" i="3" s="1"/>
  <c r="C42" i="3"/>
  <c r="B42" i="3"/>
  <c r="A42" i="3"/>
  <c r="W42" i="3" s="1"/>
  <c r="AJ41" i="3"/>
  <c r="AH41" i="3"/>
  <c r="AE41" i="3"/>
  <c r="Y41" i="3"/>
  <c r="X41" i="3"/>
  <c r="V41" i="3"/>
  <c r="U41" i="3"/>
  <c r="T41" i="3"/>
  <c r="AM41" i="3" s="1"/>
  <c r="S41" i="3"/>
  <c r="R41" i="3"/>
  <c r="Q41" i="3"/>
  <c r="AI41" i="3" s="1"/>
  <c r="P41" i="3"/>
  <c r="O41" i="3"/>
  <c r="AN41" i="3" s="1"/>
  <c r="N41" i="3"/>
  <c r="M41" i="3"/>
  <c r="L41" i="3"/>
  <c r="K41" i="3"/>
  <c r="J41" i="3"/>
  <c r="I41" i="3"/>
  <c r="H41" i="3"/>
  <c r="G41" i="3"/>
  <c r="AD41" i="3" s="1"/>
  <c r="F41" i="3"/>
  <c r="AB41" i="3" s="1"/>
  <c r="E41" i="3"/>
  <c r="Z41" i="3" s="1"/>
  <c r="AA41" i="3" s="1"/>
  <c r="D41" i="3"/>
  <c r="C41" i="3"/>
  <c r="B41" i="3"/>
  <c r="A41" i="3"/>
  <c r="W41" i="3" s="1"/>
  <c r="AJ40" i="3"/>
  <c r="AH40" i="3"/>
  <c r="Y40" i="3"/>
  <c r="V40" i="3" s="1"/>
  <c r="X40" i="3"/>
  <c r="U40" i="3"/>
  <c r="T40" i="3"/>
  <c r="AM40" i="3" s="1"/>
  <c r="S40" i="3"/>
  <c r="R40" i="3"/>
  <c r="Q40" i="3"/>
  <c r="AI40" i="3" s="1"/>
  <c r="P40" i="3"/>
  <c r="O40" i="3"/>
  <c r="AN40" i="3" s="1"/>
  <c r="N40" i="3"/>
  <c r="M40" i="3"/>
  <c r="L40" i="3"/>
  <c r="AE40" i="3" s="1"/>
  <c r="K40" i="3"/>
  <c r="J40" i="3"/>
  <c r="I40" i="3"/>
  <c r="H40" i="3"/>
  <c r="G40" i="3"/>
  <c r="AD40" i="3" s="1"/>
  <c r="F40" i="3"/>
  <c r="AB40" i="3" s="1"/>
  <c r="E40" i="3"/>
  <c r="Z40" i="3" s="1"/>
  <c r="AA40" i="3" s="1"/>
  <c r="D40" i="3"/>
  <c r="C40" i="3"/>
  <c r="B40" i="3"/>
  <c r="A40" i="3"/>
  <c r="W40" i="3" s="1"/>
  <c r="AH39" i="3"/>
  <c r="AE39" i="3"/>
  <c r="Y39" i="3"/>
  <c r="X39" i="3"/>
  <c r="V39" i="3"/>
  <c r="U39" i="3"/>
  <c r="AJ39" i="3" s="1"/>
  <c r="T39" i="3"/>
  <c r="AM39" i="3" s="1"/>
  <c r="S39" i="3"/>
  <c r="R39" i="3"/>
  <c r="Q39" i="3"/>
  <c r="AI39" i="3" s="1"/>
  <c r="P39" i="3"/>
  <c r="O39" i="3"/>
  <c r="AN39" i="3" s="1"/>
  <c r="N39" i="3"/>
  <c r="M39" i="3"/>
  <c r="L39" i="3"/>
  <c r="K39" i="3"/>
  <c r="J39" i="3"/>
  <c r="I39" i="3"/>
  <c r="H39" i="3"/>
  <c r="G39" i="3"/>
  <c r="AD39" i="3" s="1"/>
  <c r="F39" i="3"/>
  <c r="AB39" i="3" s="1"/>
  <c r="E39" i="3"/>
  <c r="Z39" i="3" s="1"/>
  <c r="AA39" i="3" s="1"/>
  <c r="D39" i="3"/>
  <c r="C39" i="3"/>
  <c r="B39" i="3"/>
  <c r="A39" i="3"/>
  <c r="W39" i="3" s="1"/>
  <c r="AI38" i="3"/>
  <c r="AH38" i="3"/>
  <c r="AD38" i="3"/>
  <c r="X38" i="3"/>
  <c r="W38" i="3"/>
  <c r="U38" i="3"/>
  <c r="AJ38" i="3" s="1"/>
  <c r="T38" i="3"/>
  <c r="AM38" i="3" s="1"/>
  <c r="S38" i="3"/>
  <c r="R38" i="3"/>
  <c r="Q38" i="3"/>
  <c r="P38" i="3"/>
  <c r="O38" i="3"/>
  <c r="AN38" i="3" s="1"/>
  <c r="N38" i="3"/>
  <c r="M38" i="3"/>
  <c r="AE38" i="3" s="1"/>
  <c r="L38" i="3"/>
  <c r="K38" i="3"/>
  <c r="J38" i="3"/>
  <c r="I38" i="3"/>
  <c r="H38" i="3"/>
  <c r="G38" i="3"/>
  <c r="F38" i="3"/>
  <c r="AB38" i="3" s="1"/>
  <c r="E38" i="3"/>
  <c r="Z38" i="3" s="1"/>
  <c r="AA38" i="3" s="1"/>
  <c r="D38" i="3"/>
  <c r="Y38" i="3" s="1"/>
  <c r="V38" i="3" s="1"/>
  <c r="C38" i="3"/>
  <c r="B38" i="3"/>
  <c r="A38" i="3"/>
  <c r="AH37" i="3"/>
  <c r="AD37" i="3"/>
  <c r="AB37" i="3"/>
  <c r="X37" i="3"/>
  <c r="U37" i="3"/>
  <c r="AJ37" i="3" s="1"/>
  <c r="T37" i="3"/>
  <c r="AM37" i="3" s="1"/>
  <c r="S37" i="3"/>
  <c r="R37" i="3"/>
  <c r="Q37" i="3"/>
  <c r="AI37" i="3" s="1"/>
  <c r="P37" i="3"/>
  <c r="O37" i="3"/>
  <c r="AN37" i="3" s="1"/>
  <c r="N37" i="3"/>
  <c r="M37" i="3"/>
  <c r="L37" i="3"/>
  <c r="AE37" i="3" s="1"/>
  <c r="K37" i="3"/>
  <c r="J37" i="3"/>
  <c r="I37" i="3"/>
  <c r="H37" i="3"/>
  <c r="G37" i="3"/>
  <c r="F37" i="3"/>
  <c r="E37" i="3"/>
  <c r="Z37" i="3" s="1"/>
  <c r="D37" i="3"/>
  <c r="Y37" i="3" s="1"/>
  <c r="V37" i="3" s="1"/>
  <c r="C37" i="3"/>
  <c r="B37" i="3"/>
  <c r="A37" i="3"/>
  <c r="W37" i="3" s="1"/>
  <c r="AH36" i="3"/>
  <c r="AD36" i="3"/>
  <c r="AB36" i="3"/>
  <c r="X36" i="3"/>
  <c r="U36" i="3"/>
  <c r="AJ36" i="3" s="1"/>
  <c r="T36" i="3"/>
  <c r="AM36" i="3" s="1"/>
  <c r="S36" i="3"/>
  <c r="R36" i="3"/>
  <c r="Q36" i="3"/>
  <c r="AI36" i="3" s="1"/>
  <c r="P36" i="3"/>
  <c r="O36" i="3"/>
  <c r="AN36" i="3" s="1"/>
  <c r="N36" i="3"/>
  <c r="M36" i="3"/>
  <c r="L36" i="3"/>
  <c r="AE36" i="3" s="1"/>
  <c r="K36" i="3"/>
  <c r="J36" i="3"/>
  <c r="I36" i="3"/>
  <c r="H36" i="3"/>
  <c r="G36" i="3"/>
  <c r="F36" i="3"/>
  <c r="E36" i="3"/>
  <c r="Z36" i="3" s="1"/>
  <c r="AA36" i="3" s="1"/>
  <c r="D36" i="3"/>
  <c r="Y36" i="3" s="1"/>
  <c r="V36" i="3" s="1"/>
  <c r="C36" i="3"/>
  <c r="B36" i="3"/>
  <c r="A36" i="3"/>
  <c r="W36" i="3" s="1"/>
  <c r="AJ35" i="3"/>
  <c r="AH35" i="3"/>
  <c r="AB35" i="3"/>
  <c r="Y35" i="3"/>
  <c r="V35" i="3" s="1"/>
  <c r="X35" i="3"/>
  <c r="W35" i="3"/>
  <c r="U35" i="3"/>
  <c r="T35" i="3"/>
  <c r="AM35" i="3" s="1"/>
  <c r="S35" i="3"/>
  <c r="R35" i="3"/>
  <c r="Q35" i="3"/>
  <c r="AI35" i="3" s="1"/>
  <c r="P35" i="3"/>
  <c r="O35" i="3"/>
  <c r="AN35" i="3" s="1"/>
  <c r="N35" i="3"/>
  <c r="M35" i="3"/>
  <c r="L35" i="3"/>
  <c r="AE35" i="3" s="1"/>
  <c r="K35" i="3"/>
  <c r="J35" i="3"/>
  <c r="I35" i="3"/>
  <c r="H35" i="3"/>
  <c r="G35" i="3"/>
  <c r="AD35" i="3" s="1"/>
  <c r="F35" i="3"/>
  <c r="E35" i="3"/>
  <c r="Z35" i="3" s="1"/>
  <c r="AA35" i="3" s="1"/>
  <c r="D35" i="3"/>
  <c r="C35" i="3"/>
  <c r="B35" i="3"/>
  <c r="A35" i="3"/>
  <c r="AH34" i="3"/>
  <c r="AD34" i="3"/>
  <c r="Y34" i="3"/>
  <c r="X34" i="3"/>
  <c r="V34" i="3"/>
  <c r="U34" i="3"/>
  <c r="AJ34" i="3" s="1"/>
  <c r="T34" i="3"/>
  <c r="AM34" i="3" s="1"/>
  <c r="S34" i="3"/>
  <c r="R34" i="3"/>
  <c r="Q34" i="3"/>
  <c r="AI34" i="3" s="1"/>
  <c r="P34" i="3"/>
  <c r="O34" i="3"/>
  <c r="AN34" i="3" s="1"/>
  <c r="N34" i="3"/>
  <c r="M34" i="3"/>
  <c r="AE34" i="3" s="1"/>
  <c r="L34" i="3"/>
  <c r="K34" i="3"/>
  <c r="J34" i="3"/>
  <c r="I34" i="3"/>
  <c r="H34" i="3"/>
  <c r="G34" i="3"/>
  <c r="F34" i="3"/>
  <c r="AB34" i="3" s="1"/>
  <c r="E34" i="3"/>
  <c r="Z34" i="3" s="1"/>
  <c r="AA34" i="3" s="1"/>
  <c r="D34" i="3"/>
  <c r="C34" i="3"/>
  <c r="B34" i="3"/>
  <c r="A34" i="3"/>
  <c r="W34" i="3" s="1"/>
  <c r="AM33" i="3"/>
  <c r="AD33" i="3"/>
  <c r="AB33" i="3"/>
  <c r="X33" i="3"/>
  <c r="U33" i="3"/>
  <c r="AJ33" i="3" s="1"/>
  <c r="T33" i="3"/>
  <c r="S33" i="3"/>
  <c r="R33" i="3"/>
  <c r="AH33" i="3" s="1"/>
  <c r="Q33" i="3"/>
  <c r="AI33" i="3" s="1"/>
  <c r="P33" i="3"/>
  <c r="O33" i="3"/>
  <c r="AN33" i="3" s="1"/>
  <c r="N33" i="3"/>
  <c r="M33" i="3"/>
  <c r="L33" i="3"/>
  <c r="AE33" i="3" s="1"/>
  <c r="K33" i="3"/>
  <c r="J33" i="3"/>
  <c r="I33" i="3"/>
  <c r="H33" i="3"/>
  <c r="G33" i="3"/>
  <c r="F33" i="3"/>
  <c r="E33" i="3"/>
  <c r="Z33" i="3" s="1"/>
  <c r="D33" i="3"/>
  <c r="Y33" i="3" s="1"/>
  <c r="V33" i="3" s="1"/>
  <c r="C33" i="3"/>
  <c r="B33" i="3"/>
  <c r="A33" i="3"/>
  <c r="W33" i="3" s="1"/>
  <c r="AH32" i="3"/>
  <c r="AB32" i="3"/>
  <c r="X32" i="3"/>
  <c r="U32" i="3"/>
  <c r="AJ32" i="3" s="1"/>
  <c r="T32" i="3"/>
  <c r="AM32" i="3" s="1"/>
  <c r="S32" i="3"/>
  <c r="R32" i="3"/>
  <c r="Q32" i="3"/>
  <c r="AI32" i="3" s="1"/>
  <c r="P32" i="3"/>
  <c r="O32" i="3"/>
  <c r="AN32" i="3" s="1"/>
  <c r="N32" i="3"/>
  <c r="M32" i="3"/>
  <c r="L32" i="3"/>
  <c r="AE32" i="3" s="1"/>
  <c r="K32" i="3"/>
  <c r="J32" i="3"/>
  <c r="I32" i="3"/>
  <c r="H32" i="3"/>
  <c r="G32" i="3"/>
  <c r="AD32" i="3" s="1"/>
  <c r="F32" i="3"/>
  <c r="E32" i="3"/>
  <c r="Z32" i="3" s="1"/>
  <c r="D32" i="3"/>
  <c r="Y32" i="3" s="1"/>
  <c r="V32" i="3" s="1"/>
  <c r="C32" i="3"/>
  <c r="B32" i="3"/>
  <c r="A32" i="3"/>
  <c r="W32" i="3" s="1"/>
  <c r="AH31" i="3"/>
  <c r="AD31" i="3"/>
  <c r="X31" i="3"/>
  <c r="U31" i="3"/>
  <c r="AJ31" i="3" s="1"/>
  <c r="T31" i="3"/>
  <c r="AM31" i="3" s="1"/>
  <c r="S31" i="3"/>
  <c r="R31" i="3"/>
  <c r="Q31" i="3"/>
  <c r="AI31" i="3" s="1"/>
  <c r="P31" i="3"/>
  <c r="O31" i="3"/>
  <c r="AN31" i="3" s="1"/>
  <c r="N31" i="3"/>
  <c r="M31" i="3"/>
  <c r="L31" i="3"/>
  <c r="AE31" i="3" s="1"/>
  <c r="K31" i="3"/>
  <c r="J31" i="3"/>
  <c r="I31" i="3"/>
  <c r="H31" i="3"/>
  <c r="G31" i="3"/>
  <c r="F31" i="3"/>
  <c r="AB31" i="3" s="1"/>
  <c r="E31" i="3"/>
  <c r="Z31" i="3" s="1"/>
  <c r="D31" i="3"/>
  <c r="Y31" i="3" s="1"/>
  <c r="V31" i="3" s="1"/>
  <c r="C31" i="3"/>
  <c r="B31" i="3"/>
  <c r="A31" i="3"/>
  <c r="W31" i="3" s="1"/>
  <c r="AI30" i="3"/>
  <c r="AH30" i="3"/>
  <c r="AD30" i="3"/>
  <c r="AB30" i="3"/>
  <c r="X30" i="3"/>
  <c r="W30" i="3"/>
  <c r="U30" i="3"/>
  <c r="AJ30" i="3" s="1"/>
  <c r="T30" i="3"/>
  <c r="AM30" i="3" s="1"/>
  <c r="S30" i="3"/>
  <c r="R30" i="3"/>
  <c r="Q30" i="3"/>
  <c r="P30" i="3"/>
  <c r="O30" i="3"/>
  <c r="AN30" i="3" s="1"/>
  <c r="N30" i="3"/>
  <c r="M30" i="3"/>
  <c r="L30" i="3"/>
  <c r="AE30" i="3" s="1"/>
  <c r="K30" i="3"/>
  <c r="J30" i="3"/>
  <c r="I30" i="3"/>
  <c r="H30" i="3"/>
  <c r="G30" i="3"/>
  <c r="F30" i="3"/>
  <c r="E30" i="3"/>
  <c r="Z30" i="3" s="1"/>
  <c r="D30" i="3"/>
  <c r="Y30" i="3" s="1"/>
  <c r="V30" i="3" s="1"/>
  <c r="C30" i="3"/>
  <c r="B30" i="3"/>
  <c r="A30" i="3"/>
  <c r="AJ29" i="3"/>
  <c r="AH29" i="3"/>
  <c r="AE29" i="3"/>
  <c r="Y29" i="3"/>
  <c r="X29" i="3"/>
  <c r="W29" i="3"/>
  <c r="V29" i="3"/>
  <c r="U29" i="3"/>
  <c r="T29" i="3"/>
  <c r="AM29" i="3" s="1"/>
  <c r="S29" i="3"/>
  <c r="R29" i="3"/>
  <c r="Q29" i="3"/>
  <c r="AI29" i="3" s="1"/>
  <c r="P29" i="3"/>
  <c r="O29" i="3"/>
  <c r="AN29" i="3" s="1"/>
  <c r="N29" i="3"/>
  <c r="M29" i="3"/>
  <c r="L29" i="3"/>
  <c r="K29" i="3"/>
  <c r="J29" i="3"/>
  <c r="I29" i="3"/>
  <c r="H29" i="3"/>
  <c r="G29" i="3"/>
  <c r="AD29" i="3" s="1"/>
  <c r="F29" i="3"/>
  <c r="AB29" i="3" s="1"/>
  <c r="E29" i="3"/>
  <c r="Z29" i="3" s="1"/>
  <c r="AA29" i="3" s="1"/>
  <c r="D29" i="3"/>
  <c r="C29" i="3"/>
  <c r="B29" i="3"/>
  <c r="A29" i="3"/>
  <c r="AH28" i="3"/>
  <c r="AD28" i="3"/>
  <c r="X28" i="3"/>
  <c r="U28" i="3"/>
  <c r="AJ28" i="3" s="1"/>
  <c r="T28" i="3"/>
  <c r="AM28" i="3" s="1"/>
  <c r="S28" i="3"/>
  <c r="R28" i="3"/>
  <c r="Q28" i="3"/>
  <c r="AI28" i="3" s="1"/>
  <c r="P28" i="3"/>
  <c r="O28" i="3"/>
  <c r="AN28" i="3" s="1"/>
  <c r="N28" i="3"/>
  <c r="M28" i="3"/>
  <c r="L28" i="3"/>
  <c r="AE28" i="3" s="1"/>
  <c r="K28" i="3"/>
  <c r="J28" i="3"/>
  <c r="I28" i="3"/>
  <c r="H28" i="3"/>
  <c r="G28" i="3"/>
  <c r="F28" i="3"/>
  <c r="AB28" i="3" s="1"/>
  <c r="E28" i="3"/>
  <c r="Z28" i="3" s="1"/>
  <c r="D28" i="3"/>
  <c r="Y28" i="3" s="1"/>
  <c r="V28" i="3" s="1"/>
  <c r="C28" i="3"/>
  <c r="B28" i="3"/>
  <c r="A28" i="3"/>
  <c r="W28" i="3" s="1"/>
  <c r="AI27" i="3"/>
  <c r="AH27" i="3"/>
  <c r="AB27" i="3"/>
  <c r="X27" i="3"/>
  <c r="U27" i="3"/>
  <c r="AJ27" i="3" s="1"/>
  <c r="T27" i="3"/>
  <c r="AM27" i="3" s="1"/>
  <c r="S27" i="3"/>
  <c r="R27" i="3"/>
  <c r="Q27" i="3"/>
  <c r="P27" i="3"/>
  <c r="O27" i="3"/>
  <c r="AN27" i="3" s="1"/>
  <c r="N27" i="3"/>
  <c r="M27" i="3"/>
  <c r="L27" i="3"/>
  <c r="AE27" i="3" s="1"/>
  <c r="K27" i="3"/>
  <c r="J27" i="3"/>
  <c r="I27" i="3"/>
  <c r="H27" i="3"/>
  <c r="AD27" i="3" s="1"/>
  <c r="G27" i="3"/>
  <c r="F27" i="3"/>
  <c r="E27" i="3"/>
  <c r="Z27" i="3" s="1"/>
  <c r="D27" i="3"/>
  <c r="Y27" i="3" s="1"/>
  <c r="V27" i="3" s="1"/>
  <c r="C27" i="3"/>
  <c r="B27" i="3"/>
  <c r="A27" i="3"/>
  <c r="W27" i="3" s="1"/>
  <c r="AI26" i="3"/>
  <c r="AH26" i="3"/>
  <c r="AD26" i="3"/>
  <c r="X26" i="3"/>
  <c r="W26" i="3"/>
  <c r="U26" i="3"/>
  <c r="AJ26" i="3" s="1"/>
  <c r="T26" i="3"/>
  <c r="AM26" i="3" s="1"/>
  <c r="S26" i="3"/>
  <c r="R26" i="3"/>
  <c r="Q26" i="3"/>
  <c r="P26" i="3"/>
  <c r="O26" i="3"/>
  <c r="AN26" i="3" s="1"/>
  <c r="N26" i="3"/>
  <c r="M26" i="3"/>
  <c r="AE26" i="3" s="1"/>
  <c r="L26" i="3"/>
  <c r="K26" i="3"/>
  <c r="J26" i="3"/>
  <c r="I26" i="3"/>
  <c r="H26" i="3"/>
  <c r="G26" i="3"/>
  <c r="F26" i="3"/>
  <c r="AB26" i="3" s="1"/>
  <c r="E26" i="3"/>
  <c r="Z26" i="3" s="1"/>
  <c r="AA26" i="3" s="1"/>
  <c r="D26" i="3"/>
  <c r="Y26" i="3" s="1"/>
  <c r="V26" i="3" s="1"/>
  <c r="C26" i="3"/>
  <c r="B26" i="3"/>
  <c r="A26" i="3"/>
  <c r="AJ25" i="3"/>
  <c r="AH25" i="3"/>
  <c r="X25" i="3"/>
  <c r="W25" i="3"/>
  <c r="U25" i="3"/>
  <c r="T25" i="3"/>
  <c r="AM25" i="3" s="1"/>
  <c r="S25" i="3"/>
  <c r="R25" i="3"/>
  <c r="Q25" i="3"/>
  <c r="AI25" i="3" s="1"/>
  <c r="P25" i="3"/>
  <c r="O25" i="3"/>
  <c r="AN25" i="3" s="1"/>
  <c r="N25" i="3"/>
  <c r="M25" i="3"/>
  <c r="L25" i="3"/>
  <c r="AE25" i="3" s="1"/>
  <c r="K25" i="3"/>
  <c r="J25" i="3"/>
  <c r="I25" i="3"/>
  <c r="H25" i="3"/>
  <c r="G25" i="3"/>
  <c r="AD25" i="3" s="1"/>
  <c r="F25" i="3"/>
  <c r="AB25" i="3" s="1"/>
  <c r="E25" i="3"/>
  <c r="Z25" i="3" s="1"/>
  <c r="D25" i="3"/>
  <c r="Y25" i="3" s="1"/>
  <c r="V25" i="3" s="1"/>
  <c r="C25" i="3"/>
  <c r="B25" i="3"/>
  <c r="A25" i="3"/>
  <c r="AI24" i="3"/>
  <c r="AH24" i="3"/>
  <c r="AE24" i="3"/>
  <c r="X24" i="3"/>
  <c r="W24" i="3"/>
  <c r="U24" i="3"/>
  <c r="AJ24" i="3" s="1"/>
  <c r="T24" i="3"/>
  <c r="AM24" i="3" s="1"/>
  <c r="S24" i="3"/>
  <c r="R24" i="3"/>
  <c r="Q24" i="3"/>
  <c r="P24" i="3"/>
  <c r="O24" i="3"/>
  <c r="AN24" i="3" s="1"/>
  <c r="N24" i="3"/>
  <c r="M24" i="3"/>
  <c r="L24" i="3"/>
  <c r="K24" i="3"/>
  <c r="J24" i="3"/>
  <c r="I24" i="3"/>
  <c r="H24" i="3"/>
  <c r="G24" i="3"/>
  <c r="AD24" i="3" s="1"/>
  <c r="F24" i="3"/>
  <c r="AB24" i="3" s="1"/>
  <c r="E24" i="3"/>
  <c r="Z24" i="3" s="1"/>
  <c r="AA24" i="3" s="1"/>
  <c r="D24" i="3"/>
  <c r="Y24" i="3" s="1"/>
  <c r="V24" i="3" s="1"/>
  <c r="C24" i="3"/>
  <c r="B24" i="3"/>
  <c r="A24" i="3"/>
  <c r="AH23" i="3"/>
  <c r="AD23" i="3"/>
  <c r="AB23" i="3"/>
  <c r="X23" i="3"/>
  <c r="U23" i="3"/>
  <c r="AJ23" i="3" s="1"/>
  <c r="T23" i="3"/>
  <c r="AM23" i="3" s="1"/>
  <c r="S23" i="3"/>
  <c r="R23" i="3"/>
  <c r="Q23" i="3"/>
  <c r="AI23" i="3" s="1"/>
  <c r="P23" i="3"/>
  <c r="O23" i="3"/>
  <c r="AN23" i="3" s="1"/>
  <c r="N23" i="3"/>
  <c r="M23" i="3"/>
  <c r="L23" i="3"/>
  <c r="AE23" i="3" s="1"/>
  <c r="K23" i="3"/>
  <c r="J23" i="3"/>
  <c r="I23" i="3"/>
  <c r="H23" i="3"/>
  <c r="G23" i="3"/>
  <c r="F23" i="3"/>
  <c r="E23" i="3"/>
  <c r="Z23" i="3" s="1"/>
  <c r="D23" i="3"/>
  <c r="Y23" i="3" s="1"/>
  <c r="V23" i="3" s="1"/>
  <c r="C23" i="3"/>
  <c r="B23" i="3"/>
  <c r="A23" i="3"/>
  <c r="W23" i="3" s="1"/>
  <c r="AI22" i="3"/>
  <c r="AH22" i="3"/>
  <c r="AD22" i="3"/>
  <c r="AB22" i="3"/>
  <c r="X22" i="3"/>
  <c r="W22" i="3"/>
  <c r="U22" i="3"/>
  <c r="AJ22" i="3" s="1"/>
  <c r="T22" i="3"/>
  <c r="AM22" i="3" s="1"/>
  <c r="S22" i="3"/>
  <c r="R22" i="3"/>
  <c r="Q22" i="3"/>
  <c r="P22" i="3"/>
  <c r="O22" i="3"/>
  <c r="AN22" i="3" s="1"/>
  <c r="N22" i="3"/>
  <c r="M22" i="3"/>
  <c r="L22" i="3"/>
  <c r="AE22" i="3" s="1"/>
  <c r="K22" i="3"/>
  <c r="J22" i="3"/>
  <c r="I22" i="3"/>
  <c r="H22" i="3"/>
  <c r="G22" i="3"/>
  <c r="F22" i="3"/>
  <c r="E22" i="3"/>
  <c r="Z22" i="3" s="1"/>
  <c r="D22" i="3"/>
  <c r="Y22" i="3" s="1"/>
  <c r="V22" i="3" s="1"/>
  <c r="C22" i="3"/>
  <c r="B22" i="3"/>
  <c r="A22" i="3"/>
  <c r="AH21" i="3"/>
  <c r="AD21" i="3"/>
  <c r="AB21" i="3"/>
  <c r="X21" i="3"/>
  <c r="U21" i="3"/>
  <c r="AJ21" i="3" s="1"/>
  <c r="T21" i="3"/>
  <c r="AM21" i="3" s="1"/>
  <c r="S21" i="3"/>
  <c r="R21" i="3"/>
  <c r="Q21" i="3"/>
  <c r="AI21" i="3" s="1"/>
  <c r="P21" i="3"/>
  <c r="O21" i="3"/>
  <c r="AN21" i="3" s="1"/>
  <c r="N21" i="3"/>
  <c r="M21" i="3"/>
  <c r="L21" i="3"/>
  <c r="AE21" i="3" s="1"/>
  <c r="K21" i="3"/>
  <c r="J21" i="3"/>
  <c r="I21" i="3"/>
  <c r="H21" i="3"/>
  <c r="G21" i="3"/>
  <c r="F21" i="3"/>
  <c r="E21" i="3"/>
  <c r="Z21" i="3" s="1"/>
  <c r="AA21" i="3" s="1"/>
  <c r="D21" i="3"/>
  <c r="Y21" i="3" s="1"/>
  <c r="V21" i="3" s="1"/>
  <c r="C21" i="3"/>
  <c r="B21" i="3"/>
  <c r="A21" i="3"/>
  <c r="W21" i="3" s="1"/>
  <c r="AH20" i="3"/>
  <c r="AB20" i="3"/>
  <c r="X20" i="3"/>
  <c r="U20" i="3"/>
  <c r="AJ20" i="3" s="1"/>
  <c r="T20" i="3"/>
  <c r="AM20" i="3" s="1"/>
  <c r="S20" i="3"/>
  <c r="R20" i="3"/>
  <c r="Q20" i="3"/>
  <c r="AI20" i="3" s="1"/>
  <c r="P20" i="3"/>
  <c r="O20" i="3"/>
  <c r="AN20" i="3" s="1"/>
  <c r="N20" i="3"/>
  <c r="M20" i="3"/>
  <c r="L20" i="3"/>
  <c r="AE20" i="3" s="1"/>
  <c r="K20" i="3"/>
  <c r="J20" i="3"/>
  <c r="I20" i="3"/>
  <c r="H20" i="3"/>
  <c r="G20" i="3"/>
  <c r="AD20" i="3" s="1"/>
  <c r="F20" i="3"/>
  <c r="E20" i="3"/>
  <c r="Z20" i="3" s="1"/>
  <c r="D20" i="3"/>
  <c r="Y20" i="3" s="1"/>
  <c r="V20" i="3" s="1"/>
  <c r="C20" i="3"/>
  <c r="B20" i="3"/>
  <c r="A20" i="3"/>
  <c r="W20" i="3" s="1"/>
  <c r="AJ19" i="3"/>
  <c r="AH19" i="3"/>
  <c r="Y19" i="3"/>
  <c r="V19" i="3" s="1"/>
  <c r="X19" i="3"/>
  <c r="U19" i="3"/>
  <c r="T19" i="3"/>
  <c r="AM19" i="3" s="1"/>
  <c r="S19" i="3"/>
  <c r="R19" i="3"/>
  <c r="Q19" i="3"/>
  <c r="AI19" i="3" s="1"/>
  <c r="P19" i="3"/>
  <c r="O19" i="3"/>
  <c r="AN19" i="3" s="1"/>
  <c r="N19" i="3"/>
  <c r="M19" i="3"/>
  <c r="AE19" i="3" s="1"/>
  <c r="L19" i="3"/>
  <c r="K19" i="3"/>
  <c r="J19" i="3"/>
  <c r="I19" i="3"/>
  <c r="H19" i="3"/>
  <c r="AD19" i="3" s="1"/>
  <c r="G19" i="3"/>
  <c r="F19" i="3"/>
  <c r="AB19" i="3" s="1"/>
  <c r="E19" i="3"/>
  <c r="Z19" i="3" s="1"/>
  <c r="AA19" i="3" s="1"/>
  <c r="D19" i="3"/>
  <c r="C19" i="3"/>
  <c r="B19" i="3"/>
  <c r="A19" i="3"/>
  <c r="W19" i="3" s="1"/>
  <c r="AI18" i="3"/>
  <c r="AH18" i="3"/>
  <c r="AE18" i="3"/>
  <c r="X18" i="3"/>
  <c r="W18" i="3"/>
  <c r="U18" i="3"/>
  <c r="AJ18" i="3" s="1"/>
  <c r="T18" i="3"/>
  <c r="AM18" i="3" s="1"/>
  <c r="S18" i="3"/>
  <c r="R18" i="3"/>
  <c r="Q18" i="3"/>
  <c r="P18" i="3"/>
  <c r="O18" i="3"/>
  <c r="AN18" i="3" s="1"/>
  <c r="N18" i="3"/>
  <c r="M18" i="3"/>
  <c r="L18" i="3"/>
  <c r="K18" i="3"/>
  <c r="J18" i="3"/>
  <c r="I18" i="3"/>
  <c r="H18" i="3"/>
  <c r="G18" i="3"/>
  <c r="AD18" i="3" s="1"/>
  <c r="F18" i="3"/>
  <c r="AB18" i="3" s="1"/>
  <c r="E18" i="3"/>
  <c r="Z18" i="3" s="1"/>
  <c r="D18" i="3"/>
  <c r="Y18" i="3" s="1"/>
  <c r="V18" i="3" s="1"/>
  <c r="C18" i="3"/>
  <c r="B18" i="3"/>
  <c r="A18" i="3"/>
  <c r="AJ17" i="3"/>
  <c r="AH17" i="3"/>
  <c r="AB17" i="3"/>
  <c r="Y17" i="3"/>
  <c r="V17" i="3" s="1"/>
  <c r="X17" i="3"/>
  <c r="U17" i="3"/>
  <c r="T17" i="3"/>
  <c r="AM17" i="3" s="1"/>
  <c r="S17" i="3"/>
  <c r="R17" i="3"/>
  <c r="Q17" i="3"/>
  <c r="AI17" i="3" s="1"/>
  <c r="P17" i="3"/>
  <c r="O17" i="3"/>
  <c r="AN17" i="3" s="1"/>
  <c r="N17" i="3"/>
  <c r="M17" i="3"/>
  <c r="L17" i="3"/>
  <c r="AE17" i="3" s="1"/>
  <c r="K17" i="3"/>
  <c r="J17" i="3"/>
  <c r="I17" i="3"/>
  <c r="H17" i="3"/>
  <c r="AD17" i="3" s="1"/>
  <c r="G17" i="3"/>
  <c r="F17" i="3"/>
  <c r="E17" i="3"/>
  <c r="Z17" i="3" s="1"/>
  <c r="AA17" i="3" s="1"/>
  <c r="D17" i="3"/>
  <c r="C17" i="3"/>
  <c r="B17" i="3"/>
  <c r="A17" i="3"/>
  <c r="W17" i="3" s="1"/>
  <c r="AI16" i="3"/>
  <c r="AH16" i="3"/>
  <c r="AB16" i="3"/>
  <c r="X16" i="3"/>
  <c r="U16" i="3"/>
  <c r="AJ16" i="3" s="1"/>
  <c r="T16" i="3"/>
  <c r="AM16" i="3" s="1"/>
  <c r="S16" i="3"/>
  <c r="R16" i="3"/>
  <c r="Q16" i="3"/>
  <c r="P16" i="3"/>
  <c r="O16" i="3"/>
  <c r="AN16" i="3" s="1"/>
  <c r="N16" i="3"/>
  <c r="M16" i="3"/>
  <c r="L16" i="3"/>
  <c r="AE16" i="3" s="1"/>
  <c r="K16" i="3"/>
  <c r="J16" i="3"/>
  <c r="I16" i="3"/>
  <c r="H16" i="3"/>
  <c r="AD16" i="3" s="1"/>
  <c r="G16" i="3"/>
  <c r="F16" i="3"/>
  <c r="E16" i="3"/>
  <c r="Z16" i="3" s="1"/>
  <c r="AA16" i="3" s="1"/>
  <c r="D16" i="3"/>
  <c r="Y16" i="3" s="1"/>
  <c r="V16" i="3" s="1"/>
  <c r="C16" i="3"/>
  <c r="B16" i="3"/>
  <c r="A16" i="3"/>
  <c r="W16" i="3" s="1"/>
  <c r="AH15" i="3"/>
  <c r="AD15" i="3"/>
  <c r="AB15" i="3"/>
  <c r="X15" i="3"/>
  <c r="U15" i="3"/>
  <c r="AJ15" i="3" s="1"/>
  <c r="T15" i="3"/>
  <c r="AM15" i="3" s="1"/>
  <c r="S15" i="3"/>
  <c r="R15" i="3"/>
  <c r="Q15" i="3"/>
  <c r="AI15" i="3" s="1"/>
  <c r="P15" i="3"/>
  <c r="O15" i="3"/>
  <c r="AN15" i="3" s="1"/>
  <c r="N15" i="3"/>
  <c r="M15" i="3"/>
  <c r="L15" i="3"/>
  <c r="AE15" i="3" s="1"/>
  <c r="K15" i="3"/>
  <c r="J15" i="3"/>
  <c r="I15" i="3"/>
  <c r="H15" i="3"/>
  <c r="G15" i="3"/>
  <c r="F15" i="3"/>
  <c r="E15" i="3"/>
  <c r="Z15" i="3" s="1"/>
  <c r="AA15" i="3" s="1"/>
  <c r="D15" i="3"/>
  <c r="Y15" i="3" s="1"/>
  <c r="V15" i="3" s="1"/>
  <c r="C15" i="3"/>
  <c r="B15" i="3"/>
  <c r="A15" i="3"/>
  <c r="W15" i="3" s="1"/>
  <c r="AI14" i="3"/>
  <c r="AH14" i="3"/>
  <c r="AB14" i="3"/>
  <c r="X14" i="3"/>
  <c r="W14" i="3"/>
  <c r="U14" i="3"/>
  <c r="AJ14" i="3" s="1"/>
  <c r="T14" i="3"/>
  <c r="AM14" i="3" s="1"/>
  <c r="S14" i="3"/>
  <c r="R14" i="3"/>
  <c r="Q14" i="3"/>
  <c r="P14" i="3"/>
  <c r="O14" i="3"/>
  <c r="AN14" i="3" s="1"/>
  <c r="N14" i="3"/>
  <c r="M14" i="3"/>
  <c r="L14" i="3"/>
  <c r="AE14" i="3" s="1"/>
  <c r="K14" i="3"/>
  <c r="J14" i="3"/>
  <c r="I14" i="3"/>
  <c r="H14" i="3"/>
  <c r="G14" i="3"/>
  <c r="AD14" i="3" s="1"/>
  <c r="F14" i="3"/>
  <c r="E14" i="3"/>
  <c r="Z14" i="3" s="1"/>
  <c r="D14" i="3"/>
  <c r="Y14" i="3" s="1"/>
  <c r="V14" i="3" s="1"/>
  <c r="C14" i="3"/>
  <c r="B14" i="3"/>
  <c r="A14" i="3"/>
  <c r="AH13" i="3"/>
  <c r="AD13" i="3"/>
  <c r="AB13" i="3"/>
  <c r="X13" i="3"/>
  <c r="U13" i="3"/>
  <c r="AJ13" i="3" s="1"/>
  <c r="T13" i="3"/>
  <c r="AM13" i="3" s="1"/>
  <c r="S13" i="3"/>
  <c r="R13" i="3"/>
  <c r="Q13" i="3"/>
  <c r="AI13" i="3" s="1"/>
  <c r="P13" i="3"/>
  <c r="O13" i="3"/>
  <c r="AN13" i="3" s="1"/>
  <c r="N13" i="3"/>
  <c r="M13" i="3"/>
  <c r="L13" i="3"/>
  <c r="AE13" i="3" s="1"/>
  <c r="K13" i="3"/>
  <c r="J13" i="3"/>
  <c r="I13" i="3"/>
  <c r="H13" i="3"/>
  <c r="G13" i="3"/>
  <c r="F13" i="3"/>
  <c r="E13" i="3"/>
  <c r="Z13" i="3" s="1"/>
  <c r="AA13" i="3" s="1"/>
  <c r="D13" i="3"/>
  <c r="Y13" i="3" s="1"/>
  <c r="V13" i="3" s="1"/>
  <c r="C13" i="3"/>
  <c r="B13" i="3"/>
  <c r="A13" i="3"/>
  <c r="W13" i="3" s="1"/>
  <c r="AI12" i="3"/>
  <c r="AH12" i="3"/>
  <c r="AB12" i="3"/>
  <c r="X12" i="3"/>
  <c r="W12" i="3"/>
  <c r="U12" i="3"/>
  <c r="AJ12" i="3" s="1"/>
  <c r="T12" i="3"/>
  <c r="AM12" i="3" s="1"/>
  <c r="S12" i="3"/>
  <c r="R12" i="3"/>
  <c r="Q12" i="3"/>
  <c r="P12" i="3"/>
  <c r="O12" i="3"/>
  <c r="AN12" i="3" s="1"/>
  <c r="N12" i="3"/>
  <c r="M12" i="3"/>
  <c r="L12" i="3"/>
  <c r="AE12" i="3" s="1"/>
  <c r="K12" i="3"/>
  <c r="J12" i="3"/>
  <c r="I12" i="3"/>
  <c r="H12" i="3"/>
  <c r="G12" i="3"/>
  <c r="AD12" i="3" s="1"/>
  <c r="F12" i="3"/>
  <c r="E12" i="3"/>
  <c r="Z12" i="3" s="1"/>
  <c r="D12" i="3"/>
  <c r="Y12" i="3" s="1"/>
  <c r="V12" i="3" s="1"/>
  <c r="C12" i="3"/>
  <c r="B12" i="3"/>
  <c r="A12" i="3"/>
  <c r="AJ11" i="3"/>
  <c r="AH11" i="3"/>
  <c r="Y11" i="3"/>
  <c r="V11" i="3" s="1"/>
  <c r="X11" i="3"/>
  <c r="U11" i="3"/>
  <c r="T11" i="3"/>
  <c r="AM11" i="3" s="1"/>
  <c r="S11" i="3"/>
  <c r="R11" i="3"/>
  <c r="Q11" i="3"/>
  <c r="AI11" i="3" s="1"/>
  <c r="P11" i="3"/>
  <c r="O11" i="3"/>
  <c r="AN11" i="3" s="1"/>
  <c r="N11" i="3"/>
  <c r="M11" i="3"/>
  <c r="L11" i="3"/>
  <c r="AE11" i="3" s="1"/>
  <c r="K11" i="3"/>
  <c r="J11" i="3"/>
  <c r="I11" i="3"/>
  <c r="H11" i="3"/>
  <c r="AD11" i="3" s="1"/>
  <c r="G11" i="3"/>
  <c r="F11" i="3"/>
  <c r="AB11" i="3" s="1"/>
  <c r="E11" i="3"/>
  <c r="Z11" i="3" s="1"/>
  <c r="AA11" i="3" s="1"/>
  <c r="D11" i="3"/>
  <c r="C11" i="3"/>
  <c r="B11" i="3"/>
  <c r="A11" i="3"/>
  <c r="W11" i="3" s="1"/>
  <c r="AJ10" i="3"/>
  <c r="AI10" i="3"/>
  <c r="AH10" i="3"/>
  <c r="AE10" i="3"/>
  <c r="Y10" i="3"/>
  <c r="X10" i="3"/>
  <c r="W10" i="3"/>
  <c r="V10" i="3"/>
  <c r="U10" i="3"/>
  <c r="T10" i="3"/>
  <c r="AM10" i="3" s="1"/>
  <c r="S10" i="3"/>
  <c r="R10" i="3"/>
  <c r="Q10" i="3"/>
  <c r="P10" i="3"/>
  <c r="O10" i="3"/>
  <c r="AN10" i="3" s="1"/>
  <c r="N10" i="3"/>
  <c r="M10" i="3"/>
  <c r="L10" i="3"/>
  <c r="K10" i="3"/>
  <c r="J10" i="3"/>
  <c r="I10" i="3"/>
  <c r="H10" i="3"/>
  <c r="G10" i="3"/>
  <c r="AD10" i="3" s="1"/>
  <c r="F10" i="3"/>
  <c r="AB10" i="3" s="1"/>
  <c r="E10" i="3"/>
  <c r="Z10" i="3" s="1"/>
  <c r="AA10" i="3" s="1"/>
  <c r="D10" i="3"/>
  <c r="C10" i="3"/>
  <c r="B10" i="3"/>
  <c r="A10" i="3"/>
  <c r="AI9" i="3"/>
  <c r="AH9" i="3"/>
  <c r="X9" i="3"/>
  <c r="W9" i="3"/>
  <c r="U9" i="3"/>
  <c r="AJ9" i="3" s="1"/>
  <c r="T9" i="3"/>
  <c r="AM9" i="3" s="1"/>
  <c r="S9" i="3"/>
  <c r="R9" i="3"/>
  <c r="Q9" i="3"/>
  <c r="P9" i="3"/>
  <c r="O9" i="3"/>
  <c r="AN9" i="3" s="1"/>
  <c r="N9" i="3"/>
  <c r="M9" i="3"/>
  <c r="AE9" i="3" s="1"/>
  <c r="L9" i="3"/>
  <c r="K9" i="3"/>
  <c r="J9" i="3"/>
  <c r="I9" i="3"/>
  <c r="H9" i="3"/>
  <c r="G9" i="3"/>
  <c r="AD9" i="3" s="1"/>
  <c r="F9" i="3"/>
  <c r="AB9" i="3" s="1"/>
  <c r="E9" i="3"/>
  <c r="Z9" i="3" s="1"/>
  <c r="AA9" i="3" s="1"/>
  <c r="D9" i="3"/>
  <c r="Y9" i="3" s="1"/>
  <c r="V9" i="3" s="1"/>
  <c r="C9" i="3"/>
  <c r="B9" i="3"/>
  <c r="A9" i="3"/>
  <c r="AI8" i="3"/>
  <c r="AH8" i="3"/>
  <c r="AD8" i="3"/>
  <c r="AB8" i="3"/>
  <c r="W8" i="3"/>
  <c r="U8" i="3"/>
  <c r="AJ8" i="3" s="1"/>
  <c r="T8" i="3"/>
  <c r="AM8" i="3" s="1"/>
  <c r="S8" i="3"/>
  <c r="R8" i="3"/>
  <c r="Q8" i="3"/>
  <c r="P8" i="3"/>
  <c r="O8" i="3"/>
  <c r="AN8" i="3" s="1"/>
  <c r="N8" i="3"/>
  <c r="M8" i="3"/>
  <c r="L8" i="3"/>
  <c r="AE8" i="3" s="1"/>
  <c r="K8" i="3"/>
  <c r="J8" i="3"/>
  <c r="I8" i="3"/>
  <c r="H8" i="3"/>
  <c r="G8" i="3"/>
  <c r="F8" i="3"/>
  <c r="E8" i="3"/>
  <c r="Z8" i="3" s="1"/>
  <c r="D8" i="3"/>
  <c r="Y8" i="3" s="1"/>
  <c r="V8" i="3" s="1"/>
  <c r="C8" i="3"/>
  <c r="X8" i="3" s="1"/>
  <c r="B8" i="3"/>
  <c r="A8" i="3"/>
  <c r="AI7" i="3"/>
  <c r="AH7" i="3"/>
  <c r="AD7" i="3"/>
  <c r="AB7" i="3"/>
  <c r="X7" i="3"/>
  <c r="W7" i="3"/>
  <c r="U7" i="3"/>
  <c r="AJ7" i="3" s="1"/>
  <c r="T7" i="3"/>
  <c r="AM7" i="3" s="1"/>
  <c r="S7" i="3"/>
  <c r="R7" i="3"/>
  <c r="Q7" i="3"/>
  <c r="P7" i="3"/>
  <c r="O7" i="3"/>
  <c r="AN7" i="3" s="1"/>
  <c r="N7" i="3"/>
  <c r="M7" i="3"/>
  <c r="L7" i="3"/>
  <c r="AE7" i="3" s="1"/>
  <c r="K7" i="3"/>
  <c r="J7" i="3"/>
  <c r="I7" i="3"/>
  <c r="H7" i="3"/>
  <c r="G7" i="3"/>
  <c r="F7" i="3"/>
  <c r="E7" i="3"/>
  <c r="Z7" i="3" s="1"/>
  <c r="D7" i="3"/>
  <c r="Y7" i="3" s="1"/>
  <c r="V7" i="3" s="1"/>
  <c r="C7" i="3"/>
  <c r="B7" i="3"/>
  <c r="A7" i="3"/>
  <c r="AJ6" i="3"/>
  <c r="AH6" i="3"/>
  <c r="AB6" i="3"/>
  <c r="X6" i="3"/>
  <c r="U6" i="3"/>
  <c r="T6" i="3"/>
  <c r="AM6" i="3" s="1"/>
  <c r="S6" i="3"/>
  <c r="R6" i="3"/>
  <c r="Q6" i="3"/>
  <c r="AI6" i="3" s="1"/>
  <c r="P6" i="3"/>
  <c r="O6" i="3"/>
  <c r="AN6" i="3" s="1"/>
  <c r="N6" i="3"/>
  <c r="M6" i="3"/>
  <c r="L6" i="3"/>
  <c r="AE6" i="3" s="1"/>
  <c r="K6" i="3"/>
  <c r="J6" i="3"/>
  <c r="I6" i="3"/>
  <c r="H6" i="3"/>
  <c r="G6" i="3"/>
  <c r="AD6" i="3" s="1"/>
  <c r="F6" i="3"/>
  <c r="E6" i="3"/>
  <c r="Z6" i="3" s="1"/>
  <c r="AA6" i="3" s="1"/>
  <c r="D6" i="3"/>
  <c r="Y6" i="3" s="1"/>
  <c r="V6" i="3" s="1"/>
  <c r="C6" i="3"/>
  <c r="B6" i="3"/>
  <c r="A6" i="3"/>
  <c r="W6" i="3" s="1"/>
  <c r="AI5" i="3"/>
  <c r="AH5" i="3"/>
  <c r="X5" i="3"/>
  <c r="W5" i="3"/>
  <c r="U5" i="3"/>
  <c r="AJ5" i="3" s="1"/>
  <c r="T5" i="3"/>
  <c r="AM5" i="3" s="1"/>
  <c r="S5" i="3"/>
  <c r="R5" i="3"/>
  <c r="Q5" i="3"/>
  <c r="P5" i="3"/>
  <c r="O5" i="3"/>
  <c r="AN5" i="3" s="1"/>
  <c r="N5" i="3"/>
  <c r="M5" i="3"/>
  <c r="AE5" i="3" s="1"/>
  <c r="L5" i="3"/>
  <c r="K5" i="3"/>
  <c r="J5" i="3"/>
  <c r="I5" i="3"/>
  <c r="H5" i="3"/>
  <c r="G5" i="3"/>
  <c r="AD5" i="3" s="1"/>
  <c r="F5" i="3"/>
  <c r="AB5" i="3" s="1"/>
  <c r="E5" i="3"/>
  <c r="Z5" i="3" s="1"/>
  <c r="AA5" i="3" s="1"/>
  <c r="D5" i="3"/>
  <c r="Y5" i="3" s="1"/>
  <c r="V5" i="3" s="1"/>
  <c r="C5" i="3"/>
  <c r="B5" i="3"/>
  <c r="A5" i="3"/>
  <c r="AJ4" i="3"/>
  <c r="AH4" i="3"/>
  <c r="AB4" i="3"/>
  <c r="X4" i="3"/>
  <c r="U4" i="3"/>
  <c r="T4" i="3"/>
  <c r="AM4" i="3" s="1"/>
  <c r="S4" i="3"/>
  <c r="R4" i="3"/>
  <c r="Q4" i="3"/>
  <c r="AI4" i="3" s="1"/>
  <c r="P4" i="3"/>
  <c r="O4" i="3"/>
  <c r="AN4" i="3" s="1"/>
  <c r="N4" i="3"/>
  <c r="M4" i="3"/>
  <c r="L4" i="3"/>
  <c r="AE4" i="3" s="1"/>
  <c r="K4" i="3"/>
  <c r="J4" i="3"/>
  <c r="I4" i="3"/>
  <c r="H4" i="3"/>
  <c r="G4" i="3"/>
  <c r="AD4" i="3" s="1"/>
  <c r="F4" i="3"/>
  <c r="E4" i="3"/>
  <c r="Z4" i="3" s="1"/>
  <c r="AA4" i="3" s="1"/>
  <c r="D4" i="3"/>
  <c r="Y4" i="3" s="1"/>
  <c r="V4" i="3" s="1"/>
  <c r="C4" i="3"/>
  <c r="B4" i="3"/>
  <c r="A4" i="3"/>
  <c r="W4" i="3" s="1"/>
  <c r="AJ3" i="3"/>
  <c r="AI3" i="3"/>
  <c r="AH3" i="3"/>
  <c r="X3" i="3"/>
  <c r="W3" i="3"/>
  <c r="U3" i="3"/>
  <c r="T3" i="3"/>
  <c r="AM3" i="3" s="1"/>
  <c r="S3" i="3"/>
  <c r="R3" i="3"/>
  <c r="Q3" i="3"/>
  <c r="P3" i="3"/>
  <c r="O3" i="3"/>
  <c r="AN3" i="3" s="1"/>
  <c r="N3" i="3"/>
  <c r="M3" i="3"/>
  <c r="L3" i="3"/>
  <c r="AE3" i="3" s="1"/>
  <c r="K3" i="3"/>
  <c r="J3" i="3"/>
  <c r="I3" i="3"/>
  <c r="H3" i="3"/>
  <c r="G3" i="3"/>
  <c r="AD3" i="3" s="1"/>
  <c r="F3" i="3"/>
  <c r="AB3" i="3" s="1"/>
  <c r="E3" i="3"/>
  <c r="Z3" i="3" s="1"/>
  <c r="D3" i="3"/>
  <c r="Y3" i="3" s="1"/>
  <c r="V3" i="3" s="1"/>
  <c r="C3" i="3"/>
  <c r="B3" i="3"/>
  <c r="A3" i="3"/>
  <c r="T13" i="34"/>
  <c r="T12" i="34"/>
  <c r="T11" i="34"/>
  <c r="T10" i="34"/>
  <c r="T9" i="34"/>
  <c r="T8" i="34"/>
  <c r="T7" i="34"/>
  <c r="T6" i="34"/>
  <c r="T5" i="34"/>
  <c r="T4" i="34"/>
  <c r="T3" i="34"/>
  <c r="T2" i="34"/>
  <c r="T13" i="33"/>
  <c r="T12" i="33"/>
  <c r="T11" i="33"/>
  <c r="T10" i="33"/>
  <c r="T9" i="33"/>
  <c r="T8" i="33"/>
  <c r="T7" i="33"/>
  <c r="T6" i="33"/>
  <c r="T5" i="33"/>
  <c r="T4" i="33"/>
  <c r="T3" i="33"/>
  <c r="T2" i="33"/>
  <c r="T13" i="32"/>
  <c r="T12" i="32"/>
  <c r="T11" i="32"/>
  <c r="T10" i="32"/>
  <c r="T9" i="32"/>
  <c r="T8" i="32"/>
  <c r="T7" i="32"/>
  <c r="T6" i="32"/>
  <c r="T5" i="32"/>
  <c r="T4" i="32"/>
  <c r="T3" i="32"/>
  <c r="T2" i="32"/>
  <c r="T13" i="31"/>
  <c r="T12" i="31"/>
  <c r="T11" i="31"/>
  <c r="T10" i="31"/>
  <c r="T9" i="31"/>
  <c r="T8" i="31"/>
  <c r="T7" i="31"/>
  <c r="T6" i="31"/>
  <c r="T5" i="31"/>
  <c r="T4" i="31"/>
  <c r="T3" i="31"/>
  <c r="T2" i="31"/>
  <c r="T13" i="30"/>
  <c r="T12" i="30"/>
  <c r="T11" i="30"/>
  <c r="T10" i="30"/>
  <c r="T9" i="30"/>
  <c r="T8" i="30"/>
  <c r="T7" i="30"/>
  <c r="T6" i="30"/>
  <c r="T5" i="30"/>
  <c r="T4" i="30"/>
  <c r="T3" i="30"/>
  <c r="T2" i="30"/>
  <c r="T13" i="28"/>
  <c r="T12" i="28"/>
  <c r="T11" i="28"/>
  <c r="T10" i="28"/>
  <c r="T9" i="28"/>
  <c r="T8" i="28"/>
  <c r="T7" i="28"/>
  <c r="T6" i="28"/>
  <c r="T5" i="28"/>
  <c r="T4" i="28"/>
  <c r="T3" i="28"/>
  <c r="T2" i="28"/>
  <c r="T13" i="27"/>
  <c r="T12" i="27"/>
  <c r="T11" i="27"/>
  <c r="T10" i="27"/>
  <c r="T9" i="27"/>
  <c r="T8" i="27"/>
  <c r="T7" i="27"/>
  <c r="T6" i="27"/>
  <c r="T5" i="27"/>
  <c r="T4" i="27"/>
  <c r="T3" i="27"/>
  <c r="T2" i="27"/>
  <c r="T13" i="26"/>
  <c r="T12" i="26"/>
  <c r="T11" i="26"/>
  <c r="T10" i="26"/>
  <c r="T9" i="26"/>
  <c r="T8" i="26"/>
  <c r="T7" i="26"/>
  <c r="T6" i="26"/>
  <c r="T5" i="26"/>
  <c r="T4" i="26"/>
  <c r="T3" i="26"/>
  <c r="T2" i="26"/>
  <c r="T13" i="24"/>
  <c r="T12" i="24"/>
  <c r="T11" i="24"/>
  <c r="T10" i="24"/>
  <c r="T9" i="24"/>
  <c r="T8" i="24"/>
  <c r="T7" i="24"/>
  <c r="T6" i="24"/>
  <c r="T5" i="24"/>
  <c r="T4" i="24"/>
  <c r="T3" i="24"/>
  <c r="T2" i="24"/>
  <c r="T13" i="23"/>
  <c r="T12" i="23"/>
  <c r="T11" i="23"/>
  <c r="T10" i="23"/>
  <c r="T9" i="23"/>
  <c r="T8" i="23"/>
  <c r="T7" i="23"/>
  <c r="T6" i="23"/>
  <c r="T5" i="23"/>
  <c r="T4" i="23"/>
  <c r="T3" i="23"/>
  <c r="T2" i="23"/>
  <c r="T13" i="22"/>
  <c r="T12" i="22"/>
  <c r="T11" i="22"/>
  <c r="T10" i="22"/>
  <c r="T9" i="22"/>
  <c r="T8" i="22"/>
  <c r="T7" i="22"/>
  <c r="T6" i="22"/>
  <c r="T5" i="22"/>
  <c r="T4" i="22"/>
  <c r="T3" i="22"/>
  <c r="T2" i="22"/>
  <c r="T13" i="21"/>
  <c r="T12" i="21"/>
  <c r="T11" i="21"/>
  <c r="T10" i="21"/>
  <c r="T9" i="21"/>
  <c r="T8" i="21"/>
  <c r="T7" i="21"/>
  <c r="T6" i="21"/>
  <c r="T5" i="21"/>
  <c r="T4" i="21"/>
  <c r="T3" i="21"/>
  <c r="T2" i="21"/>
  <c r="T13" i="20"/>
  <c r="T12" i="20"/>
  <c r="T11" i="20"/>
  <c r="T10" i="20"/>
  <c r="T9" i="20"/>
  <c r="T8" i="20"/>
  <c r="T7" i="20"/>
  <c r="T6" i="20"/>
  <c r="T5" i="20"/>
  <c r="T4" i="20"/>
  <c r="T3" i="20"/>
  <c r="T2" i="20"/>
  <c r="T13" i="19"/>
  <c r="T12" i="19"/>
  <c r="T11" i="19"/>
  <c r="T10" i="19"/>
  <c r="T9" i="19"/>
  <c r="T8" i="19"/>
  <c r="T7" i="19"/>
  <c r="T6" i="19"/>
  <c r="T5" i="19"/>
  <c r="T4" i="19"/>
  <c r="T3" i="19"/>
  <c r="T2" i="19"/>
  <c r="T13" i="18"/>
  <c r="T12" i="18"/>
  <c r="T11" i="18"/>
  <c r="T10" i="18"/>
  <c r="T9" i="18"/>
  <c r="T8" i="18"/>
  <c r="T7" i="18"/>
  <c r="T6" i="18"/>
  <c r="T5" i="18"/>
  <c r="T4" i="18"/>
  <c r="T3" i="18"/>
  <c r="T2" i="18"/>
  <c r="T13" i="17"/>
  <c r="T12" i="17"/>
  <c r="T11" i="17"/>
  <c r="T10" i="17"/>
  <c r="T9" i="17"/>
  <c r="T8" i="17"/>
  <c r="T7" i="17"/>
  <c r="T6" i="17"/>
  <c r="T5" i="17"/>
  <c r="T4" i="17"/>
  <c r="T3" i="17"/>
  <c r="T2" i="17"/>
  <c r="T13" i="16"/>
  <c r="T12" i="16"/>
  <c r="T11" i="16"/>
  <c r="T10" i="16"/>
  <c r="T9" i="16"/>
  <c r="T8" i="16"/>
  <c r="T7" i="16"/>
  <c r="T6" i="16"/>
  <c r="T5" i="16"/>
  <c r="T4" i="16"/>
  <c r="T3" i="16"/>
  <c r="T2" i="16"/>
  <c r="T13" i="15"/>
  <c r="T12" i="15"/>
  <c r="T11" i="15"/>
  <c r="T10" i="15"/>
  <c r="T9" i="15"/>
  <c r="T8" i="15"/>
  <c r="T7" i="15"/>
  <c r="T6" i="15"/>
  <c r="T5" i="15"/>
  <c r="T4" i="15"/>
  <c r="T3" i="15"/>
  <c r="T2" i="15"/>
  <c r="T13" i="14"/>
  <c r="T12" i="14"/>
  <c r="T11" i="14"/>
  <c r="T10" i="14"/>
  <c r="T9" i="14"/>
  <c r="T8" i="14"/>
  <c r="T7" i="14"/>
  <c r="T6" i="14"/>
  <c r="T5" i="14"/>
  <c r="T4" i="14"/>
  <c r="T3" i="14"/>
  <c r="T2" i="14"/>
  <c r="T13" i="13"/>
  <c r="T12" i="13"/>
  <c r="T11" i="13"/>
  <c r="T10" i="13"/>
  <c r="T9" i="13"/>
  <c r="T8" i="13"/>
  <c r="T7" i="13"/>
  <c r="T6" i="13"/>
  <c r="T5" i="13"/>
  <c r="T4" i="13"/>
  <c r="T3" i="13"/>
  <c r="T2" i="13"/>
  <c r="T13" i="12"/>
  <c r="T12" i="12"/>
  <c r="T11" i="12"/>
  <c r="T10" i="12"/>
  <c r="T9" i="12"/>
  <c r="T8" i="12"/>
  <c r="T7" i="12"/>
  <c r="T6" i="12"/>
  <c r="T5" i="12"/>
  <c r="T4" i="12"/>
  <c r="T3" i="12"/>
  <c r="T2" i="12"/>
  <c r="T13" i="10"/>
  <c r="T12" i="10"/>
  <c r="T11" i="10"/>
  <c r="T10" i="10"/>
  <c r="T9" i="10"/>
  <c r="T8" i="10"/>
  <c r="T7" i="10"/>
  <c r="T6" i="10"/>
  <c r="T5" i="10"/>
  <c r="T4" i="10"/>
  <c r="T3" i="10"/>
  <c r="T2" i="10"/>
  <c r="T13" i="9"/>
  <c r="T12" i="9"/>
  <c r="T11" i="9"/>
  <c r="T10" i="9"/>
  <c r="T9" i="9"/>
  <c r="T8" i="9"/>
  <c r="T7" i="9"/>
  <c r="T6" i="9"/>
  <c r="T5" i="9"/>
  <c r="T4" i="9"/>
  <c r="T3" i="9"/>
  <c r="T2" i="9"/>
  <c r="T13" i="8"/>
  <c r="T12" i="8"/>
  <c r="T11" i="8"/>
  <c r="T10" i="8"/>
  <c r="T9" i="8"/>
  <c r="T8" i="8"/>
  <c r="T7" i="8"/>
  <c r="T6" i="8"/>
  <c r="T5" i="8"/>
  <c r="T4" i="8"/>
  <c r="T3" i="8"/>
  <c r="T2" i="8"/>
  <c r="T13" i="7"/>
  <c r="T12" i="7"/>
  <c r="T11" i="7"/>
  <c r="T10" i="7"/>
  <c r="T9" i="7"/>
  <c r="T8" i="7"/>
  <c r="T7" i="7"/>
  <c r="T6" i="7"/>
  <c r="T5" i="7"/>
  <c r="T4" i="7"/>
  <c r="T3" i="7"/>
  <c r="T2" i="7"/>
  <c r="T13" i="5"/>
  <c r="T12" i="5"/>
  <c r="T11" i="5"/>
  <c r="T10" i="5"/>
  <c r="T9" i="5"/>
  <c r="T8" i="5"/>
  <c r="T7" i="5"/>
  <c r="T6" i="5"/>
  <c r="T5" i="5"/>
  <c r="T4" i="5"/>
  <c r="T3" i="5"/>
  <c r="T2" i="5"/>
  <c r="U2" i="3"/>
  <c r="AJ2" i="3" s="1"/>
  <c r="T2" i="3"/>
  <c r="AM2" i="3" s="1"/>
  <c r="S2" i="3"/>
  <c r="R2" i="3"/>
  <c r="Q2" i="3"/>
  <c r="AI2" i="3" s="1"/>
  <c r="P2" i="3"/>
  <c r="O2" i="3"/>
  <c r="AN2" i="3" s="1"/>
  <c r="N2" i="3"/>
  <c r="M2" i="3"/>
  <c r="L2" i="3"/>
  <c r="K2" i="3"/>
  <c r="J2" i="3"/>
  <c r="I2" i="3"/>
  <c r="H2" i="3"/>
  <c r="G2" i="3"/>
  <c r="F2" i="3"/>
  <c r="AB2" i="3" s="1"/>
  <c r="E2" i="3"/>
  <c r="Z2" i="3" s="1"/>
  <c r="D2" i="3"/>
  <c r="Y2" i="3" s="1"/>
  <c r="V2" i="3" s="1"/>
  <c r="C2" i="3"/>
  <c r="X2" i="3" s="1"/>
  <c r="B2" i="3"/>
  <c r="A2" i="3"/>
  <c r="W2" i="3" s="1"/>
  <c r="U1" i="3"/>
  <c r="T1" i="3"/>
  <c r="S1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AA343" i="3" l="1"/>
  <c r="AA342" i="3"/>
  <c r="AA338" i="3"/>
  <c r="AA336" i="3"/>
  <c r="AA334" i="3"/>
  <c r="AA331" i="3"/>
  <c r="AA330" i="3"/>
  <c r="AA329" i="3"/>
  <c r="AA328" i="3"/>
  <c r="AA326" i="3"/>
  <c r="AA325" i="3"/>
  <c r="AA324" i="3"/>
  <c r="AA322" i="3"/>
  <c r="AA320" i="3"/>
  <c r="AA318" i="3"/>
  <c r="AA315" i="3"/>
  <c r="AA311" i="3"/>
  <c r="AA306" i="3"/>
  <c r="AA300" i="3"/>
  <c r="AA299" i="3"/>
  <c r="AA297" i="3"/>
  <c r="AA286" i="3"/>
  <c r="AA284" i="3"/>
  <c r="AA282" i="3"/>
  <c r="AA281" i="3"/>
  <c r="AA277" i="3"/>
  <c r="AA275" i="3"/>
  <c r="AA269" i="3"/>
  <c r="AA267" i="3"/>
  <c r="AA264" i="3"/>
  <c r="AA261" i="3"/>
  <c r="AA260" i="3"/>
  <c r="AA259" i="3"/>
  <c r="AA256" i="3"/>
  <c r="AA255" i="3"/>
  <c r="AA254" i="3"/>
  <c r="AA252" i="3"/>
  <c r="AA248" i="3"/>
  <c r="AA243" i="3"/>
  <c r="AA235" i="3"/>
  <c r="AA233" i="3"/>
  <c r="AA229" i="3"/>
  <c r="AA221" i="3"/>
  <c r="AA215" i="3"/>
  <c r="AA207" i="3"/>
  <c r="AA204" i="3"/>
  <c r="AA202" i="3"/>
  <c r="AA200" i="3"/>
  <c r="AA196" i="3"/>
  <c r="AA190" i="3"/>
  <c r="AA182" i="3"/>
  <c r="AA178" i="3"/>
  <c r="AA176" i="3"/>
  <c r="AA172" i="3"/>
  <c r="AA166" i="3"/>
  <c r="AA161" i="3"/>
  <c r="AA152" i="3"/>
  <c r="AA150" i="3"/>
  <c r="AA149" i="3"/>
  <c r="AA148" i="3"/>
  <c r="AA143" i="3"/>
  <c r="AA138" i="3"/>
  <c r="AA136" i="3"/>
  <c r="AA129" i="3"/>
  <c r="AA126" i="3"/>
  <c r="AA125" i="3"/>
  <c r="AA122" i="3"/>
  <c r="AA120" i="3"/>
  <c r="AA118" i="3"/>
  <c r="AA117" i="3"/>
  <c r="AA114" i="3"/>
  <c r="AA113" i="3"/>
  <c r="AA110" i="3"/>
  <c r="AA105" i="3"/>
  <c r="AA103" i="3"/>
  <c r="AA101" i="3"/>
  <c r="AA100" i="3"/>
  <c r="AA97" i="3"/>
  <c r="AA96" i="3"/>
  <c r="AA85" i="3"/>
  <c r="AA83" i="3"/>
  <c r="AA81" i="3"/>
  <c r="AA74" i="3"/>
  <c r="AA71" i="3"/>
  <c r="AA69" i="3"/>
  <c r="AA66" i="3"/>
  <c r="AA65" i="3"/>
  <c r="AA62" i="3"/>
  <c r="AA56" i="3"/>
  <c r="AA54" i="3"/>
  <c r="AA51" i="3"/>
  <c r="AA50" i="3"/>
  <c r="AA49" i="3"/>
  <c r="AA46" i="3"/>
  <c r="AA45" i="3"/>
  <c r="AA44" i="3"/>
  <c r="AA37" i="3"/>
  <c r="AA33" i="3"/>
  <c r="AA32" i="3"/>
  <c r="AA31" i="3"/>
  <c r="AA30" i="3"/>
  <c r="AA28" i="3"/>
  <c r="AA27" i="3"/>
  <c r="AA25" i="3"/>
  <c r="AA23" i="3"/>
  <c r="AA22" i="3"/>
  <c r="AA20" i="3"/>
  <c r="AA18" i="3"/>
  <c r="AA14" i="3"/>
  <c r="AA12" i="3"/>
  <c r="AA8" i="3"/>
  <c r="AA7" i="3"/>
  <c r="AA3" i="3"/>
  <c r="AD2" i="3"/>
  <c r="AE2" i="3"/>
  <c r="AH2" i="3"/>
  <c r="A2" i="29" a="1"/>
  <c r="A2" i="29" s="1"/>
  <c r="A2" i="10" a="1"/>
  <c r="U2" i="10" s="1"/>
  <c r="A2" i="9" a="1"/>
  <c r="U13" i="9" s="1"/>
  <c r="A2" i="21" a="1"/>
  <c r="U12" i="21" s="1"/>
  <c r="A2" i="25" a="1"/>
  <c r="A2" i="25" s="1"/>
  <c r="A2" i="17" a="1"/>
  <c r="U3" i="17" s="1"/>
  <c r="A2" i="8" a="1"/>
  <c r="U9" i="8" s="1"/>
  <c r="A2" i="11" a="1"/>
  <c r="A2" i="11" s="1"/>
  <c r="A2" i="12" a="1"/>
  <c r="U3" i="12" s="1"/>
  <c r="A2" i="5" a="1"/>
  <c r="A2" i="5" s="1"/>
  <c r="A2" i="7" a="1"/>
  <c r="U7" i="7" s="1"/>
  <c r="A2" i="20" a="1"/>
  <c r="U12" i="20" s="1"/>
  <c r="A2" i="13" a="1"/>
  <c r="U11" i="13" s="1"/>
  <c r="A2" i="14" a="1"/>
  <c r="U4" i="14" s="1"/>
  <c r="A2" i="27" a="1"/>
  <c r="U5" i="27" s="1"/>
  <c r="A2" i="32" a="1"/>
  <c r="U11" i="32" s="1"/>
  <c r="A2" i="19" a="1"/>
  <c r="U11" i="19" s="1"/>
  <c r="A2" i="15" a="1"/>
  <c r="U3" i="15" s="1"/>
  <c r="A2" i="22" a="1"/>
  <c r="A2" i="22" s="1"/>
  <c r="A2" i="23" a="1"/>
  <c r="U4" i="23" s="1"/>
  <c r="A2" i="31" a="1"/>
  <c r="U6" i="31" s="1"/>
  <c r="A2" i="24" a="1"/>
  <c r="U9" i="24" s="1"/>
  <c r="A2" i="34" a="1"/>
  <c r="U8" i="34" s="1"/>
  <c r="A2" i="26" a="1"/>
  <c r="U6" i="26" s="1"/>
  <c r="A2" i="30" a="1"/>
  <c r="U2" i="30" s="1"/>
  <c r="A2" i="33" a="1"/>
  <c r="U8" i="33" s="1"/>
  <c r="A2" i="18" a="1"/>
  <c r="U7" i="18" s="1"/>
  <c r="A2" i="28" a="1"/>
  <c r="AA2" i="3"/>
  <c r="U12" i="28" l="1"/>
  <c r="U2" i="28"/>
  <c r="U13" i="24"/>
  <c r="U5" i="34"/>
  <c r="U3" i="23"/>
  <c r="U13" i="7"/>
  <c r="U4" i="32"/>
  <c r="U3" i="24"/>
  <c r="U8" i="13"/>
  <c r="U4" i="7"/>
  <c r="U11" i="34"/>
  <c r="U8" i="27"/>
  <c r="U8" i="18"/>
  <c r="U7" i="10"/>
  <c r="U10" i="34"/>
  <c r="U12" i="26"/>
  <c r="U13" i="17"/>
  <c r="U10" i="9"/>
  <c r="U9" i="34"/>
  <c r="U13" i="23"/>
  <c r="U12" i="17"/>
  <c r="U5" i="10"/>
  <c r="U12" i="27"/>
  <c r="U12" i="19"/>
  <c r="U2" i="33"/>
  <c r="U5" i="24"/>
  <c r="U11" i="18"/>
  <c r="U3" i="13"/>
  <c r="U4" i="27"/>
  <c r="U5" i="20"/>
  <c r="U6" i="9"/>
  <c r="U12" i="32"/>
  <c r="U7" i="22"/>
  <c r="U5" i="7"/>
  <c r="U11" i="30"/>
  <c r="U2" i="23"/>
  <c r="U12" i="12"/>
  <c r="U3" i="34"/>
  <c r="U13" i="26"/>
  <c r="U7" i="17"/>
  <c r="U11" i="9"/>
  <c r="U2" i="34"/>
  <c r="U7" i="23"/>
  <c r="U6" i="15"/>
  <c r="U2" i="9"/>
  <c r="U10" i="33"/>
  <c r="U6" i="23"/>
  <c r="U13" i="15"/>
  <c r="U9" i="9"/>
  <c r="U6" i="24"/>
  <c r="U6" i="19"/>
  <c r="U13" i="31"/>
  <c r="U11" i="23"/>
  <c r="U5" i="18"/>
  <c r="U7" i="12"/>
  <c r="U4" i="26"/>
  <c r="U10" i="18"/>
  <c r="U10" i="8"/>
  <c r="U5" i="32"/>
  <c r="U11" i="21"/>
  <c r="U5" i="30"/>
  <c r="U6" i="22"/>
  <c r="U4" i="12"/>
  <c r="U12" i="33"/>
  <c r="U8" i="24"/>
  <c r="U7" i="15"/>
  <c r="U3" i="9"/>
  <c r="U11" i="33"/>
  <c r="U12" i="22"/>
  <c r="U10" i="14"/>
  <c r="U6" i="8"/>
  <c r="U8" i="32"/>
  <c r="U11" i="22"/>
  <c r="U5" i="15"/>
  <c r="U13" i="8"/>
  <c r="U9" i="33"/>
  <c r="U12" i="23"/>
  <c r="U12" i="18"/>
  <c r="U7" i="31"/>
  <c r="U9" i="22"/>
  <c r="U10" i="17"/>
  <c r="U11" i="10"/>
  <c r="U11" i="24"/>
  <c r="U4" i="18"/>
  <c r="U2" i="8"/>
  <c r="U11" i="28"/>
  <c r="U4" i="20"/>
  <c r="U4" i="28"/>
  <c r="U9" i="19"/>
  <c r="U8" i="10"/>
  <c r="U5" i="33"/>
  <c r="U8" i="23"/>
  <c r="U11" i="14"/>
  <c r="U7" i="8"/>
  <c r="U4" i="33"/>
  <c r="U4" i="22"/>
  <c r="U2" i="14"/>
  <c r="U10" i="7"/>
  <c r="U9" i="30"/>
  <c r="U3" i="22"/>
  <c r="U9" i="14"/>
  <c r="U5" i="8"/>
  <c r="U8" i="31"/>
  <c r="U10" i="22"/>
  <c r="U11" i="17"/>
  <c r="U13" i="30"/>
  <c r="U13" i="21"/>
  <c r="U4" i="17"/>
  <c r="U3" i="10"/>
  <c r="U13" i="32"/>
  <c r="U10" i="23"/>
  <c r="U9" i="17"/>
  <c r="U6" i="7"/>
  <c r="U5" i="28"/>
  <c r="U4" i="19"/>
  <c r="U9" i="27"/>
  <c r="U3" i="19"/>
  <c r="U12" i="9"/>
  <c r="U10" i="32"/>
  <c r="U13" i="22"/>
  <c r="U3" i="14"/>
  <c r="U11" i="7"/>
  <c r="U9" i="32"/>
  <c r="U4" i="21"/>
  <c r="U6" i="13"/>
  <c r="U2" i="7"/>
  <c r="U3" i="30"/>
  <c r="U3" i="21"/>
  <c r="U13" i="13"/>
  <c r="U9" i="7"/>
  <c r="U2" i="31"/>
  <c r="U2" i="22"/>
  <c r="U5" i="17"/>
  <c r="U7" i="30"/>
  <c r="U7" i="21"/>
  <c r="U11" i="15"/>
  <c r="U7" i="9"/>
  <c r="U6" i="32"/>
  <c r="U3" i="27"/>
  <c r="U3" i="18"/>
  <c r="U13" i="33"/>
  <c r="U2" i="27"/>
  <c r="U8" i="15"/>
  <c r="U4" i="9"/>
  <c r="U10" i="31"/>
  <c r="U5" i="22"/>
  <c r="U7" i="13"/>
  <c r="U3" i="7"/>
  <c r="U9" i="28"/>
  <c r="U9" i="20"/>
  <c r="U10" i="12"/>
  <c r="U8" i="28"/>
  <c r="U8" i="20"/>
  <c r="U5" i="13"/>
  <c r="U8" i="30"/>
  <c r="U8" i="21"/>
  <c r="U13" i="28"/>
  <c r="U13" i="20"/>
  <c r="U11" i="8"/>
  <c r="U12" i="31"/>
  <c r="U8" i="22"/>
  <c r="U6" i="12"/>
  <c r="U9" i="26"/>
  <c r="U6" i="33"/>
  <c r="U8" i="26"/>
  <c r="U12" i="14"/>
  <c r="U8" i="8"/>
  <c r="U4" i="31"/>
  <c r="U10" i="20"/>
  <c r="U11" i="12"/>
  <c r="U2" i="20"/>
  <c r="U2" i="12"/>
  <c r="U13" i="27"/>
  <c r="U13" i="19"/>
  <c r="U9" i="12"/>
  <c r="U2" i="21"/>
  <c r="U11" i="27"/>
  <c r="U6" i="20"/>
  <c r="U7" i="14"/>
  <c r="U3" i="8"/>
  <c r="U10" i="10"/>
  <c r="U10" i="24"/>
  <c r="U12" i="7"/>
  <c r="U3" i="28"/>
  <c r="U2" i="19"/>
  <c r="U7" i="27"/>
  <c r="U6" i="10"/>
  <c r="U7" i="19"/>
  <c r="U13" i="10"/>
  <c r="U7" i="28"/>
  <c r="U7" i="20"/>
  <c r="A2" i="28"/>
  <c r="U10" i="28"/>
  <c r="U6" i="28"/>
  <c r="A2" i="18"/>
  <c r="U9" i="18"/>
  <c r="U2" i="18"/>
  <c r="U13" i="18"/>
  <c r="U6" i="18"/>
  <c r="A2" i="33"/>
  <c r="U3" i="33"/>
  <c r="U7" i="33"/>
  <c r="A2" i="30"/>
  <c r="U10" i="30"/>
  <c r="U4" i="30"/>
  <c r="U12" i="30"/>
  <c r="U6" i="30"/>
  <c r="A2" i="26"/>
  <c r="U3" i="26"/>
  <c r="U7" i="26"/>
  <c r="U2" i="26"/>
  <c r="U11" i="26"/>
  <c r="U5" i="26"/>
  <c r="U10" i="26"/>
  <c r="A2" i="34"/>
  <c r="U4" i="34"/>
  <c r="U13" i="34"/>
  <c r="U12" i="34"/>
  <c r="U7" i="34"/>
  <c r="U6" i="34"/>
  <c r="A2" i="24"/>
  <c r="U2" i="24"/>
  <c r="U7" i="24"/>
  <c r="U12" i="24"/>
  <c r="U4" i="24"/>
  <c r="A2" i="31"/>
  <c r="U11" i="31"/>
  <c r="U5" i="31"/>
  <c r="U9" i="31"/>
  <c r="U3" i="31"/>
  <c r="A2" i="23"/>
  <c r="U9" i="23"/>
  <c r="U5" i="23"/>
  <c r="A2" i="15"/>
  <c r="U9" i="15"/>
  <c r="U4" i="15"/>
  <c r="U2" i="15"/>
  <c r="U12" i="15"/>
  <c r="U10" i="15"/>
  <c r="A2" i="19"/>
  <c r="U8" i="19"/>
  <c r="U5" i="19"/>
  <c r="U10" i="19"/>
  <c r="A2" i="32"/>
  <c r="U3" i="32"/>
  <c r="U2" i="32"/>
  <c r="U7" i="32"/>
  <c r="A2" i="27"/>
  <c r="U6" i="27"/>
  <c r="U10" i="27"/>
  <c r="A2" i="14"/>
  <c r="U13" i="14"/>
  <c r="U8" i="14"/>
  <c r="U6" i="14"/>
  <c r="U5" i="14"/>
  <c r="A2" i="13"/>
  <c r="U4" i="13"/>
  <c r="U2" i="13"/>
  <c r="U12" i="13"/>
  <c r="U10" i="13"/>
  <c r="U9" i="13"/>
  <c r="A2" i="20"/>
  <c r="U11" i="20"/>
  <c r="U3" i="20"/>
  <c r="A2" i="7"/>
  <c r="U8" i="7"/>
  <c r="A2" i="12"/>
  <c r="U13" i="12"/>
  <c r="U8" i="12"/>
  <c r="U5" i="12"/>
  <c r="A2" i="8"/>
  <c r="U12" i="8"/>
  <c r="U4" i="8"/>
  <c r="A2" i="17"/>
  <c r="U8" i="17"/>
  <c r="U2" i="17"/>
  <c r="U6" i="17"/>
  <c r="A2" i="21"/>
  <c r="U10" i="21"/>
  <c r="U5" i="21"/>
  <c r="U9" i="21"/>
  <c r="U6" i="21"/>
  <c r="A2" i="9"/>
  <c r="U8" i="9"/>
  <c r="U5" i="9"/>
  <c r="A2" i="10"/>
  <c r="U9" i="10"/>
  <c r="U4" i="10"/>
  <c r="U12" i="10"/>
  <c r="U2" i="5"/>
  <c r="U5" i="5"/>
  <c r="U13" i="5"/>
  <c r="U12" i="5"/>
  <c r="U4" i="5"/>
  <c r="U9" i="5"/>
  <c r="U11" i="5"/>
  <c r="U6" i="5"/>
  <c r="U8" i="5"/>
  <c r="U3" i="5"/>
  <c r="U7" i="5"/>
  <c r="U10" i="5"/>
  <c r="A2" i="16" a="1"/>
  <c r="U10" i="16" l="1"/>
  <c r="U11" i="16"/>
  <c r="U9" i="16"/>
  <c r="U4" i="16"/>
  <c r="U12" i="16"/>
  <c r="U2" i="16"/>
  <c r="U3" i="16"/>
  <c r="A2" i="16"/>
  <c r="U13" i="16"/>
  <c r="U8" i="16"/>
  <c r="U7" i="16"/>
  <c r="U6" i="16"/>
  <c r="U5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<sst xmlns="http://schemas.openxmlformats.org/spreadsheetml/2006/main" count="4470" uniqueCount="925">
  <si>
    <t>N° prog.</t>
  </si>
  <si>
    <t>Settore - area d'attività</t>
  </si>
  <si>
    <t>Fabbricato</t>
  </si>
  <si>
    <t>Numero Cliente</t>
  </si>
  <si>
    <t>Codice POD</t>
  </si>
  <si>
    <t>01</t>
  </si>
  <si>
    <t>Associazioni</t>
  </si>
  <si>
    <t>Centro sociale Pila Riso</t>
  </si>
  <si>
    <t>IT001E04170971</t>
  </si>
  <si>
    <t>02</t>
  </si>
  <si>
    <t>Uffici</t>
  </si>
  <si>
    <t>Sede Municipale</t>
  </si>
  <si>
    <t>IT001E04170966</t>
  </si>
  <si>
    <t>03</t>
  </si>
  <si>
    <t>Torre Porta Prima</t>
  </si>
  <si>
    <t>IT001E04171047</t>
  </si>
  <si>
    <t>04</t>
  </si>
  <si>
    <t>Centro Sociale Bagnarola</t>
  </si>
  <si>
    <t>IT001E04171043</t>
  </si>
  <si>
    <t>05</t>
  </si>
  <si>
    <t>Delegazione</t>
  </si>
  <si>
    <t>IT001E04171034</t>
  </si>
  <si>
    <t>06</t>
  </si>
  <si>
    <t>Polifunzionale Ramuscello</t>
  </si>
  <si>
    <t>IT001E382914830</t>
  </si>
  <si>
    <t>07</t>
  </si>
  <si>
    <t>Auditorium "Don Bosco"</t>
  </si>
  <si>
    <t>IT001E04170953</t>
  </si>
  <si>
    <t>08</t>
  </si>
  <si>
    <t>Magazzino</t>
  </si>
  <si>
    <t>Magazzino Bagnarola</t>
  </si>
  <si>
    <t>IT001E04171039</t>
  </si>
  <si>
    <t>09</t>
  </si>
  <si>
    <t>Centro Sociale Ramuscello</t>
  </si>
  <si>
    <t>IT001E04171009</t>
  </si>
  <si>
    <t>10</t>
  </si>
  <si>
    <t>Cimiteri</t>
  </si>
  <si>
    <t>Area cimiteriale Capoluogo</t>
  </si>
  <si>
    <t>IT001E04170930</t>
  </si>
  <si>
    <t>11</t>
  </si>
  <si>
    <t>Scuole</t>
  </si>
  <si>
    <t>Elementare Capoluogo</t>
  </si>
  <si>
    <t>IT001E04170922</t>
  </si>
  <si>
    <t>12</t>
  </si>
  <si>
    <t>Assistenza</t>
  </si>
  <si>
    <t>Centro Anziani (Ex-Eca)</t>
  </si>
  <si>
    <t>IT001E04170926</t>
  </si>
  <si>
    <t>13</t>
  </si>
  <si>
    <t>Protezione civile</t>
  </si>
  <si>
    <t>Sede Marignana</t>
  </si>
  <si>
    <t>IT001E04171054</t>
  </si>
  <si>
    <t>14</t>
  </si>
  <si>
    <t>Area cimiteriale Bagnarola</t>
  </si>
  <si>
    <t>IT001E04171050</t>
  </si>
  <si>
    <t>15</t>
  </si>
  <si>
    <t>Centro Sociale Versiola</t>
  </si>
  <si>
    <t>IT001E04170962</t>
  </si>
  <si>
    <t>16</t>
  </si>
  <si>
    <t>Area cimiteriale Ramuscello</t>
  </si>
  <si>
    <t>IT001E04171021</t>
  </si>
  <si>
    <t>17</t>
  </si>
  <si>
    <t>Sport</t>
  </si>
  <si>
    <t>Impianto Ramuscello</t>
  </si>
  <si>
    <t>IT001E04171025</t>
  </si>
  <si>
    <t>18</t>
  </si>
  <si>
    <t>Palazzetto Burovich</t>
  </si>
  <si>
    <t>IT001E04170957</t>
  </si>
  <si>
    <t>19</t>
  </si>
  <si>
    <t>Elementare Bagnarola</t>
  </si>
  <si>
    <t>IT001E04183781</t>
  </si>
  <si>
    <t>20</t>
  </si>
  <si>
    <t>Materna Ramuscello</t>
  </si>
  <si>
    <t>IT001E04171013</t>
  </si>
  <si>
    <t>21</t>
  </si>
  <si>
    <t>Impianto tennis Bagnarola</t>
  </si>
  <si>
    <t>IT001E04170980</t>
  </si>
  <si>
    <t>22</t>
  </si>
  <si>
    <t>Media Bagnarola</t>
  </si>
  <si>
    <t>IT001E04170994</t>
  </si>
  <si>
    <t>23</t>
  </si>
  <si>
    <t>Impianto Bagnarola</t>
  </si>
  <si>
    <t>IT001E04170984</t>
  </si>
  <si>
    <t>24</t>
  </si>
  <si>
    <t>Palestra Bagnarola</t>
  </si>
  <si>
    <t>IT001E04170988</t>
  </si>
  <si>
    <t>25</t>
  </si>
  <si>
    <t>Impianto Sesto</t>
  </si>
  <si>
    <t>IT001E04170934</t>
  </si>
  <si>
    <t>26</t>
  </si>
  <si>
    <t>Magazzino Capoluogo</t>
  </si>
  <si>
    <t>IT001E04170940</t>
  </si>
  <si>
    <t>27</t>
  </si>
  <si>
    <t>Ecopiazzole</t>
  </si>
  <si>
    <t>Centro raccolta Capoluogo</t>
  </si>
  <si>
    <t>IT001E34174747</t>
  </si>
  <si>
    <t>28</t>
  </si>
  <si>
    <t>Centro sociale Casette</t>
  </si>
  <si>
    <t>IT001E04171031</t>
  </si>
  <si>
    <t>29</t>
  </si>
  <si>
    <t>Manifestazioni pubbliche</t>
  </si>
  <si>
    <t>IT001E34690694</t>
  </si>
  <si>
    <t>source_file</t>
  </si>
  <si>
    <t>supplier_template</t>
  </si>
  <si>
    <t>supplier_name</t>
  </si>
  <si>
    <t>invoice_number</t>
  </si>
  <si>
    <t>invoice_date</t>
  </si>
  <si>
    <t>due_date</t>
  </si>
  <si>
    <t>customer_name</t>
  </si>
  <si>
    <t>supply_address</t>
  </si>
  <si>
    <t>pod_code</t>
  </si>
  <si>
    <t>tariff_code</t>
  </si>
  <si>
    <t>billing_period_start</t>
  </si>
  <si>
    <t>billing_period_end</t>
  </si>
  <si>
    <t>consumption_kwh</t>
  </si>
  <si>
    <t>consumption_f1_kwh</t>
  </si>
  <si>
    <t>consumption_f2_kwh</t>
  </si>
  <si>
    <t>consumption_f3_kwh</t>
  </si>
  <si>
    <t>reactive_energy_kvarh</t>
  </si>
  <si>
    <t>reactive_energy_f1_kvarh</t>
  </si>
  <si>
    <t>reactive_energy_f2_kvarh</t>
  </si>
  <si>
    <t>reactive_energy_f3_kvarh</t>
  </si>
  <si>
    <t>committed_power_kw</t>
  </si>
  <si>
    <t>available_power_kw</t>
  </si>
  <si>
    <t>total_amount_eur</t>
  </si>
  <si>
    <t>invoice_total_eur</t>
  </si>
  <si>
    <t>bonus_eur</t>
  </si>
  <si>
    <t>energy_cost_eur</t>
  </si>
  <si>
    <t>transport_eur</t>
  </si>
  <si>
    <t>system_charges_eur</t>
  </si>
  <si>
    <t>taxes_eur</t>
  </si>
  <si>
    <t>vat_eur</t>
  </si>
  <si>
    <t>tv_license_eur</t>
  </si>
  <si>
    <t>notes</t>
  </si>
  <si>
    <t>Anno</t>
  </si>
  <si>
    <t>Data  fattura</t>
  </si>
  <si>
    <t>Periodo di riferimento</t>
  </si>
  <si>
    <t>Giorni</t>
  </si>
  <si>
    <t>Consumi totali</t>
  </si>
  <si>
    <t>Fasce orarie di riferimento</t>
  </si>
  <si>
    <t>Consumo energia attiva (prelievi)</t>
  </si>
  <si>
    <t>Consumo energia reattiva (prelievi)</t>
  </si>
  <si>
    <t>cos fi</t>
  </si>
  <si>
    <t>Potenza (prelievo)</t>
  </si>
  <si>
    <t>Corrispettivo uso reti (quota fissa, potenza, energia)</t>
  </si>
  <si>
    <t>Corrispettivo acquisto, vendita, ..</t>
  </si>
  <si>
    <t>Imposte</t>
  </si>
  <si>
    <t>Proventi e oneri diversi</t>
  </si>
  <si>
    <t>IVA 22%</t>
  </si>
  <si>
    <t>Totale Bolletta</t>
  </si>
  <si>
    <t>F1
F2
F3</t>
  </si>
  <si>
    <t>Numero cliente</t>
  </si>
  <si>
    <t>Numero giorni di riferimento</t>
  </si>
  <si>
    <t>safeguard_component_eur</t>
  </si>
  <si>
    <t>confidence</t>
  </si>
  <si>
    <t>confidence_notes</t>
  </si>
  <si>
    <t>005200218706.PDF</t>
  </si>
  <si>
    <t>enel</t>
  </si>
  <si>
    <t>Enel Energia S.p.A.</t>
  </si>
  <si>
    <t>5200218706</t>
  </si>
  <si>
    <t>COMUNE DI SESTO AL REGHENA</t>
  </si>
  <si>
    <t>Piazza IV Novembre 22 33079 Sesto Al Reghena PN</t>
  </si>
  <si>
    <t>Consipee20_Var12_L4</t>
  </si>
  <si>
    <t>ok</t>
  </si>
  <si>
    <t>Campi mancanti: bonus_eur, safeguard_component_eur, tv_license_eur, energy_qty, energy_unit_rate, energy_imponibile_eur, losses_qty, losses_unit_rate, losses_imponibile_eur, dispbt_qty, dispbt_unit_rate, dispbt_imponibile_eur, commercialization_qty, commercialization_unit_rate, commercialization_imponibile_eur, capacity_market_qty, capacity_market_unit_rate, capacity_market_imponibile_eur, dispatching_qty, dispatching_unit_rate, dispatching_imponibile_eur, transport_energy_qty, transport_energy_unit_rate, transport_energy_imponibile_eur, transport_fixed_qty, transport_fixed_unit_rate, transport_fixed_imponibile_eur, transport_power_qty, transport_power_unit_rate, transport_power_imponibile_eur, uc3_qty, uc3_unit_rate, uc3_imponibile_eur, uc6_fixed_qty, uc6_fixed_unit_rate, uc6_fixed_imponibile_eur, uc6_variable_qty, uc6_variable_unit_rate, uc6_variable_imponibile_eur, arim_qty, arim_unit_rate, arim_imponibile_eur, asos_qty, asos_unit_rate, asos_imponibile_eur, excise_qty, excise_unit_rate, excise_imponibile_eur</t>
  </si>
  <si>
    <t>005200218705.PDF</t>
  </si>
  <si>
    <t>5200218705</t>
  </si>
  <si>
    <t>Via Marignana Centro 23 33079 Sesto Al Reghena PN</t>
  </si>
  <si>
    <t>005200218704.PDF</t>
  </si>
  <si>
    <t>5200218704</t>
  </si>
  <si>
    <t>Via Santa Lucia 11 33079 Sesto Al Reghena PN</t>
  </si>
  <si>
    <t>005200218703.PDF</t>
  </si>
  <si>
    <t>5200218703</t>
  </si>
  <si>
    <t>Loc Mure 999 33079 Sesto Al Reghena PN</t>
  </si>
  <si>
    <t>IT001E10631037</t>
  </si>
  <si>
    <t>005200218702.PDF</t>
  </si>
  <si>
    <t>5200218702</t>
  </si>
  <si>
    <t>Piazza Castello 1 33079 Sesto Al Reghena PN</t>
  </si>
  <si>
    <t>campi del template output mancanti: committed_power_kw; alert nelle note per colonne del template: committed_power_kw</t>
  </si>
  <si>
    <t>Campi mancanti: committed_power_kw, bonus_eur, safeguard_component_eur, tv_license_eur, energy_qty, energy_unit_rate, energy_imponibile_eur, losses_qty, losses_unit_rate, losses_imponibile_eur, dispbt_qty, dispbt_unit_rate, dispbt_imponibile_eur, commercialization_qty, commercialization_unit_rate, commercialization_imponibile_eur, capacity_market_qty, capacity_market_unit_rate, capacity_market_imponibile_eur, dispatching_qty, dispatching_unit_rate, dispatching_imponibile_eur, transport_energy_qty, transport_energy_unit_rate, transport_energy_imponibile_eur, transport_fixed_qty, transport_fixed_unit_rate, transport_fixed_imponibile_eur, transport_power_qty, transport_power_unit_rate, transport_power_imponibile_eur, uc3_qty, uc3_unit_rate, uc3_imponibile_eur, uc6_fixed_qty, uc6_fixed_unit_rate, uc6_fixed_imponibile_eur, uc6_variable_qty, uc6_variable_unit_rate, uc6_variable_imponibile_eur, arim_qty, arim_unit_rate, arim_imponibile_eur, asos_qty, asos_unit_rate, asos_imponibile_eur, excise_qty, excise_unit_rate, excise_imponibile_eur</t>
  </si>
  <si>
    <t>005200218701.PDF</t>
  </si>
  <si>
    <t>5200218701</t>
  </si>
  <si>
    <t>Via Julia Concordia 999 33079 Sesto Al Reghena PN</t>
  </si>
  <si>
    <t>005200218700.PDF</t>
  </si>
  <si>
    <t>5200218700</t>
  </si>
  <si>
    <t>Vle Degli Olmi 2 33079 Sesto Al Reghena PN</t>
  </si>
  <si>
    <t>005200218699.PDF</t>
  </si>
  <si>
    <t>5200218699</t>
  </si>
  <si>
    <t>Via Casette 26 33079 Sesto Al Reghena PN</t>
  </si>
  <si>
    <t>005200218698.PDF</t>
  </si>
  <si>
    <t>5200218698</t>
  </si>
  <si>
    <t>Via Montesanto 999 33079 Sesto Al Reghena PN</t>
  </si>
  <si>
    <t>005200218697.PDF</t>
  </si>
  <si>
    <t>5200218697</t>
  </si>
  <si>
    <t>Via Risorgimento 15 33079 Sesto Al Reghena PN</t>
  </si>
  <si>
    <t>005200218696.PDF</t>
  </si>
  <si>
    <t>5200218696</t>
  </si>
  <si>
    <t>Via Piave 8 33079 Sesto Al Reghena PN</t>
  </si>
  <si>
    <t>005200218695.PDF</t>
  </si>
  <si>
    <t>5200218695</t>
  </si>
  <si>
    <t>Via Ippolito Nievo 5 33079 Sesto Al Reghena PN</t>
  </si>
  <si>
    <t>005200218694.PDF</t>
  </si>
  <si>
    <t>5200218694</t>
  </si>
  <si>
    <t>Piazza Cardinale Barbo 3 33079 Sesto Al Reghena PN</t>
  </si>
  <si>
    <t>005200218693.PDF</t>
  </si>
  <si>
    <t>5200218693</t>
  </si>
  <si>
    <t>Vle Degli Olmi 7 33079 Sesto Al Reghena PN</t>
  </si>
  <si>
    <t>005200218692.PDF</t>
  </si>
  <si>
    <t>5200218692</t>
  </si>
  <si>
    <t>Piazza Castello 999 33079 Sesto Al Reghena PN</t>
  </si>
  <si>
    <t>005200218691.PDF</t>
  </si>
  <si>
    <t>5200218691</t>
  </si>
  <si>
    <t>Via Julia Concordia 26 33079 Sesto Al Reghena PN</t>
  </si>
  <si>
    <t>005200218690.PDF</t>
  </si>
  <si>
    <t>5200218690</t>
  </si>
  <si>
    <t>Via Santa Sabina 999 33079 Sesto Al Reghena PN</t>
  </si>
  <si>
    <t>IT001E10911293</t>
  </si>
  <si>
    <t>005200218689.PDF</t>
  </si>
  <si>
    <t>5200218689</t>
  </si>
  <si>
    <t>Vle Degli Olmi 999 33079 Sesto Al Reghena PN</t>
  </si>
  <si>
    <t>005200218688.PDF</t>
  </si>
  <si>
    <t>5200218688</t>
  </si>
  <si>
    <t>Via Cornia 999 33079 Sesto Al Reghena PN</t>
  </si>
  <si>
    <t>IT001E10911003</t>
  </si>
  <si>
    <t>005200218687.PDF</t>
  </si>
  <si>
    <t>5200218687</t>
  </si>
  <si>
    <t>Via Vissignano 8 33079 Sesto Al Reghena PN</t>
  </si>
  <si>
    <t>005200218686.PDF</t>
  </si>
  <si>
    <t>5200218686</t>
  </si>
  <si>
    <t>Via Julia Concordia 27 33079 Sesto Al Reghena PN</t>
  </si>
  <si>
    <t>005200218685.PDF</t>
  </si>
  <si>
    <t>5200218685</t>
  </si>
  <si>
    <t>Piazza Castello 4 33079 Sesto Al Reghena PN</t>
  </si>
  <si>
    <t>005200218684.PDF</t>
  </si>
  <si>
    <t>5200218684</t>
  </si>
  <si>
    <t>Via Giotto Di Bondone 40 33079 Sesto Al Reghena PN</t>
  </si>
  <si>
    <t>005200218683.PDF</t>
  </si>
  <si>
    <t>5200218683</t>
  </si>
  <si>
    <t>Via Piero Gobetti 3 33079 Sesto Al Reghena PN</t>
  </si>
  <si>
    <t>005200218682.PDF</t>
  </si>
  <si>
    <t>5200218682</t>
  </si>
  <si>
    <t>Via Vissignano 10 33079 Sesto Al Reghena PN</t>
  </si>
  <si>
    <t>005200218681.PDF</t>
  </si>
  <si>
    <t>5200218681</t>
  </si>
  <si>
    <t>Via Risorgimento 999 33079 Sesto Al Reghena PN</t>
  </si>
  <si>
    <t>005200218680.PDF</t>
  </si>
  <si>
    <t>5200218680</t>
  </si>
  <si>
    <t>Piazza IV Novembre 18 33079 Sesto Al Reghena PN</t>
  </si>
  <si>
    <t>005200218679.PDF</t>
  </si>
  <si>
    <t>5200218679</t>
  </si>
  <si>
    <t>Via Vissignano 6 33079 Sesto Al Reghena PN</t>
  </si>
  <si>
    <t>005200218678.PDF</t>
  </si>
  <si>
    <t>5200218678</t>
  </si>
  <si>
    <t>Via Roma 1 33079 Sesto Al Reghena PN</t>
  </si>
  <si>
    <t>SIU_FE000120240004102484(5).pdf</t>
  </si>
  <si>
    <t>generic</t>
  </si>
  <si>
    <t>COMUNE DI SESTO AL REGHENA VIA CASTELLO 1 33079 SESTO AL REGHENA PN AGSM AIM ENERGIA SpA - Sede legale e amministrativa</t>
  </si>
  <si>
    <t>13/12/2024</t>
  </si>
  <si>
    <t>; l©indirizzo postale, se diverso dall©indirizzo di fornitura, o di posta elettronica per l©invio della risposta; il servizio a cui si riferisce il reclamo scritto (elettrico, gas, entrambi); il</t>
  </si>
  <si>
    <t>IT001E38235404</t>
  </si>
  <si>
    <t>000592ENVFL01XX-EE_CSP21_L14_V12</t>
  </si>
  <si>
    <t>invoice_date mancante; invoice_total_eur mancante; template fornitore generico o non riconosciuto; fasce consumo F1/F2/F3 mancanti; energia reattiva indicata nel PDF ma non estratta; campi del template output mancanti: invoice_date, consumption_f1_kwh, consumption_f2_kwh, consumption_f3_kwh, reactive_energy_kvarh, reactive_energy_f1_kvarh, reactive_energy_f2_kvarh, reactive_energy_f3_kvarh, invoice_total_eur; alert nelle note per colonne del template: invoice_date, consumption_f1_kwh, consumption_f2_kwh, consumption_f3_kwh, reactive_energy_kvarh, reactive_energy_f1_kvarh, reactive_energy_f2_kvarh, reactive_energy_f3_kvarh, invoice_total_eur; tipo dato non valido: vat_eur</t>
  </si>
  <si>
    <t>Campi mancanti: invoice_date, consumption_f1_kwh, consumption_f2_kwh, consumption_f3_kwh, reactive_energy_kvarh, reactive_energy_f1_kvarh, reactive_energy_f2_kvarh, reactive_energy_f3_kvarh, invoice_total_eur, bonus_eur, safeguard_component_eur, tv_license_eur, energy_qty, energy_unit_rate, energy_imponibile_eur, losses_qty, losses_unit_rate, losses_imponibile_eur, dispbt_qty, dispbt_unit_rate, dispbt_imponibile_eur, commercialization_qty, commercialization_unit_rate, commercialization_imponibile_eur, capacity_market_qty, capacity_market_unit_rate, capacity_market_imponibile_eur, dispatching_qty, dispatching_unit_rate, dispatching_imponibile_eur, transport_energy_qty, transport_energy_unit_rate, transport_energy_imponibile_eur, transport_fixed_qty, transport_fixed_unit_rate, transport_fixed_imponibile_eur, transport_power_qty, transport_power_unit_rate, transport_power_imponibile_eur, uc3_qty, uc3_unit_rate, uc3_imponibile_eur, uc6_fixed_qty, uc6_fixed_unit_rate, uc6_fixed_imponibile_eur, uc6_variable_qty, uc6_variable_unit_rate, uc6_variable_imponibile_eur, arim_qty, arim_unit_rate, arim_imponibile_eur, asos_qty, asos_unit_rate, asos_imponibile_eur, excise_qty, excise_unit_rate, excise_imponibile_eur</t>
  </si>
  <si>
    <t>SIU_FE000120240004101157(2).pdf</t>
  </si>
  <si>
    <t>IT001E38235400</t>
  </si>
  <si>
    <t>005093369293(1).PDF</t>
  </si>
  <si>
    <t>5093369293</t>
  </si>
  <si>
    <t>005093369292.PDF</t>
  </si>
  <si>
    <t>5093369292</t>
  </si>
  <si>
    <t>005093369291.PDF</t>
  </si>
  <si>
    <t>5093369291</t>
  </si>
  <si>
    <t>005093369290.PDF</t>
  </si>
  <si>
    <t>5093369290</t>
  </si>
  <si>
    <t>005093369289.PDF</t>
  </si>
  <si>
    <t>5093369289</t>
  </si>
  <si>
    <t>005093369288.PDF</t>
  </si>
  <si>
    <t>5093369288</t>
  </si>
  <si>
    <t>005093369287.PDF</t>
  </si>
  <si>
    <t>5093369287</t>
  </si>
  <si>
    <t>005093369286.PDF</t>
  </si>
  <si>
    <t>5093369286</t>
  </si>
  <si>
    <t>005093369285.PDF</t>
  </si>
  <si>
    <t>5093369285</t>
  </si>
  <si>
    <t>005093369284.PDF</t>
  </si>
  <si>
    <t>5093369284</t>
  </si>
  <si>
    <t>005093369283.PDF</t>
  </si>
  <si>
    <t>5093369283</t>
  </si>
  <si>
    <t>005093369282(1).PDF</t>
  </si>
  <si>
    <t>5093369282</t>
  </si>
  <si>
    <t>005093369281.PDF</t>
  </si>
  <si>
    <t>5093369281</t>
  </si>
  <si>
    <t>005093369280.PDF</t>
  </si>
  <si>
    <t>5093369280</t>
  </si>
  <si>
    <t>005093369279.PDF</t>
  </si>
  <si>
    <t>5093369279</t>
  </si>
  <si>
    <t>005093369278.PDF</t>
  </si>
  <si>
    <t>5093369278</t>
  </si>
  <si>
    <t>005093369277.PDF</t>
  </si>
  <si>
    <t>5093369277</t>
  </si>
  <si>
    <t>005093369276.PDF</t>
  </si>
  <si>
    <t>5093369276</t>
  </si>
  <si>
    <t>005093369275.PDF</t>
  </si>
  <si>
    <t>5093369275</t>
  </si>
  <si>
    <t>005093369274.PDF</t>
  </si>
  <si>
    <t>5093369274</t>
  </si>
  <si>
    <t>005093369273.PDF</t>
  </si>
  <si>
    <t>5093369273</t>
  </si>
  <si>
    <t>005093369272.PDF</t>
  </si>
  <si>
    <t>5093369272</t>
  </si>
  <si>
    <t>005093369271.PDF</t>
  </si>
  <si>
    <t>5093369271</t>
  </si>
  <si>
    <t>005093369270(1).PDF</t>
  </si>
  <si>
    <t>5093369270</t>
  </si>
  <si>
    <t>005093369269.PDF</t>
  </si>
  <si>
    <t>5093369269</t>
  </si>
  <si>
    <t>005093369268.PDF</t>
  </si>
  <si>
    <t>5093369268</t>
  </si>
  <si>
    <t>005093369267.PDF</t>
  </si>
  <si>
    <t>5093369267</t>
  </si>
  <si>
    <t>005093369266.PDF</t>
  </si>
  <si>
    <t>5093369266</t>
  </si>
  <si>
    <t>005093369265.PDF</t>
  </si>
  <si>
    <t>5093369265</t>
  </si>
  <si>
    <t>005085485059.PDF</t>
  </si>
  <si>
    <t>5085485059</t>
  </si>
  <si>
    <t>005085485058.PDF</t>
  </si>
  <si>
    <t>5085485058</t>
  </si>
  <si>
    <t>005085485057.PDF</t>
  </si>
  <si>
    <t>5085485057</t>
  </si>
  <si>
    <t>005085485056.PDF</t>
  </si>
  <si>
    <t>5085485056</t>
  </si>
  <si>
    <t>005085485055(1).PDF</t>
  </si>
  <si>
    <t>5085485055</t>
  </si>
  <si>
    <t>005085485054.PDF</t>
  </si>
  <si>
    <t>5085485054</t>
  </si>
  <si>
    <t>005085485053.PDF</t>
  </si>
  <si>
    <t>5085485053</t>
  </si>
  <si>
    <t>005085485052.PDF</t>
  </si>
  <si>
    <t>5085485052</t>
  </si>
  <si>
    <t>005085485051.PDF</t>
  </si>
  <si>
    <t>5085485051</t>
  </si>
  <si>
    <t>005085485050.PDF</t>
  </si>
  <si>
    <t>5085485050</t>
  </si>
  <si>
    <t>005085485049.PDF</t>
  </si>
  <si>
    <t>5085485049</t>
  </si>
  <si>
    <t>005085485048.PDF</t>
  </si>
  <si>
    <t>5085485048</t>
  </si>
  <si>
    <t>005085485047.PDF</t>
  </si>
  <si>
    <t>5085485047</t>
  </si>
  <si>
    <t>005085485046.PDF</t>
  </si>
  <si>
    <t>5085485046</t>
  </si>
  <si>
    <t>005085485045(2).PDF</t>
  </si>
  <si>
    <t>5085485045</t>
  </si>
  <si>
    <t>005085485044.PDF</t>
  </si>
  <si>
    <t>5085485044</t>
  </si>
  <si>
    <t>005085485043.PDF</t>
  </si>
  <si>
    <t>5085485043</t>
  </si>
  <si>
    <t>005085485042.PDF</t>
  </si>
  <si>
    <t>5085485042</t>
  </si>
  <si>
    <t>005085485041.PDF</t>
  </si>
  <si>
    <t>5085485041</t>
  </si>
  <si>
    <t>005085485040.PDF</t>
  </si>
  <si>
    <t>5085485040</t>
  </si>
  <si>
    <t>005085485039.PDF</t>
  </si>
  <si>
    <t>5085485039</t>
  </si>
  <si>
    <t>005085485038.PDF</t>
  </si>
  <si>
    <t>5085485038</t>
  </si>
  <si>
    <t>005085485037.PDF</t>
  </si>
  <si>
    <t>5085485037</t>
  </si>
  <si>
    <t>005085485036.PDF</t>
  </si>
  <si>
    <t>5085485036</t>
  </si>
  <si>
    <t>005085485035.PDF</t>
  </si>
  <si>
    <t>5085485035</t>
  </si>
  <si>
    <t>005085485034.PDF</t>
  </si>
  <si>
    <t>5085485034</t>
  </si>
  <si>
    <t>005085485033.PDF</t>
  </si>
  <si>
    <t>5085485033</t>
  </si>
  <si>
    <t>005085485032.PDF</t>
  </si>
  <si>
    <t>5085485032</t>
  </si>
  <si>
    <t>005085485031(1).PDF</t>
  </si>
  <si>
    <t>5085485031</t>
  </si>
  <si>
    <t>005076823030.PDF</t>
  </si>
  <si>
    <t>5076823030</t>
  </si>
  <si>
    <t>005076347802.PDF</t>
  </si>
  <si>
    <t>5076347802</t>
  </si>
  <si>
    <t>005076347801.PDF</t>
  </si>
  <si>
    <t>5076347801</t>
  </si>
  <si>
    <t>005076347799.PDF</t>
  </si>
  <si>
    <t>5076347799</t>
  </si>
  <si>
    <t>005076347798.PDF</t>
  </si>
  <si>
    <t>5076347798</t>
  </si>
  <si>
    <t>005076347797.PDF</t>
  </si>
  <si>
    <t>5076347797</t>
  </si>
  <si>
    <t>005076347796.PDF</t>
  </si>
  <si>
    <t>5076347796</t>
  </si>
  <si>
    <t>005076347795.PDF</t>
  </si>
  <si>
    <t>5076347795</t>
  </si>
  <si>
    <t>005076347794(1).PDF</t>
  </si>
  <si>
    <t>5076347794</t>
  </si>
  <si>
    <t>005076347793.PDF</t>
  </si>
  <si>
    <t>5076347793</t>
  </si>
  <si>
    <t>005076347792.PDF</t>
  </si>
  <si>
    <t>5076347792</t>
  </si>
  <si>
    <t>005076347791(1).PDF</t>
  </si>
  <si>
    <t>5076347791</t>
  </si>
  <si>
    <t>005076347790(1).PDF</t>
  </si>
  <si>
    <t>5076347790</t>
  </si>
  <si>
    <t>005076347789.PDF</t>
  </si>
  <si>
    <t>5076347789</t>
  </si>
  <si>
    <t>005076347788.PDF</t>
  </si>
  <si>
    <t>5076347788</t>
  </si>
  <si>
    <t>005076347787.PDF</t>
  </si>
  <si>
    <t>5076347787</t>
  </si>
  <si>
    <t>005076347786.PDF</t>
  </si>
  <si>
    <t>5076347786</t>
  </si>
  <si>
    <t>005076347784.PDF</t>
  </si>
  <si>
    <t>5076347784</t>
  </si>
  <si>
    <t>005076347783.PDF</t>
  </si>
  <si>
    <t>5076347783</t>
  </si>
  <si>
    <t>005076347782.PDF</t>
  </si>
  <si>
    <t>5076347782</t>
  </si>
  <si>
    <t>005076347781.PDF</t>
  </si>
  <si>
    <t>5076347781</t>
  </si>
  <si>
    <t>005076347780.PDF</t>
  </si>
  <si>
    <t>5076347780</t>
  </si>
  <si>
    <t>005076347779.PDF</t>
  </si>
  <si>
    <t>5076347779</t>
  </si>
  <si>
    <t>005076347778(1).PDF</t>
  </si>
  <si>
    <t>5076347778</t>
  </si>
  <si>
    <t>005076347777.PDF</t>
  </si>
  <si>
    <t>5076347777</t>
  </si>
  <si>
    <t>005076347776.PDF</t>
  </si>
  <si>
    <t>5076347776</t>
  </si>
  <si>
    <t>005076347775(1).PDF</t>
  </si>
  <si>
    <t>5076347775</t>
  </si>
  <si>
    <t>005074545245(1).PDF</t>
  </si>
  <si>
    <t>5074545245</t>
  </si>
  <si>
    <t>005068189120.PDF</t>
  </si>
  <si>
    <t>5068189120</t>
  </si>
  <si>
    <t>005068189119.PDF</t>
  </si>
  <si>
    <t>5068189119</t>
  </si>
  <si>
    <t>005067307623.PDF</t>
  </si>
  <si>
    <t>5067307623</t>
  </si>
  <si>
    <t>005067307622.PDF</t>
  </si>
  <si>
    <t>5067307622</t>
  </si>
  <si>
    <t>005067307621.PDF</t>
  </si>
  <si>
    <t>5067307621</t>
  </si>
  <si>
    <t>005067307620.PDF</t>
  </si>
  <si>
    <t>5067307620</t>
  </si>
  <si>
    <t>005067307619.PDF</t>
  </si>
  <si>
    <t>5067307619</t>
  </si>
  <si>
    <t>005067307618.PDF</t>
  </si>
  <si>
    <t>5067307618</t>
  </si>
  <si>
    <t>005067307617.PDF</t>
  </si>
  <si>
    <t>5067307617</t>
  </si>
  <si>
    <t>005067307616.PDF</t>
  </si>
  <si>
    <t>5067307616</t>
  </si>
  <si>
    <t>005067307615.PDF</t>
  </si>
  <si>
    <t>5067307615</t>
  </si>
  <si>
    <t>005067307614.PDF</t>
  </si>
  <si>
    <t>5067307614</t>
  </si>
  <si>
    <t>005067307613.PDF</t>
  </si>
  <si>
    <t>5067307613</t>
  </si>
  <si>
    <t>005067307612.PDF</t>
  </si>
  <si>
    <t>5067307612</t>
  </si>
  <si>
    <t>005067307611.PDF</t>
  </si>
  <si>
    <t>5067307611</t>
  </si>
  <si>
    <t>005067307610.PDF</t>
  </si>
  <si>
    <t>5067307610</t>
  </si>
  <si>
    <t>005067307609.PDF</t>
  </si>
  <si>
    <t>5067307609</t>
  </si>
  <si>
    <t>005067307608.PDF</t>
  </si>
  <si>
    <t>5067307608</t>
  </si>
  <si>
    <t>005067307607.PDF</t>
  </si>
  <si>
    <t>5067307607</t>
  </si>
  <si>
    <t>005067307606.PDF</t>
  </si>
  <si>
    <t>5067307606</t>
  </si>
  <si>
    <t>005067307605.PDF</t>
  </si>
  <si>
    <t>5067307605</t>
  </si>
  <si>
    <t>005067307604.PDF</t>
  </si>
  <si>
    <t>5067307604</t>
  </si>
  <si>
    <t>005067307603.PDF</t>
  </si>
  <si>
    <t>5067307603</t>
  </si>
  <si>
    <t>005067307602.PDF</t>
  </si>
  <si>
    <t>5067307602</t>
  </si>
  <si>
    <t>005067307601.PDF</t>
  </si>
  <si>
    <t>5067307601</t>
  </si>
  <si>
    <t>005067307600.PDF</t>
  </si>
  <si>
    <t>5067307600</t>
  </si>
  <si>
    <t>005067307599.PDF</t>
  </si>
  <si>
    <t>5067307599</t>
  </si>
  <si>
    <t>005067307598.PDF</t>
  </si>
  <si>
    <t>5067307598</t>
  </si>
  <si>
    <t>005066074815.PDF</t>
  </si>
  <si>
    <t>5066074815</t>
  </si>
  <si>
    <t>005066074814.PDF</t>
  </si>
  <si>
    <t>5066074814</t>
  </si>
  <si>
    <t>005064992990.PDF</t>
  </si>
  <si>
    <t>5064992990</t>
  </si>
  <si>
    <t>005064992989.PDF</t>
  </si>
  <si>
    <t>5064992989</t>
  </si>
  <si>
    <t>005062825963(4).PDF</t>
  </si>
  <si>
    <t>5062825963</t>
  </si>
  <si>
    <t>005062825962.PDF</t>
  </si>
  <si>
    <t>5062825962</t>
  </si>
  <si>
    <t>005062825961.PDF</t>
  </si>
  <si>
    <t>5062825961</t>
  </si>
  <si>
    <t>005059958086.PDF</t>
  </si>
  <si>
    <t>5059958086</t>
  </si>
  <si>
    <t>005059958085.PDF</t>
  </si>
  <si>
    <t>5059958085</t>
  </si>
  <si>
    <t>005059958084.PDF</t>
  </si>
  <si>
    <t>5059958084</t>
  </si>
  <si>
    <t>005059958083(1).PDF</t>
  </si>
  <si>
    <t>5059958083</t>
  </si>
  <si>
    <t>005059958082.PDF</t>
  </si>
  <si>
    <t>5059958082</t>
  </si>
  <si>
    <t>005059958081.PDF</t>
  </si>
  <si>
    <t>5059958081</t>
  </si>
  <si>
    <t>005059958080.PDF</t>
  </si>
  <si>
    <t>5059958080</t>
  </si>
  <si>
    <t>005059958079.PDF</t>
  </si>
  <si>
    <t>5059958079</t>
  </si>
  <si>
    <t>005059958078.PDF</t>
  </si>
  <si>
    <t>5059958078</t>
  </si>
  <si>
    <t>005059958077.PDF</t>
  </si>
  <si>
    <t>5059958077</t>
  </si>
  <si>
    <t>005059958076.PDF</t>
  </si>
  <si>
    <t>5059958076</t>
  </si>
  <si>
    <t>005059958075.PDF</t>
  </si>
  <si>
    <t>5059958075</t>
  </si>
  <si>
    <t>005059958074(1).PDF</t>
  </si>
  <si>
    <t>5059958074</t>
  </si>
  <si>
    <t>005059958073(1).PDF</t>
  </si>
  <si>
    <t>5059958073</t>
  </si>
  <si>
    <t>005059958072.PDF</t>
  </si>
  <si>
    <t>5059958072</t>
  </si>
  <si>
    <t>005059958071.PDF</t>
  </si>
  <si>
    <t>5059958071</t>
  </si>
  <si>
    <t>005059958070.PDF</t>
  </si>
  <si>
    <t>5059958070</t>
  </si>
  <si>
    <t>005059958069.PDF</t>
  </si>
  <si>
    <t>5059958069</t>
  </si>
  <si>
    <t>005059958068.PDF</t>
  </si>
  <si>
    <t>5059958068</t>
  </si>
  <si>
    <t>005059958067(2).PDF</t>
  </si>
  <si>
    <t>5059958067</t>
  </si>
  <si>
    <t>005059958066.PDF</t>
  </si>
  <si>
    <t>5059958066</t>
  </si>
  <si>
    <t>005059958065.PDF</t>
  </si>
  <si>
    <t>5059958065</t>
  </si>
  <si>
    <t>005058667725.PDF</t>
  </si>
  <si>
    <t>5058667725</t>
  </si>
  <si>
    <t>005057542600.PDF</t>
  </si>
  <si>
    <t>5057542600</t>
  </si>
  <si>
    <t>005057542599(1).PDF</t>
  </si>
  <si>
    <t>5057542599</t>
  </si>
  <si>
    <t>005057542598(1).PDF</t>
  </si>
  <si>
    <t>5057542598</t>
  </si>
  <si>
    <t>005054560017.PDF</t>
  </si>
  <si>
    <t>5054560017</t>
  </si>
  <si>
    <t>005054560016.PDF</t>
  </si>
  <si>
    <t>5054560016</t>
  </si>
  <si>
    <t>005052747135(1).PDF</t>
  </si>
  <si>
    <t>5052747135</t>
  </si>
  <si>
    <t>005051431123.PDF</t>
  </si>
  <si>
    <t>5051431123</t>
  </si>
  <si>
    <t>5051431109</t>
  </si>
  <si>
    <t>005051431122.pdf</t>
  </si>
  <si>
    <t>5051431122</t>
  </si>
  <si>
    <t>005051431121(2).PDF</t>
  </si>
  <si>
    <t>5051431121</t>
  </si>
  <si>
    <t>005051431120.PDF</t>
  </si>
  <si>
    <t>5051431120</t>
  </si>
  <si>
    <t>005051431119.PDF</t>
  </si>
  <si>
    <t>5051431119</t>
  </si>
  <si>
    <t>005051431118.PDF</t>
  </si>
  <si>
    <t>5051431118</t>
  </si>
  <si>
    <t>005051431117.PDF</t>
  </si>
  <si>
    <t>5051431117</t>
  </si>
  <si>
    <t>005051431116.PDF</t>
  </si>
  <si>
    <t>5051431116</t>
  </si>
  <si>
    <t>005051431115.PDF</t>
  </si>
  <si>
    <t>5051431115</t>
  </si>
  <si>
    <t>005051431114.PDF</t>
  </si>
  <si>
    <t>5051431114</t>
  </si>
  <si>
    <t>005051431113.pdf</t>
  </si>
  <si>
    <t>5051431113</t>
  </si>
  <si>
    <t>005051431112.PDF</t>
  </si>
  <si>
    <t>5051431112</t>
  </si>
  <si>
    <t>005051431111.PDF</t>
  </si>
  <si>
    <t>5051431111</t>
  </si>
  <si>
    <t>005051431110.PDF</t>
  </si>
  <si>
    <t>5051431110</t>
  </si>
  <si>
    <t>005051431109.PDF</t>
  </si>
  <si>
    <t>005051431108.PDF</t>
  </si>
  <si>
    <t>5051431108</t>
  </si>
  <si>
    <t>005051431107.PDF</t>
  </si>
  <si>
    <t>5051431107</t>
  </si>
  <si>
    <t>005051431106.PDF</t>
  </si>
  <si>
    <t>5051431106</t>
  </si>
  <si>
    <t>005051431105.pdf</t>
  </si>
  <si>
    <t>5051431105</t>
  </si>
  <si>
    <t>005051431104.PDF</t>
  </si>
  <si>
    <t>5051431104</t>
  </si>
  <si>
    <t>005051431103.PDF</t>
  </si>
  <si>
    <t>5051431103</t>
  </si>
  <si>
    <t>005051431102.PDF</t>
  </si>
  <si>
    <t>5051431102</t>
  </si>
  <si>
    <t>005043663112.PDF</t>
  </si>
  <si>
    <t>5043663112</t>
  </si>
  <si>
    <t>005043663111.PDF</t>
  </si>
  <si>
    <t>5043663111</t>
  </si>
  <si>
    <t>005043663110.PDF</t>
  </si>
  <si>
    <t>5043663110</t>
  </si>
  <si>
    <t>005043663109.PDF</t>
  </si>
  <si>
    <t>5043663109</t>
  </si>
  <si>
    <t>005043663108.PDF</t>
  </si>
  <si>
    <t>5043663108</t>
  </si>
  <si>
    <t>005043663107.PDF</t>
  </si>
  <si>
    <t>5043663107</t>
  </si>
  <si>
    <t>005043663106.PDF</t>
  </si>
  <si>
    <t>5043663106</t>
  </si>
  <si>
    <t>005043663105(1).PDF</t>
  </si>
  <si>
    <t>5043663105</t>
  </si>
  <si>
    <t>005043663104.PDF</t>
  </si>
  <si>
    <t>5043663104</t>
  </si>
  <si>
    <t>005043663103.PDF</t>
  </si>
  <si>
    <t>5043663103</t>
  </si>
  <si>
    <t>005043663102(1).PDF</t>
  </si>
  <si>
    <t>5043663102</t>
  </si>
  <si>
    <t>005043663101.PDF</t>
  </si>
  <si>
    <t>5043663101</t>
  </si>
  <si>
    <t>005043663100.PDF</t>
  </si>
  <si>
    <t>5043663100</t>
  </si>
  <si>
    <t>005043663099.PDF</t>
  </si>
  <si>
    <t>5043663099</t>
  </si>
  <si>
    <t>005043663098.PDF</t>
  </si>
  <si>
    <t>5043663098</t>
  </si>
  <si>
    <t>005043663097.PDF</t>
  </si>
  <si>
    <t>5043663097</t>
  </si>
  <si>
    <t>005043663096.PDF</t>
  </si>
  <si>
    <t>5043663096</t>
  </si>
  <si>
    <t>005043663095(2).PDF</t>
  </si>
  <si>
    <t>5043663095</t>
  </si>
  <si>
    <t>005043663094.PDF</t>
  </si>
  <si>
    <t>5043663094</t>
  </si>
  <si>
    <t>005043663093.PDF</t>
  </si>
  <si>
    <t>5043663093</t>
  </si>
  <si>
    <t>005043663092.PDF</t>
  </si>
  <si>
    <t>5043663092</t>
  </si>
  <si>
    <t>005043663091.PDF</t>
  </si>
  <si>
    <t>5043663091</t>
  </si>
  <si>
    <t>005043663090.PDF</t>
  </si>
  <si>
    <t>5043663090</t>
  </si>
  <si>
    <t>005043663089.PDF</t>
  </si>
  <si>
    <t>5043663089</t>
  </si>
  <si>
    <t>005043663088.PDF</t>
  </si>
  <si>
    <t>5043663088</t>
  </si>
  <si>
    <t>005043663087.PDF</t>
  </si>
  <si>
    <t>5043663087</t>
  </si>
  <si>
    <t>005043663086.PDF</t>
  </si>
  <si>
    <t>5043663086</t>
  </si>
  <si>
    <t>005043663085.PDF</t>
  </si>
  <si>
    <t>5043663085</t>
  </si>
  <si>
    <t>005043663084.PDF</t>
  </si>
  <si>
    <t>5043663084</t>
  </si>
  <si>
    <t>005041953254(1).pdf</t>
  </si>
  <si>
    <t>5041953254</t>
  </si>
  <si>
    <t>005041953253(1).pdf</t>
  </si>
  <si>
    <t>5041953253</t>
  </si>
  <si>
    <t>005041953252(1).pdf</t>
  </si>
  <si>
    <t>5041953252</t>
  </si>
  <si>
    <t>005034930246.PDF</t>
  </si>
  <si>
    <t>5034930246</t>
  </si>
  <si>
    <t>005034930245.PDF</t>
  </si>
  <si>
    <t>5034930245</t>
  </si>
  <si>
    <t>005034930244.PDF</t>
  </si>
  <si>
    <t>5034930244</t>
  </si>
  <si>
    <t>005034930242.PDF</t>
  </si>
  <si>
    <t>5034930242</t>
  </si>
  <si>
    <t>005034930241.PDF</t>
  </si>
  <si>
    <t>5034930241</t>
  </si>
  <si>
    <t>005034930240.PDF</t>
  </si>
  <si>
    <t>5034930240</t>
  </si>
  <si>
    <t>005034930239.PDF</t>
  </si>
  <si>
    <t>5034930239</t>
  </si>
  <si>
    <t>005034930238.PDF</t>
  </si>
  <si>
    <t>5034930238</t>
  </si>
  <si>
    <t>005034930237.PDF</t>
  </si>
  <si>
    <t>5034930237</t>
  </si>
  <si>
    <t>005034930236.PDF</t>
  </si>
  <si>
    <t>5034930236</t>
  </si>
  <si>
    <t>005034930235.PDF</t>
  </si>
  <si>
    <t>5034930235</t>
  </si>
  <si>
    <t>005034930234.PDF</t>
  </si>
  <si>
    <t>5034930234</t>
  </si>
  <si>
    <t>005034930233.PDF</t>
  </si>
  <si>
    <t>5034930233</t>
  </si>
  <si>
    <t>005034930232.PDF</t>
  </si>
  <si>
    <t>5034930232</t>
  </si>
  <si>
    <t>005034930231(1).PDF</t>
  </si>
  <si>
    <t>5034930231</t>
  </si>
  <si>
    <t>005034930230.PDF</t>
  </si>
  <si>
    <t>5034930230</t>
  </si>
  <si>
    <t>005034930229.PDF</t>
  </si>
  <si>
    <t>5034930229</t>
  </si>
  <si>
    <t>005034930228.PDF</t>
  </si>
  <si>
    <t>5034930228</t>
  </si>
  <si>
    <t>005034930227.PDF</t>
  </si>
  <si>
    <t>5034930227</t>
  </si>
  <si>
    <t>005034930226.PDF</t>
  </si>
  <si>
    <t>5034930226</t>
  </si>
  <si>
    <t>005034930225.PDF</t>
  </si>
  <si>
    <t>5034930225</t>
  </si>
  <si>
    <t>005034930224.PDF</t>
  </si>
  <si>
    <t>5034930224</t>
  </si>
  <si>
    <t>005034930223.PDF</t>
  </si>
  <si>
    <t>5034930223</t>
  </si>
  <si>
    <t>005034930222.PDF</t>
  </si>
  <si>
    <t>5034930222</t>
  </si>
  <si>
    <t>005034930221.PDF</t>
  </si>
  <si>
    <t>5034930221</t>
  </si>
  <si>
    <t>005032977774(1).pdf</t>
  </si>
  <si>
    <t>5032977774</t>
  </si>
  <si>
    <t>005032977773.pdf</t>
  </si>
  <si>
    <t>5032977773</t>
  </si>
  <si>
    <t>005031183891.pdf</t>
  </si>
  <si>
    <t>5031183891</t>
  </si>
  <si>
    <t>005031183890.pdf</t>
  </si>
  <si>
    <t>5031183890</t>
  </si>
  <si>
    <t>005030508093(1).pdf</t>
  </si>
  <si>
    <t>5030508093</t>
  </si>
  <si>
    <t>005030508092.pdf</t>
  </si>
  <si>
    <t>5030508092</t>
  </si>
  <si>
    <t>005026659976.pdf</t>
  </si>
  <si>
    <t>5026659976</t>
  </si>
  <si>
    <t>005026659975.pdf</t>
  </si>
  <si>
    <t>5026659975</t>
  </si>
  <si>
    <t>005026659974.pdf</t>
  </si>
  <si>
    <t>5026659974</t>
  </si>
  <si>
    <t>005026659973.pdf</t>
  </si>
  <si>
    <t>5026659973</t>
  </si>
  <si>
    <t>005026659972.pdf</t>
  </si>
  <si>
    <t>5026659972</t>
  </si>
  <si>
    <t>005026659971(2).pdf</t>
  </si>
  <si>
    <t>5026659971</t>
  </si>
  <si>
    <t>005026659970.pdf</t>
  </si>
  <si>
    <t>5026659970</t>
  </si>
  <si>
    <t>005026659969.pdf</t>
  </si>
  <si>
    <t>5026659969</t>
  </si>
  <si>
    <t>005026659968.pdf</t>
  </si>
  <si>
    <t>5026659968</t>
  </si>
  <si>
    <t>005026659967(1).pdf</t>
  </si>
  <si>
    <t>5026659967</t>
  </si>
  <si>
    <t>005026659966.pdf</t>
  </si>
  <si>
    <t>5026659966</t>
  </si>
  <si>
    <t>005026659965.pdf</t>
  </si>
  <si>
    <t>5026659965</t>
  </si>
  <si>
    <t>005026659964(1).pdf</t>
  </si>
  <si>
    <t>5026659964</t>
  </si>
  <si>
    <t>005026659963.pdf</t>
  </si>
  <si>
    <t>5026659963</t>
  </si>
  <si>
    <t>005026659962.pdf</t>
  </si>
  <si>
    <t>5026659962</t>
  </si>
  <si>
    <t>005026659961.pdf</t>
  </si>
  <si>
    <t>5026659961</t>
  </si>
  <si>
    <t>005026659960.pdf</t>
  </si>
  <si>
    <t>5026659960</t>
  </si>
  <si>
    <t>005026659959.pdf</t>
  </si>
  <si>
    <t>5026659959</t>
  </si>
  <si>
    <t>005026659958.pdf</t>
  </si>
  <si>
    <t>5026659958</t>
  </si>
  <si>
    <t>005026659957.pdf</t>
  </si>
  <si>
    <t>5026659957</t>
  </si>
  <si>
    <t>005026659956.pdf</t>
  </si>
  <si>
    <t>5026659956</t>
  </si>
  <si>
    <t>005026659955.pdf</t>
  </si>
  <si>
    <t>5026659955</t>
  </si>
  <si>
    <t>005026659954.pdf</t>
  </si>
  <si>
    <t>5026659954</t>
  </si>
  <si>
    <t>005020535985(1).pdf</t>
  </si>
  <si>
    <t>5020535985</t>
  </si>
  <si>
    <t>005018359693.pdf</t>
  </si>
  <si>
    <t>5018359693</t>
  </si>
  <si>
    <t>005018359692.pdf</t>
  </si>
  <si>
    <t>5018359692</t>
  </si>
  <si>
    <t>005018359691.pdf</t>
  </si>
  <si>
    <t>5018359691</t>
  </si>
  <si>
    <t>005018359690.pdf</t>
  </si>
  <si>
    <t>5018359690</t>
  </si>
  <si>
    <t>005018359689.pdf</t>
  </si>
  <si>
    <t>5018359689</t>
  </si>
  <si>
    <t>005018359688.pdf</t>
  </si>
  <si>
    <t>5018359688</t>
  </si>
  <si>
    <t>005018359687.pdf</t>
  </si>
  <si>
    <t>5018359687</t>
  </si>
  <si>
    <t>005018359686.pdf</t>
  </si>
  <si>
    <t>5018359686</t>
  </si>
  <si>
    <t>005018359685.pdf</t>
  </si>
  <si>
    <t>5018359685</t>
  </si>
  <si>
    <t>005018359684.pdf</t>
  </si>
  <si>
    <t>5018359684</t>
  </si>
  <si>
    <t>005018359683.pdf</t>
  </si>
  <si>
    <t>5018359683</t>
  </si>
  <si>
    <t>005018359682.pdf</t>
  </si>
  <si>
    <t>5018359682</t>
  </si>
  <si>
    <t>005018359681.pdf</t>
  </si>
  <si>
    <t>5018359681</t>
  </si>
  <si>
    <t>005018359680.pdf</t>
  </si>
  <si>
    <t>5018359680</t>
  </si>
  <si>
    <t>005018359679.pdf</t>
  </si>
  <si>
    <t>5018359679</t>
  </si>
  <si>
    <t>005018359678.pdf</t>
  </si>
  <si>
    <t>5018359678</t>
  </si>
  <si>
    <t>005018359677.pdf</t>
  </si>
  <si>
    <t>5018359677</t>
  </si>
  <si>
    <t>005018359676.pdf</t>
  </si>
  <si>
    <t>5018359676</t>
  </si>
  <si>
    <t>005018359675.pdf</t>
  </si>
  <si>
    <t>5018359675</t>
  </si>
  <si>
    <t>005018359674.pdf</t>
  </si>
  <si>
    <t>5018359674</t>
  </si>
  <si>
    <t>005018359673.pdf</t>
  </si>
  <si>
    <t>5018359673</t>
  </si>
  <si>
    <t>005018359672.pdf</t>
  </si>
  <si>
    <t>5018359672</t>
  </si>
  <si>
    <t>005018359671.pdf</t>
  </si>
  <si>
    <t>5018359671</t>
  </si>
  <si>
    <t>005018359670.pdf</t>
  </si>
  <si>
    <t>5018359670</t>
  </si>
  <si>
    <t>005018359669.pdf</t>
  </si>
  <si>
    <t>5018359669</t>
  </si>
  <si>
    <t>005018359668.pdf</t>
  </si>
  <si>
    <t>5018359668</t>
  </si>
  <si>
    <t>005018359667.pdf</t>
  </si>
  <si>
    <t>5018359667</t>
  </si>
  <si>
    <t>005018359666.pdf</t>
  </si>
  <si>
    <t>5018359666</t>
  </si>
  <si>
    <t>824500054079_2024_D.PDF</t>
  </si>
  <si>
    <t>a2a</t>
  </si>
  <si>
    <t>A2A Energia S.p.A.</t>
  </si>
  <si>
    <t>824500054079</t>
  </si>
  <si>
    <t>VIA ROMA 1 - 33079 SESTO AL REGHENA PN</t>
  </si>
  <si>
    <t>Salvaguardia</t>
  </si>
  <si>
    <t>Campi mancanti: bonus_eur, tv_license_eur, energy_qty, energy_unit_rate, energy_imponibile_eur, losses_qty, losses_unit_rate, losses_imponibile_eur, dispbt_qty, dispbt_unit_rate, dispbt_imponibile_eur, commercialization_qty, commercialization_unit_rate, commercialization_imponibile_eur, capacity_market_qty, capacity_market_unit_rate, capacity_market_imponibile_eur, dispatching_qty, dispatching_unit_rate, dispatching_imponibile_eur, uc3_qty, uc3_unit_rate, uc3_imponibile_eur, uc6_fixed_qty, uc6_fixed_unit_rate, uc6_fixed_imponibile_eur, uc6_variable_qty, uc6_variable_unit_rate, uc6_variable_imponibile_eur, arim_qty, arim_unit_rate, arim_imponibile_eur, asos_qty, asos_unit_rate, asos_imponibile_eur</t>
  </si>
  <si>
    <t>824500054074_2024_d.pdf</t>
  </si>
  <si>
    <t>824500054074</t>
  </si>
  <si>
    <t>VIA VISSIGNANO 6 - 33079 SESTO AL REGHENA PN</t>
  </si>
  <si>
    <t>824500045940_2024_d.pdf</t>
  </si>
  <si>
    <t>824500045940</t>
  </si>
  <si>
    <t>VIA SANTA LUCIA 11 - 33079 SESTO AL REGHENA PN</t>
  </si>
  <si>
    <t>Campi mancanti: bonus_eur, tv_license_eur, energy_qty, energy_unit_rate, energy_imponibile_eur, losses_qty, losses_unit_rate, losses_imponibile_eur, dispbt_qty, dispbt_unit_rate, dispbt_imponibile_eur, commercialization_qty, commercialization_unit_rate, commercialization_imponibile_eur, capacity_market_qty, capacity_market_unit_rate, capacity_market_imponibile_eur, dispatching_qty, dispatching_unit_rate, dispatching_imponibile_eur, transport_fixed_qty, transport_fixed_unit_rate, transport_fixed_imponibile_eur, uc3_qty, uc3_unit_rate, uc3_imponibile_eur, uc6_fixed_qty, uc6_fixed_unit_rate, uc6_fixed_imponibile_eur, uc6_variable_qty, uc6_variable_unit_rate, uc6_variable_imponibile_eur, arim_qty, arim_unit_rate, arim_imponibile_eur, asos_qty, asos_unit_rate, asos_imponibile_eur</t>
  </si>
  <si>
    <t>824500045939_2024_d.pdf</t>
  </si>
  <si>
    <t>824500045939</t>
  </si>
  <si>
    <t>PIAZZA CARDINALE BARBO 3 - 33079 SESTO AL REGHENA PN</t>
  </si>
  <si>
    <t>Campi mancanti: bonus_eur, safeguard_component_eur, tv_license_eur, energy_qty, energy_unit_rate, energy_imponibile_eur, losses_qty, losses_unit_rate, losses_imponibile_eur, dispbt_qty, dispbt_unit_rate, dispbt_imponibile_eur, commercialization_qty, commercialization_unit_rate, commercialization_imponibile_eur, capacity_market_qty, capacity_market_unit_rate, capacity_market_imponibile_eur, dispatching_qty, dispatching_unit_rate, dispatching_imponibile_eur, transport_energy_qty, transport_energy_unit_rate, transport_energy_imponibile_eur, transport_fixed_qty, transport_fixed_unit_rate, transport_fixed_imponibile_eur, uc3_qty, uc3_unit_rate, uc3_imponibile_eur, uc6_fixed_qty, uc6_fixed_unit_rate, uc6_fixed_imponibile_eur, uc6_variable_qty, uc6_variable_unit_rate, uc6_variable_imponibile_eur, arim_qty, arim_unit_rate, arim_imponibile_eur, asos_qty, asos_unit_rate, asos_imponibile_eur, excise_qty, excise_unit_rate, excise_imponibile_eur</t>
  </si>
  <si>
    <t>824500045938_2024_d.pdf</t>
  </si>
  <si>
    <t>824500045938</t>
  </si>
  <si>
    <t>VIA CASETTE 26 - 33079 SESTO AL REGHENA PN</t>
  </si>
  <si>
    <t>824500045756_2024_d(1).pdf</t>
  </si>
  <si>
    <t>824500045756</t>
  </si>
  <si>
    <t>VIALE DEGLI OLMI SNC - 33079 SESTO AL REGHENA PN</t>
  </si>
  <si>
    <t>824500045755_2024_d.pdf</t>
  </si>
  <si>
    <t>824500045755</t>
  </si>
  <si>
    <t>VIA IPPOLITO NIEVO 5 - 33079 SESTO AL REGHENA PN</t>
  </si>
  <si>
    <t>824500045754_2024_d.pdf</t>
  </si>
  <si>
    <t>824500045754</t>
  </si>
  <si>
    <t>VIALE DEGLI OLMI 2 - 33079 SESTO AL REGHENA PN</t>
  </si>
  <si>
    <t>824500045712_2024_d.pdf</t>
  </si>
  <si>
    <t>824500045712</t>
  </si>
  <si>
    <t>VIA VISSIGNANO 8 - 33079 SESTO AL REGHENA PN</t>
  </si>
  <si>
    <t>824500045711_2024_d.pdf</t>
  </si>
  <si>
    <t>824500045711</t>
  </si>
  <si>
    <t>PIAZZA IV NOVEMBRE 22 - 33079 SESTO AL REGHENA PN</t>
  </si>
  <si>
    <t>824500045678_2024_d.pdf</t>
  </si>
  <si>
    <t>824500045678</t>
  </si>
  <si>
    <t>VIA MARIGNANA CENTRO 23 - 33079 SESTO AL REGHENA PN</t>
  </si>
  <si>
    <t>824500045444_2024_d.pdf</t>
  </si>
  <si>
    <t>824500045444</t>
  </si>
  <si>
    <t>VIA VISSIGNANO 10 - 33079 SESTO AL REGHENA PN</t>
  </si>
  <si>
    <t>824500045443_2024_d.pdf</t>
  </si>
  <si>
    <t>824500045443</t>
  </si>
  <si>
    <t>VIA IULIA CONCORDIA SNC - 33079 SESTO AL REGHENA PN</t>
  </si>
  <si>
    <t>824500045442_2024_d.pdf</t>
  </si>
  <si>
    <t>824500045442</t>
  </si>
  <si>
    <t>VIA RISORGIMENTO 15 - 33079 SESTO AL REGHENA PN</t>
  </si>
  <si>
    <t>824500045415_2024_d.pdf</t>
  </si>
  <si>
    <t>824500045415</t>
  </si>
  <si>
    <t>PIAZZA CASTELLO 4 - 33079 SESTO AL REGHENA PN</t>
  </si>
  <si>
    <t>824500045414_2024_d.pdf</t>
  </si>
  <si>
    <t>824500045414</t>
  </si>
  <si>
    <t>VIA MONTE SANTO SNC - 33079 SESTO AL REGHENA PN</t>
  </si>
  <si>
    <t>824500045373_2024_d.pdf</t>
  </si>
  <si>
    <t>824500045373</t>
  </si>
  <si>
    <t>VIA RISORGIMENTO SNC - 33079 SESTO AL REGHENA PN</t>
  </si>
  <si>
    <t>824500045372_2024_d.pdf</t>
  </si>
  <si>
    <t>824500045372</t>
  </si>
  <si>
    <t>VIA IULIA CONCORDIA 26 - 33079 SESTO AL REGHENA PN</t>
  </si>
  <si>
    <t>824500045371_2024_d(2).pdf</t>
  </si>
  <si>
    <t>824500045371</t>
  </si>
  <si>
    <t>VIA GIOTTO DI BONDONE 40 - 33079 SESTO AL REGHENA PN</t>
  </si>
  <si>
    <t>824500045370_2024_d.pdf</t>
  </si>
  <si>
    <t>824500045370</t>
  </si>
  <si>
    <t>PIAZZA CASTELLO 1 - 33079 SESTO AL REGHENA PN</t>
  </si>
  <si>
    <t>824500045369_2024_d.pdf</t>
  </si>
  <si>
    <t>824500045369</t>
  </si>
  <si>
    <t>VIA PIERO GOBETTI 3 - 33079 SESTO AL REGHENA PN</t>
  </si>
  <si>
    <t>824500041348_2024_d.pdf</t>
  </si>
  <si>
    <t>824500041348</t>
  </si>
  <si>
    <t>VIA IULIA CONCORDIA 27 - 33079 SESTO AL REGHENA PN</t>
  </si>
  <si>
    <t>824500037559_2024_d.pdf</t>
  </si>
  <si>
    <t>824500037559</t>
  </si>
  <si>
    <t>PIAZZA CASTELLO SNC - 33079 SESTO AL REGHENA PN</t>
  </si>
  <si>
    <t>824500037184_2024_d(1).pdf</t>
  </si>
  <si>
    <t>824500037184</t>
  </si>
  <si>
    <t>PIAZZA IV NOVEMBRE 18 - 33079 SESTO AL REGHENA PN</t>
  </si>
  <si>
    <t>824500037183_2024_d.pdf</t>
  </si>
  <si>
    <t>824500037183</t>
  </si>
  <si>
    <t>VIALE DEGLI OLMI 7 - 33079 SESTO AL REGHENA PN</t>
  </si>
  <si>
    <t>824500032716_2024_d(1).pdf</t>
  </si>
  <si>
    <t>824500032716</t>
  </si>
  <si>
    <t>VIA PIAVE 8 - 33079 SESTO AL REGHENA PN</t>
  </si>
  <si>
    <t xml:space="preserve">                      </t>
  </si>
  <si>
    <t xml:space="preserve">                                                                                                              </t>
  </si>
  <si>
    <t xml:space="preserve">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</si>
</sst>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\ \ ###\ \ ###"/>
    <numFmt numFmtId="165" formatCode="##\ \ ###\ \ #\ \ ###\ \ ###\ \ ##"/>
    <numFmt numFmtId="166" formatCode="dd/mm/yyyy"/>
  </numFmts>
  <fonts count="6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rgb="FFFFCC00"/>
        <bgColor rgb="FF000000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3" fillId="4" borderId="0" xfId="0" applyFont="1" applyFill="1" applyAlignment="1">
      <alignment horizontal="left" vertical="center"/>
    </xf>
    <xf numFmtId="14" fontId="3" fillId="4" borderId="0" xfId="0" applyNumberFormat="1" applyFont="1" applyFill="1" applyAlignment="1">
      <alignment horizontal="left" vertical="center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2" borderId="5" xfId="0" applyFont="1" applyFill="1" applyBorder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2" fillId="3" borderId="7" xfId="0" applyFont="1" applyFill="1" applyBorder="1" applyAlignment="1">
      <alignment horizontal="center" wrapText="1"/>
    </xf>
    <xf numFmtId="14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49" fontId="2" fillId="0" borderId="1" xfId="0" applyNumberFormat="1" applyFont="1" applyBorder="1" applyAlignment="1">
      <alignment horizontal="center" wrapText="1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horizontal="center"/>
    </xf>
    <xf numFmtId="164" fontId="1" fillId="0" borderId="1" xfId="0" applyNumberFormat="1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5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166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right"/>
    </xf>
    <xf numFmtId="2" fontId="0" fillId="0" borderId="1" xfId="0" applyNumberFormat="1" applyBorder="1" applyAlignment="1">
      <alignment horizontal="right"/>
    </xf>
    <xf numFmtId="2" fontId="0" fillId="0" borderId="0" xfId="0" applyNumberFormat="1"/>
    <xf numFmtId="166" fontId="0" fillId="0" borderId="0" xfId="0" applyNumberFormat="1" applyAlignment="1">
      <alignment horizontal="center"/>
    </xf>
    <xf numFmtId="0" fontId="0" fillId="0" borderId="1" xfId="0" applyBorder="1"/>
    <xf numFmtId="1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14" fontId="1" fillId="2" borderId="1" xfId="0" applyNumberFormat="1" applyFont="1" applyFill="1" applyBorder="1" applyAlignment="1">
      <alignment horizontal="center" vertical="center" wrapText="1"/>
    </xf>
    <xf numFmtId="0" fontId="0" fillId="0" borderId="8" xfId="0" applyBorder="1"/>
    <xf numFmtId="0" fontId="1" fillId="2" borderId="1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4" xfId="0" applyBorder="1"/>
  </cellXfs>
  <cellStyles count="1">
    <cellStyle name="Normale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17/06/relationships/rdRichValue" Target="richData/rdrichvalue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821267</xdr:colOff>
          <xdr:row>1</xdr:row>
          <xdr:rowOff>55033</xdr:rowOff>
        </xdr:from>
        <xdr:to>
          <xdr:col>7</xdr:col>
          <xdr:colOff>711199</xdr:colOff>
          <xdr:row>9</xdr:row>
          <xdr:rowOff>25400</xdr:rowOff>
        </xdr:to>
        <xdr:grpSp>
          <xdr:nvGrpSpPr>
            <xdr:cNvPr id="2" name="Gruppo 1">
              <a:extLst>
                <a:ext uri="{FF2B5EF4-FFF2-40B4-BE49-F238E27FC236}">
                  <a16:creationId xmlns:a16="http://schemas.microsoft.com/office/drawing/2014/main" id="{E9B402F4-D9C3-EA2C-5F1D-A5CC85F0A98C}"/>
                </a:ext>
              </a:extLst>
            </xdr:cNvPr>
            <xdr:cNvGrpSpPr/>
          </xdr:nvGrpSpPr>
          <xdr:grpSpPr>
            <a:xfrm>
              <a:off x="10843684" y="541866"/>
              <a:ext cx="1540932" cy="1494367"/>
              <a:chOff x="10843684" y="541866"/>
              <a:chExt cx="1540932" cy="1494367"/>
            </a:xfrm>
          </xdr:grpSpPr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0843684" y="1096434"/>
                <a:ext cx="1519767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Aggiorna fogli fabbricati</a:t>
                </a:r>
              </a:p>
            </xdr:txBody>
          </xdr:sp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0856383" y="541866"/>
                <a:ext cx="1528233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it-IT" sz="1000" b="0" i="0" u="none" strike="noStrike" baseline="0">
                    <a:solidFill>
                      <a:srgbClr val="000000"/>
                    </a:solidFill>
                    <a:latin typeface="Arial" pitchFamily="2" charset="0"/>
                    <a:cs typeface="Arial" pitchFamily="2" charset="0"/>
                  </a:rPr>
                  <a:t>Cancella fogli fabbricati</a:t>
                </a:r>
              </a:p>
            </xdr:txBody>
          </xdr:sp>
          <xdr:sp macro="" textlink="">
            <xdr:nvSpPr>
              <xdr:cNvPr id="1028" name="Button 4" descr="Ricalcola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0845801" y="1655233"/>
                <a:ext cx="1524000" cy="381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it-IT" sz="1100" b="0" i="0" u="none" strike="noStrike" baseline="0">
                    <a:solidFill>
                      <a:srgbClr val="000000"/>
                    </a:solidFill>
                    <a:latin typeface="Calibri" pitchFamily="2" charset="0"/>
                    <a:cs typeface="Calibri" pitchFamily="2" charset="0"/>
                  </a:rPr>
                  <a:t>Ricalcola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gianni/Downloads/Bollette/Storico/Audit%20consumi%20elettrici%20-%20dal%202022-1.xls" TargetMode="External"/><Relationship Id="rId1" Type="http://schemas.openxmlformats.org/officeDocument/2006/relationships/externalLinkPath" Target="Storico/Audit%20consumi%20elettrici%20-%20dal%202022-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01"/>
      <sheetName val="02"/>
      <sheetName val="03"/>
      <sheetName val="04"/>
      <sheetName val="05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5"/>
      <sheetName val="26"/>
      <sheetName val="27"/>
      <sheetName val="28"/>
      <sheetName val="29"/>
    </sheetNames>
    <sheetDataSet>
      <sheetData sheetId="0">
        <row r="80">
          <cell r="T80">
            <v>94.22</v>
          </cell>
        </row>
        <row r="83">
          <cell r="T83">
            <v>94.21</v>
          </cell>
        </row>
        <row r="86">
          <cell r="T86">
            <v>94.21</v>
          </cell>
        </row>
        <row r="89">
          <cell r="T89">
            <v>101.37</v>
          </cell>
        </row>
        <row r="92">
          <cell r="T92">
            <v>100.97</v>
          </cell>
        </row>
        <row r="95">
          <cell r="T95">
            <v>100.97</v>
          </cell>
        </row>
        <row r="98">
          <cell r="T98">
            <v>100.97</v>
          </cell>
        </row>
        <row r="101">
          <cell r="T101">
            <v>100.97</v>
          </cell>
        </row>
        <row r="104">
          <cell r="T104">
            <v>100.97</v>
          </cell>
        </row>
        <row r="107">
          <cell r="T107">
            <v>100.97</v>
          </cell>
        </row>
        <row r="110">
          <cell r="T110">
            <v>100.97</v>
          </cell>
        </row>
        <row r="113">
          <cell r="T113">
            <v>100.97</v>
          </cell>
        </row>
      </sheetData>
      <sheetData sheetId="1">
        <row r="80">
          <cell r="T80">
            <v>861.49</v>
          </cell>
        </row>
        <row r="83">
          <cell r="T83">
            <v>672.27</v>
          </cell>
        </row>
        <row r="86">
          <cell r="T86">
            <v>601.75</v>
          </cell>
        </row>
        <row r="89">
          <cell r="T89">
            <v>575.27</v>
          </cell>
        </row>
        <row r="92">
          <cell r="T92">
            <v>487.8</v>
          </cell>
        </row>
        <row r="95">
          <cell r="T95">
            <v>709.23</v>
          </cell>
        </row>
        <row r="98">
          <cell r="T98">
            <v>1604.02</v>
          </cell>
        </row>
        <row r="101">
          <cell r="T101">
            <v>1274.06</v>
          </cell>
        </row>
        <row r="104">
          <cell r="T104">
            <v>801.2</v>
          </cell>
        </row>
        <row r="107">
          <cell r="T107">
            <v>707.97</v>
          </cell>
        </row>
        <row r="110">
          <cell r="T110">
            <v>776.74</v>
          </cell>
        </row>
        <row r="113">
          <cell r="T113">
            <v>959.75</v>
          </cell>
        </row>
      </sheetData>
      <sheetData sheetId="2">
        <row r="80">
          <cell r="T80">
            <v>48.8</v>
          </cell>
        </row>
        <row r="83">
          <cell r="T83">
            <v>43.29</v>
          </cell>
        </row>
        <row r="86">
          <cell r="T86">
            <v>40.549999999999997</v>
          </cell>
        </row>
        <row r="89">
          <cell r="T89">
            <v>37.799999999999997</v>
          </cell>
        </row>
        <row r="92">
          <cell r="T92">
            <v>40.94</v>
          </cell>
        </row>
        <row r="95">
          <cell r="T95">
            <v>34.770000000000003</v>
          </cell>
        </row>
        <row r="98">
          <cell r="T98">
            <v>47.01</v>
          </cell>
        </row>
        <row r="101">
          <cell r="T101">
            <v>47.51</v>
          </cell>
        </row>
        <row r="104">
          <cell r="T104">
            <v>37.03</v>
          </cell>
        </row>
        <row r="107">
          <cell r="T107">
            <v>39.909999999999997</v>
          </cell>
        </row>
        <row r="110">
          <cell r="T110">
            <v>43.36</v>
          </cell>
        </row>
        <row r="113">
          <cell r="T113">
            <v>44.46</v>
          </cell>
        </row>
      </sheetData>
      <sheetData sheetId="3">
        <row r="80">
          <cell r="T80">
            <v>155.33000000000001</v>
          </cell>
        </row>
        <row r="83">
          <cell r="T83">
            <v>91</v>
          </cell>
        </row>
        <row r="86">
          <cell r="T86">
            <v>92.22</v>
          </cell>
        </row>
        <row r="89">
          <cell r="T89">
            <v>93.05</v>
          </cell>
        </row>
        <row r="92">
          <cell r="T92">
            <v>95.77</v>
          </cell>
        </row>
        <row r="95">
          <cell r="T95">
            <v>91.21</v>
          </cell>
        </row>
        <row r="98">
          <cell r="T98">
            <v>94.55</v>
          </cell>
        </row>
        <row r="101">
          <cell r="T101">
            <v>94.54</v>
          </cell>
        </row>
        <row r="104">
          <cell r="T104">
            <v>95.33</v>
          </cell>
        </row>
        <row r="107">
          <cell r="T107">
            <v>105.33</v>
          </cell>
        </row>
        <row r="110">
          <cell r="T110">
            <v>167.66</v>
          </cell>
        </row>
        <row r="113">
          <cell r="T113">
            <v>209.27</v>
          </cell>
        </row>
      </sheetData>
      <sheetData sheetId="4">
        <row r="80">
          <cell r="T80">
            <v>717.36</v>
          </cell>
        </row>
        <row r="83">
          <cell r="T83">
            <v>374.85</v>
          </cell>
        </row>
        <row r="86">
          <cell r="T86">
            <v>270.97000000000003</v>
          </cell>
        </row>
        <row r="89">
          <cell r="T89">
            <v>185.73</v>
          </cell>
        </row>
        <row r="92">
          <cell r="T92">
            <v>119.77</v>
          </cell>
        </row>
        <row r="95">
          <cell r="T95">
            <v>122.48</v>
          </cell>
        </row>
        <row r="98">
          <cell r="T98">
            <v>244.95</v>
          </cell>
        </row>
        <row r="101">
          <cell r="T101">
            <v>237.22</v>
          </cell>
        </row>
        <row r="104">
          <cell r="T104">
            <v>159.47</v>
          </cell>
        </row>
        <row r="107">
          <cell r="T107">
            <v>197.76</v>
          </cell>
        </row>
        <row r="110">
          <cell r="T110">
            <v>394.94</v>
          </cell>
        </row>
        <row r="113">
          <cell r="T113">
            <v>711.99</v>
          </cell>
        </row>
      </sheetData>
      <sheetData sheetId="5">
        <row r="80">
          <cell r="T80">
            <v>108.89</v>
          </cell>
        </row>
        <row r="83">
          <cell r="T83">
            <v>91.95</v>
          </cell>
        </row>
        <row r="86">
          <cell r="T86">
            <v>88.55</v>
          </cell>
        </row>
        <row r="89">
          <cell r="T89">
            <v>75.819999999999993</v>
          </cell>
        </row>
        <row r="92">
          <cell r="T92">
            <v>64.84</v>
          </cell>
        </row>
        <row r="95">
          <cell r="T95">
            <v>54.46</v>
          </cell>
        </row>
        <row r="98">
          <cell r="T98">
            <v>55.89</v>
          </cell>
        </row>
        <row r="101">
          <cell r="T101">
            <v>53.99</v>
          </cell>
        </row>
        <row r="104">
          <cell r="T104">
            <v>54.8</v>
          </cell>
        </row>
        <row r="107">
          <cell r="T107">
            <v>80.040000000000006</v>
          </cell>
        </row>
        <row r="110">
          <cell r="T110">
            <v>108.4</v>
          </cell>
        </row>
        <row r="113">
          <cell r="T113">
            <v>108.43</v>
          </cell>
        </row>
      </sheetData>
      <sheetData sheetId="6">
        <row r="80">
          <cell r="T80">
            <v>289.77</v>
          </cell>
        </row>
        <row r="83">
          <cell r="T83">
            <v>249.97</v>
          </cell>
        </row>
        <row r="86">
          <cell r="T86">
            <v>237.03</v>
          </cell>
        </row>
        <row r="89">
          <cell r="T89">
            <v>231.52</v>
          </cell>
        </row>
        <row r="92">
          <cell r="T92">
            <v>240.79</v>
          </cell>
        </row>
        <row r="95">
          <cell r="T95">
            <v>257.76</v>
          </cell>
        </row>
        <row r="98">
          <cell r="T98">
            <v>315.32</v>
          </cell>
        </row>
        <row r="101">
          <cell r="T101">
            <v>369.49</v>
          </cell>
        </row>
        <row r="104">
          <cell r="T104">
            <v>290.32</v>
          </cell>
        </row>
        <row r="107">
          <cell r="T107">
            <v>305.33999999999997</v>
          </cell>
        </row>
        <row r="110">
          <cell r="T110">
            <v>331.55</v>
          </cell>
        </row>
        <row r="113">
          <cell r="T113">
            <v>351.51</v>
          </cell>
        </row>
      </sheetData>
      <sheetData sheetId="7">
        <row r="80">
          <cell r="T80">
            <v>72.42</v>
          </cell>
        </row>
        <row r="83">
          <cell r="T83">
            <v>50</v>
          </cell>
        </row>
        <row r="86">
          <cell r="T86">
            <v>44.31</v>
          </cell>
        </row>
        <row r="89">
          <cell r="T89">
            <v>44.81</v>
          </cell>
        </row>
        <row r="92">
          <cell r="T92">
            <v>45.31</v>
          </cell>
        </row>
        <row r="95">
          <cell r="T95">
            <v>61.12</v>
          </cell>
        </row>
        <row r="98">
          <cell r="T98">
            <v>47.82</v>
          </cell>
        </row>
        <row r="101">
          <cell r="T101">
            <v>50.18</v>
          </cell>
        </row>
        <row r="104">
          <cell r="T104">
            <v>49.64</v>
          </cell>
        </row>
        <row r="107">
          <cell r="T107">
            <v>52.9</v>
          </cell>
        </row>
        <row r="110">
          <cell r="T110">
            <v>71.87</v>
          </cell>
        </row>
        <row r="113">
          <cell r="T113">
            <v>76.63</v>
          </cell>
        </row>
      </sheetData>
      <sheetData sheetId="8">
        <row r="80">
          <cell r="T80">
            <v>20.86</v>
          </cell>
        </row>
        <row r="83">
          <cell r="T83">
            <v>14.13</v>
          </cell>
        </row>
        <row r="86">
          <cell r="T86">
            <v>14.12</v>
          </cell>
        </row>
        <row r="89">
          <cell r="T89">
            <v>13.71</v>
          </cell>
        </row>
        <row r="92">
          <cell r="T92">
            <v>13.62</v>
          </cell>
        </row>
        <row r="95">
          <cell r="T95">
            <v>14.3</v>
          </cell>
        </row>
        <row r="98">
          <cell r="T98">
            <v>14.15</v>
          </cell>
        </row>
        <row r="101">
          <cell r="T101">
            <v>15.29</v>
          </cell>
        </row>
        <row r="104">
          <cell r="T104">
            <v>13.49</v>
          </cell>
        </row>
        <row r="107">
          <cell r="T107">
            <v>13.99</v>
          </cell>
        </row>
        <row r="110">
          <cell r="T110">
            <v>15.27</v>
          </cell>
        </row>
        <row r="113">
          <cell r="T113">
            <v>15.9</v>
          </cell>
        </row>
      </sheetData>
      <sheetData sheetId="9">
        <row r="80">
          <cell r="T80">
            <v>394.22</v>
          </cell>
        </row>
        <row r="83">
          <cell r="T83">
            <v>272.79000000000002</v>
          </cell>
        </row>
        <row r="86">
          <cell r="T86">
            <v>228.49</v>
          </cell>
        </row>
        <row r="89">
          <cell r="T89">
            <v>174.47</v>
          </cell>
        </row>
        <row r="92">
          <cell r="T92">
            <v>160.78</v>
          </cell>
        </row>
        <row r="95">
          <cell r="T95">
            <v>178.36</v>
          </cell>
        </row>
        <row r="98">
          <cell r="T98">
            <v>148.9</v>
          </cell>
        </row>
        <row r="101">
          <cell r="T101">
            <v>97.03</v>
          </cell>
        </row>
        <row r="104">
          <cell r="T104">
            <v>99.59</v>
          </cell>
        </row>
        <row r="107">
          <cell r="T107">
            <v>167.8</v>
          </cell>
        </row>
        <row r="110">
          <cell r="T110">
            <v>297.68</v>
          </cell>
        </row>
        <row r="113">
          <cell r="T113">
            <v>356.95</v>
          </cell>
        </row>
      </sheetData>
      <sheetData sheetId="10">
        <row r="80">
          <cell r="T80">
            <v>175.55</v>
          </cell>
        </row>
        <row r="83">
          <cell r="T83">
            <v>145.78</v>
          </cell>
        </row>
        <row r="86">
          <cell r="T86">
            <v>149.94</v>
          </cell>
        </row>
        <row r="89">
          <cell r="T89">
            <v>146.08000000000001</v>
          </cell>
        </row>
        <row r="92">
          <cell r="T92">
            <v>151.54</v>
          </cell>
        </row>
        <row r="95">
          <cell r="T95">
            <v>155.11000000000001</v>
          </cell>
        </row>
        <row r="98">
          <cell r="T98">
            <v>136.77000000000001</v>
          </cell>
        </row>
        <row r="101">
          <cell r="T101">
            <v>147.36000000000001</v>
          </cell>
        </row>
        <row r="104">
          <cell r="T104">
            <v>176.35</v>
          </cell>
        </row>
        <row r="107">
          <cell r="T107">
            <v>227.51</v>
          </cell>
        </row>
        <row r="110">
          <cell r="T110">
            <v>277.62</v>
          </cell>
        </row>
        <row r="113">
          <cell r="T113">
            <v>361.06</v>
          </cell>
        </row>
      </sheetData>
      <sheetData sheetId="11">
        <row r="80">
          <cell r="T80">
            <v>137.65</v>
          </cell>
        </row>
        <row r="83">
          <cell r="T83">
            <v>110.65</v>
          </cell>
        </row>
        <row r="86">
          <cell r="T86">
            <v>108.47</v>
          </cell>
        </row>
        <row r="89">
          <cell r="T89">
            <v>99.17</v>
          </cell>
        </row>
        <row r="92">
          <cell r="T92">
            <v>105.69</v>
          </cell>
        </row>
        <row r="95">
          <cell r="T95">
            <v>109.76</v>
          </cell>
        </row>
        <row r="98">
          <cell r="T98">
            <v>108.67</v>
          </cell>
        </row>
        <row r="101">
          <cell r="T101">
            <v>113.89</v>
          </cell>
        </row>
        <row r="104">
          <cell r="T104">
            <v>107.43</v>
          </cell>
        </row>
        <row r="107">
          <cell r="T107">
            <v>115.38</v>
          </cell>
        </row>
        <row r="110">
          <cell r="T110">
            <v>198.49</v>
          </cell>
        </row>
        <row r="113">
          <cell r="T113">
            <v>157.36000000000001</v>
          </cell>
        </row>
      </sheetData>
      <sheetData sheetId="12">
        <row r="80">
          <cell r="T80">
            <v>81.33</v>
          </cell>
        </row>
        <row r="83">
          <cell r="T83">
            <v>62.35</v>
          </cell>
        </row>
        <row r="86">
          <cell r="T86">
            <v>60.01</v>
          </cell>
        </row>
        <row r="89">
          <cell r="T89">
            <v>55.88</v>
          </cell>
        </row>
        <row r="92">
          <cell r="T92">
            <v>55.17</v>
          </cell>
        </row>
        <row r="95">
          <cell r="T95">
            <v>53.77</v>
          </cell>
        </row>
        <row r="98">
          <cell r="T98">
            <v>59.18</v>
          </cell>
        </row>
        <row r="101">
          <cell r="T101">
            <v>64.62</v>
          </cell>
        </row>
        <row r="104">
          <cell r="T104">
            <v>58.1</v>
          </cell>
        </row>
        <row r="107">
          <cell r="T107">
            <v>66.099999999999994</v>
          </cell>
        </row>
        <row r="110">
          <cell r="T110">
            <v>73.41</v>
          </cell>
        </row>
        <row r="113">
          <cell r="T113">
            <v>76.25</v>
          </cell>
        </row>
      </sheetData>
      <sheetData sheetId="13">
        <row r="80">
          <cell r="T80">
            <v>59.05</v>
          </cell>
        </row>
        <row r="83">
          <cell r="T83">
            <v>54.99</v>
          </cell>
        </row>
        <row r="86">
          <cell r="T86">
            <v>48.9</v>
          </cell>
        </row>
        <row r="89">
          <cell r="T89">
            <v>49.5</v>
          </cell>
        </row>
        <row r="92">
          <cell r="T92">
            <v>51.64</v>
          </cell>
        </row>
        <row r="95">
          <cell r="T95">
            <v>53.25</v>
          </cell>
        </row>
        <row r="98">
          <cell r="T98">
            <v>55.88</v>
          </cell>
        </row>
        <row r="101">
          <cell r="T101">
            <v>59.84</v>
          </cell>
        </row>
        <row r="104">
          <cell r="T104">
            <v>57.91</v>
          </cell>
        </row>
        <row r="107">
          <cell r="T107">
            <v>54.58</v>
          </cell>
        </row>
        <row r="110">
          <cell r="T110">
            <v>57.83</v>
          </cell>
        </row>
        <row r="113">
          <cell r="T113">
            <v>52.78</v>
          </cell>
        </row>
      </sheetData>
      <sheetData sheetId="14">
        <row r="80">
          <cell r="T80">
            <v>66.23</v>
          </cell>
        </row>
        <row r="83">
          <cell r="T83">
            <v>56.13</v>
          </cell>
        </row>
        <row r="86">
          <cell r="T86">
            <v>47.46</v>
          </cell>
        </row>
        <row r="89">
          <cell r="T89">
            <v>39.42</v>
          </cell>
        </row>
        <row r="92">
          <cell r="T92">
            <v>43.92</v>
          </cell>
        </row>
        <row r="95">
          <cell r="T95">
            <v>40.92</v>
          </cell>
        </row>
        <row r="98">
          <cell r="T98">
            <v>39.72</v>
          </cell>
        </row>
        <row r="101">
          <cell r="T101">
            <v>36.53</v>
          </cell>
        </row>
        <row r="104">
          <cell r="T104">
            <v>32.53</v>
          </cell>
        </row>
        <row r="107">
          <cell r="T107">
            <v>36.08</v>
          </cell>
        </row>
        <row r="110">
          <cell r="T110">
            <v>36.99</v>
          </cell>
        </row>
        <row r="113">
          <cell r="T113">
            <v>39.67</v>
          </cell>
        </row>
      </sheetData>
      <sheetData sheetId="15">
        <row r="80">
          <cell r="T80">
            <v>1006.73</v>
          </cell>
        </row>
        <row r="83">
          <cell r="T83">
            <v>760.95</v>
          </cell>
        </row>
        <row r="86">
          <cell r="T86">
            <v>829.32</v>
          </cell>
        </row>
        <row r="89">
          <cell r="T89">
            <v>734.85</v>
          </cell>
        </row>
        <row r="92">
          <cell r="T92">
            <v>423.51</v>
          </cell>
        </row>
        <row r="95">
          <cell r="T95">
            <v>312.60000000000002</v>
          </cell>
        </row>
        <row r="98">
          <cell r="T98">
            <v>551.91999999999996</v>
          </cell>
        </row>
        <row r="101">
          <cell r="T101">
            <v>818.11</v>
          </cell>
        </row>
        <row r="104">
          <cell r="T104">
            <v>778.68</v>
          </cell>
        </row>
        <row r="107">
          <cell r="T107">
            <v>791.54</v>
          </cell>
        </row>
        <row r="110">
          <cell r="T110">
            <v>804.27</v>
          </cell>
        </row>
        <row r="113">
          <cell r="T113">
            <v>886.77</v>
          </cell>
        </row>
      </sheetData>
      <sheetData sheetId="16">
        <row r="80">
          <cell r="T80">
            <v>950.03</v>
          </cell>
        </row>
        <row r="83">
          <cell r="T83">
            <v>866.94</v>
          </cell>
        </row>
        <row r="86">
          <cell r="T86">
            <v>649.69000000000005</v>
          </cell>
        </row>
        <row r="89">
          <cell r="T89">
            <v>603.12</v>
          </cell>
        </row>
        <row r="92">
          <cell r="T92">
            <v>588.92999999999995</v>
          </cell>
        </row>
        <row r="95">
          <cell r="T95">
            <v>964.28</v>
          </cell>
        </row>
        <row r="98">
          <cell r="T98">
            <v>2589.8000000000002</v>
          </cell>
        </row>
        <row r="101">
          <cell r="T101">
            <v>1514.87</v>
          </cell>
        </row>
        <row r="104">
          <cell r="T104">
            <v>984.43</v>
          </cell>
        </row>
        <row r="107">
          <cell r="T107">
            <v>776.15</v>
          </cell>
        </row>
        <row r="110">
          <cell r="T110">
            <v>1027.31</v>
          </cell>
        </row>
        <row r="113">
          <cell r="T113">
            <v>1078.6099999999999</v>
          </cell>
        </row>
      </sheetData>
      <sheetData sheetId="17">
        <row r="80">
          <cell r="T80">
            <v>1243.5899999999999</v>
          </cell>
        </row>
        <row r="83">
          <cell r="T83">
            <v>1024.1300000000001</v>
          </cell>
        </row>
        <row r="86">
          <cell r="T86">
            <v>899.57</v>
          </cell>
        </row>
        <row r="89">
          <cell r="T89">
            <v>700.55</v>
          </cell>
        </row>
        <row r="92">
          <cell r="T92">
            <v>785.36</v>
          </cell>
        </row>
        <row r="95">
          <cell r="T95">
            <v>358.22</v>
          </cell>
        </row>
        <row r="98">
          <cell r="T98">
            <v>193.94</v>
          </cell>
        </row>
        <row r="101">
          <cell r="T101">
            <v>177.68</v>
          </cell>
        </row>
        <row r="104">
          <cell r="T104">
            <v>679.22</v>
          </cell>
        </row>
        <row r="107">
          <cell r="T107">
            <v>1293</v>
          </cell>
        </row>
        <row r="110">
          <cell r="T110">
            <v>1326.15</v>
          </cell>
        </row>
        <row r="113">
          <cell r="T113">
            <v>1297.53</v>
          </cell>
        </row>
      </sheetData>
      <sheetData sheetId="18"/>
      <sheetData sheetId="19">
        <row r="80">
          <cell r="T80">
            <v>98.42</v>
          </cell>
        </row>
        <row r="83">
          <cell r="T83">
            <v>95.27</v>
          </cell>
        </row>
        <row r="86">
          <cell r="T86">
            <v>95.26</v>
          </cell>
        </row>
        <row r="89">
          <cell r="T89">
            <v>121.18</v>
          </cell>
        </row>
        <row r="92">
          <cell r="T92">
            <v>133.54</v>
          </cell>
        </row>
        <row r="95">
          <cell r="T95">
            <v>143.34</v>
          </cell>
        </row>
        <row r="98">
          <cell r="T98">
            <v>158.91</v>
          </cell>
        </row>
        <row r="101">
          <cell r="T101">
            <v>170.78</v>
          </cell>
        </row>
        <row r="104">
          <cell r="T104">
            <v>144.11000000000001</v>
          </cell>
        </row>
        <row r="107">
          <cell r="T107">
            <v>159.11000000000001</v>
          </cell>
        </row>
        <row r="110">
          <cell r="T110">
            <v>141.06</v>
          </cell>
        </row>
        <row r="113">
          <cell r="T113">
            <v>102.08</v>
          </cell>
        </row>
      </sheetData>
      <sheetData sheetId="20">
        <row r="80">
          <cell r="T80">
            <v>784.58</v>
          </cell>
        </row>
        <row r="83">
          <cell r="T83">
            <v>653.22</v>
          </cell>
        </row>
        <row r="86">
          <cell r="T86">
            <v>624.71</v>
          </cell>
        </row>
        <row r="89">
          <cell r="T89">
            <v>528.99</v>
          </cell>
        </row>
        <row r="92">
          <cell r="T92">
            <v>527.25</v>
          </cell>
        </row>
        <row r="95">
          <cell r="T95">
            <v>444.93</v>
          </cell>
        </row>
        <row r="98">
          <cell r="T98">
            <v>323.35000000000002</v>
          </cell>
        </row>
        <row r="101">
          <cell r="T101">
            <v>317</v>
          </cell>
        </row>
        <row r="104">
          <cell r="T104">
            <v>524.09</v>
          </cell>
        </row>
        <row r="107">
          <cell r="T107">
            <v>750.97</v>
          </cell>
        </row>
        <row r="110">
          <cell r="T110">
            <v>703.35</v>
          </cell>
        </row>
        <row r="113">
          <cell r="T113">
            <v>753.01</v>
          </cell>
        </row>
      </sheetData>
      <sheetData sheetId="21">
        <row r="80">
          <cell r="T80">
            <v>1416.43</v>
          </cell>
        </row>
        <row r="83">
          <cell r="T83">
            <v>1074.8800000000001</v>
          </cell>
        </row>
        <row r="86">
          <cell r="T86">
            <v>1054.68</v>
          </cell>
        </row>
        <row r="89">
          <cell r="T89">
            <v>861.33</v>
          </cell>
        </row>
        <row r="92">
          <cell r="T92">
            <v>923.98</v>
          </cell>
        </row>
        <row r="95">
          <cell r="T95">
            <v>591.47</v>
          </cell>
        </row>
        <row r="98">
          <cell r="T98">
            <v>1207.01</v>
          </cell>
        </row>
        <row r="101">
          <cell r="T101">
            <v>584.37</v>
          </cell>
        </row>
        <row r="104">
          <cell r="T104">
            <v>579.29999999999995</v>
          </cell>
        </row>
        <row r="107">
          <cell r="T107">
            <v>1082.1400000000001</v>
          </cell>
        </row>
        <row r="110">
          <cell r="T110">
            <v>1340.9</v>
          </cell>
        </row>
        <row r="113">
          <cell r="T113">
            <v>1779.11</v>
          </cell>
        </row>
      </sheetData>
      <sheetData sheetId="22">
        <row r="80">
          <cell r="T80">
            <v>1846.17</v>
          </cell>
        </row>
        <row r="83">
          <cell r="T83">
            <v>1374.18</v>
          </cell>
        </row>
        <row r="86">
          <cell r="T86">
            <v>1149.6500000000001</v>
          </cell>
        </row>
        <row r="89">
          <cell r="T89">
            <v>771.76</v>
          </cell>
        </row>
        <row r="92">
          <cell r="T92">
            <v>531.02</v>
          </cell>
        </row>
        <row r="95">
          <cell r="T95">
            <v>382.03</v>
          </cell>
        </row>
        <row r="98">
          <cell r="T98">
            <v>693.58</v>
          </cell>
        </row>
        <row r="101">
          <cell r="T101">
            <v>909.96</v>
          </cell>
        </row>
        <row r="104">
          <cell r="T104">
            <v>877.83</v>
          </cell>
        </row>
        <row r="107">
          <cell r="T107">
            <v>1004.57</v>
          </cell>
        </row>
        <row r="110">
          <cell r="T110">
            <v>1439.67</v>
          </cell>
        </row>
        <row r="113">
          <cell r="T113">
            <v>1628.43</v>
          </cell>
        </row>
      </sheetData>
      <sheetData sheetId="23">
        <row r="80">
          <cell r="T80">
            <v>75.209999999999994</v>
          </cell>
        </row>
        <row r="83">
          <cell r="T83">
            <v>63.96</v>
          </cell>
        </row>
        <row r="86">
          <cell r="T86">
            <v>75.48</v>
          </cell>
        </row>
        <row r="89">
          <cell r="T89">
            <v>70.430000000000007</v>
          </cell>
        </row>
        <row r="92">
          <cell r="T92">
            <v>55.56</v>
          </cell>
        </row>
        <row r="95">
          <cell r="T95">
            <v>69.31</v>
          </cell>
        </row>
        <row r="98">
          <cell r="T98">
            <v>112.29</v>
          </cell>
        </row>
        <row r="101">
          <cell r="T101">
            <v>113.83</v>
          </cell>
        </row>
        <row r="104">
          <cell r="T104">
            <v>66.03</v>
          </cell>
        </row>
        <row r="107">
          <cell r="T107">
            <v>70.09</v>
          </cell>
        </row>
        <row r="110">
          <cell r="T110">
            <v>76.099999999999994</v>
          </cell>
        </row>
        <row r="113">
          <cell r="T113">
            <v>64.34</v>
          </cell>
        </row>
      </sheetData>
      <sheetData sheetId="24">
        <row r="80">
          <cell r="T80">
            <v>28.66</v>
          </cell>
        </row>
        <row r="83">
          <cell r="T83">
            <v>26.79</v>
          </cell>
        </row>
        <row r="86">
          <cell r="T86">
            <v>27.16</v>
          </cell>
        </row>
        <row r="89">
          <cell r="T89">
            <v>28.32</v>
          </cell>
        </row>
        <row r="92">
          <cell r="T92">
            <v>27.91</v>
          </cell>
        </row>
        <row r="95">
          <cell r="T95">
            <v>27.55</v>
          </cell>
        </row>
        <row r="98">
          <cell r="T98">
            <v>27.61</v>
          </cell>
        </row>
        <row r="101">
          <cell r="T101">
            <v>25.03</v>
          </cell>
        </row>
        <row r="104">
          <cell r="T104">
            <v>27.84</v>
          </cell>
        </row>
        <row r="107">
          <cell r="T107">
            <v>28.39</v>
          </cell>
        </row>
        <row r="110">
          <cell r="T110">
            <v>28.26</v>
          </cell>
        </row>
        <row r="113">
          <cell r="T113">
            <v>29.32</v>
          </cell>
        </row>
      </sheetData>
      <sheetData sheetId="25">
        <row r="80">
          <cell r="T80">
            <v>82.59</v>
          </cell>
        </row>
        <row r="83">
          <cell r="T83">
            <v>27.28</v>
          </cell>
        </row>
        <row r="86">
          <cell r="T86">
            <v>32.229999999999997</v>
          </cell>
        </row>
        <row r="89">
          <cell r="T89">
            <v>33.869999999999997</v>
          </cell>
        </row>
        <row r="92">
          <cell r="T92">
            <v>34.770000000000003</v>
          </cell>
        </row>
        <row r="95">
          <cell r="T95">
            <v>36.97</v>
          </cell>
        </row>
        <row r="98">
          <cell r="T98">
            <v>38.340000000000003</v>
          </cell>
        </row>
        <row r="101">
          <cell r="T101">
            <v>31.15</v>
          </cell>
        </row>
        <row r="104">
          <cell r="T104">
            <v>34.11</v>
          </cell>
        </row>
        <row r="107">
          <cell r="T107">
            <v>25.95</v>
          </cell>
        </row>
        <row r="110">
          <cell r="T110">
            <v>35.700000000000003</v>
          </cell>
        </row>
        <row r="113">
          <cell r="T113">
            <v>48.48</v>
          </cell>
        </row>
      </sheetData>
      <sheetData sheetId="26">
        <row r="80">
          <cell r="T80">
            <v>309.98</v>
          </cell>
        </row>
        <row r="83">
          <cell r="T83">
            <v>202.41</v>
          </cell>
        </row>
        <row r="86">
          <cell r="T86">
            <v>220.42</v>
          </cell>
        </row>
        <row r="89">
          <cell r="T89">
            <v>188.64</v>
          </cell>
        </row>
        <row r="92">
          <cell r="T92">
            <v>197.64</v>
          </cell>
        </row>
        <row r="95">
          <cell r="T95">
            <v>264.69</v>
          </cell>
        </row>
        <row r="98">
          <cell r="T98">
            <v>948.2</v>
          </cell>
        </row>
        <row r="101">
          <cell r="T101">
            <v>275.85000000000002</v>
          </cell>
        </row>
        <row r="104">
          <cell r="T104">
            <v>293.27999999999997</v>
          </cell>
        </row>
        <row r="107">
          <cell r="T107">
            <v>281.04000000000002</v>
          </cell>
        </row>
        <row r="110">
          <cell r="T110">
            <v>325.64</v>
          </cell>
        </row>
        <row r="113">
          <cell r="T113">
            <v>488.5</v>
          </cell>
        </row>
      </sheetData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E30"/>
  <sheetViews>
    <sheetView topLeftCell="A2" zoomScale="120" zoomScaleNormal="120" workbookViewId="0">
      <selection activeCell="E28" sqref="E28"/>
    </sheetView>
  </sheetViews>
  <sheetFormatPr baseColWidth="10" defaultRowHeight="15" x14ac:dyDescent="0.2"/>
  <cols>
    <col min="1" max="1" width="18.6640625" customWidth="1"/>
    <col min="2" max="2" width="25.5" customWidth="1"/>
    <col min="3" max="3" width="33" customWidth="1"/>
    <col min="4" max="4" width="26.83203125" customWidth="1"/>
    <col min="5" max="5" width="27.5" customWidth="1"/>
  </cols>
  <sheetData>
    <row r="1" spans="1:5" ht="38" customHeight="1" x14ac:dyDescent="0.2">
      <c r="A1" s="25" t="s">
        <v>0</v>
      </c>
      <c r="B1" s="25" t="s">
        <v>1</v>
      </c>
      <c r="C1" s="26" t="s">
        <v>2</v>
      </c>
      <c r="D1" s="26" t="s">
        <v>3</v>
      </c>
      <c r="E1" s="26" t="s">
        <v>4</v>
      </c>
    </row>
    <row r="2" spans="1:5" x14ac:dyDescent="0.2">
      <c r="A2" s="20" t="s">
        <v>5</v>
      </c>
      <c r="B2" s="21" t="s">
        <v>6</v>
      </c>
      <c r="C2" s="22" t="s">
        <v>7</v>
      </c>
      <c r="D2" s="23">
        <v>382910133</v>
      </c>
      <c r="E2" s="24" t="s">
        <v>8</v>
      </c>
    </row>
    <row r="3" spans="1:5" x14ac:dyDescent="0.2">
      <c r="A3" s="20" t="s">
        <v>9</v>
      </c>
      <c r="B3" s="21" t="s">
        <v>10</v>
      </c>
      <c r="C3" s="22" t="s">
        <v>11</v>
      </c>
      <c r="D3" s="23">
        <v>382909771</v>
      </c>
      <c r="E3" s="24" t="s">
        <v>12</v>
      </c>
    </row>
    <row r="4" spans="1:5" x14ac:dyDescent="0.2">
      <c r="A4" s="20" t="s">
        <v>13</v>
      </c>
      <c r="B4" s="21" t="s">
        <v>6</v>
      </c>
      <c r="C4" s="22" t="s">
        <v>14</v>
      </c>
      <c r="D4" s="23">
        <v>382909739</v>
      </c>
      <c r="E4" s="24" t="s">
        <v>15</v>
      </c>
    </row>
    <row r="5" spans="1:5" x14ac:dyDescent="0.2">
      <c r="A5" s="20" t="s">
        <v>16</v>
      </c>
      <c r="B5" s="21" t="s">
        <v>6</v>
      </c>
      <c r="C5" s="22" t="s">
        <v>17</v>
      </c>
      <c r="D5" s="23">
        <v>382926102</v>
      </c>
      <c r="E5" s="24" t="s">
        <v>18</v>
      </c>
    </row>
    <row r="6" spans="1:5" x14ac:dyDescent="0.2">
      <c r="A6" s="20" t="s">
        <v>19</v>
      </c>
      <c r="B6" s="21" t="s">
        <v>10</v>
      </c>
      <c r="C6" s="22" t="s">
        <v>20</v>
      </c>
      <c r="D6" s="23">
        <v>382926072</v>
      </c>
      <c r="E6" s="24" t="s">
        <v>21</v>
      </c>
    </row>
    <row r="7" spans="1:5" x14ac:dyDescent="0.2">
      <c r="A7" s="20" t="s">
        <v>22</v>
      </c>
      <c r="B7" s="21" t="s">
        <v>6</v>
      </c>
      <c r="C7" s="22" t="s">
        <v>23</v>
      </c>
      <c r="D7" s="23">
        <v>382914830</v>
      </c>
      <c r="E7" s="24" t="s">
        <v>24</v>
      </c>
    </row>
    <row r="8" spans="1:5" x14ac:dyDescent="0.2">
      <c r="A8" s="20" t="s">
        <v>25</v>
      </c>
      <c r="B8" s="21" t="s">
        <v>6</v>
      </c>
      <c r="C8" s="22" t="s">
        <v>26</v>
      </c>
      <c r="D8" s="23">
        <v>382443721</v>
      </c>
      <c r="E8" s="24" t="s">
        <v>27</v>
      </c>
    </row>
    <row r="9" spans="1:5" x14ac:dyDescent="0.2">
      <c r="A9" s="20" t="s">
        <v>28</v>
      </c>
      <c r="B9" s="21" t="s">
        <v>29</v>
      </c>
      <c r="C9" s="22" t="s">
        <v>30</v>
      </c>
      <c r="D9" s="23">
        <v>302479003</v>
      </c>
      <c r="E9" s="24" t="s">
        <v>31</v>
      </c>
    </row>
    <row r="10" spans="1:5" x14ac:dyDescent="0.2">
      <c r="A10" s="20" t="s">
        <v>32</v>
      </c>
      <c r="B10" s="21" t="s">
        <v>6</v>
      </c>
      <c r="C10" s="22" t="s">
        <v>33</v>
      </c>
      <c r="D10" s="23">
        <v>382913337</v>
      </c>
      <c r="E10" s="24" t="s">
        <v>34</v>
      </c>
    </row>
    <row r="11" spans="1:5" x14ac:dyDescent="0.2">
      <c r="A11" s="20" t="s">
        <v>35</v>
      </c>
      <c r="B11" s="21" t="s">
        <v>36</v>
      </c>
      <c r="C11" s="22" t="s">
        <v>37</v>
      </c>
      <c r="D11" s="23">
        <v>382908350</v>
      </c>
      <c r="E11" s="24" t="s">
        <v>38</v>
      </c>
    </row>
    <row r="12" spans="1:5" x14ac:dyDescent="0.2">
      <c r="A12" s="20" t="s">
        <v>39</v>
      </c>
      <c r="B12" s="21" t="s">
        <v>40</v>
      </c>
      <c r="C12" s="22" t="s">
        <v>41</v>
      </c>
      <c r="D12" s="23">
        <v>382908635</v>
      </c>
      <c r="E12" s="24" t="s">
        <v>42</v>
      </c>
    </row>
    <row r="13" spans="1:5" x14ac:dyDescent="0.2">
      <c r="A13" s="20" t="s">
        <v>43</v>
      </c>
      <c r="B13" s="21" t="s">
        <v>44</v>
      </c>
      <c r="C13" s="22" t="s">
        <v>45</v>
      </c>
      <c r="D13" s="23">
        <v>382397959</v>
      </c>
      <c r="E13" s="24" t="s">
        <v>46</v>
      </c>
    </row>
    <row r="14" spans="1:5" x14ac:dyDescent="0.2">
      <c r="A14" s="20" t="s">
        <v>47</v>
      </c>
      <c r="B14" s="21" t="s">
        <v>48</v>
      </c>
      <c r="C14" s="22" t="s">
        <v>49</v>
      </c>
      <c r="D14" s="23">
        <v>382909313</v>
      </c>
      <c r="E14" s="24" t="s">
        <v>50</v>
      </c>
    </row>
    <row r="15" spans="1:5" x14ac:dyDescent="0.2">
      <c r="A15" s="20" t="s">
        <v>51</v>
      </c>
      <c r="B15" s="21" t="s">
        <v>36</v>
      </c>
      <c r="C15" s="22" t="s">
        <v>52</v>
      </c>
      <c r="D15" s="23">
        <v>382921101</v>
      </c>
      <c r="E15" s="24" t="s">
        <v>53</v>
      </c>
    </row>
    <row r="16" spans="1:5" x14ac:dyDescent="0.2">
      <c r="A16" s="20" t="s">
        <v>54</v>
      </c>
      <c r="B16" s="21" t="s">
        <v>6</v>
      </c>
      <c r="C16" s="22" t="s">
        <v>55</v>
      </c>
      <c r="D16" s="23">
        <v>382402260</v>
      </c>
      <c r="E16" s="24" t="s">
        <v>56</v>
      </c>
    </row>
    <row r="17" spans="1:5" x14ac:dyDescent="0.2">
      <c r="A17" s="20" t="s">
        <v>57</v>
      </c>
      <c r="B17" s="21" t="s">
        <v>36</v>
      </c>
      <c r="C17" s="22" t="s">
        <v>58</v>
      </c>
      <c r="D17" s="23">
        <v>382911814</v>
      </c>
      <c r="E17" s="24" t="s">
        <v>59</v>
      </c>
    </row>
    <row r="18" spans="1:5" x14ac:dyDescent="0.2">
      <c r="A18" s="20" t="s">
        <v>60</v>
      </c>
      <c r="B18" s="21" t="s">
        <v>61</v>
      </c>
      <c r="C18" s="22" t="s">
        <v>62</v>
      </c>
      <c r="D18" s="23">
        <v>382911971</v>
      </c>
      <c r="E18" s="24" t="s">
        <v>63</v>
      </c>
    </row>
    <row r="19" spans="1:5" x14ac:dyDescent="0.2">
      <c r="A19" s="20" t="s">
        <v>64</v>
      </c>
      <c r="B19" s="21" t="s">
        <v>10</v>
      </c>
      <c r="C19" s="22" t="s">
        <v>65</v>
      </c>
      <c r="D19" s="23">
        <v>382905555</v>
      </c>
      <c r="E19" s="24" t="s">
        <v>66</v>
      </c>
    </row>
    <row r="20" spans="1:5" x14ac:dyDescent="0.2">
      <c r="A20" s="20" t="s">
        <v>67</v>
      </c>
      <c r="B20" s="21" t="s">
        <v>40</v>
      </c>
      <c r="C20" s="22" t="s">
        <v>68</v>
      </c>
      <c r="D20" s="23">
        <v>382919688</v>
      </c>
      <c r="E20" s="24" t="s">
        <v>69</v>
      </c>
    </row>
    <row r="21" spans="1:5" x14ac:dyDescent="0.2">
      <c r="A21" s="20" t="s">
        <v>70</v>
      </c>
      <c r="B21" s="21" t="s">
        <v>40</v>
      </c>
      <c r="C21" s="22" t="s">
        <v>71</v>
      </c>
      <c r="D21" s="23">
        <v>382912918</v>
      </c>
      <c r="E21" s="24" t="s">
        <v>72</v>
      </c>
    </row>
    <row r="22" spans="1:5" x14ac:dyDescent="0.2">
      <c r="A22" s="20" t="s">
        <v>73</v>
      </c>
      <c r="B22" s="21" t="s">
        <v>61</v>
      </c>
      <c r="C22" s="22" t="s">
        <v>74</v>
      </c>
      <c r="D22" s="23">
        <v>300469116</v>
      </c>
      <c r="E22" s="24" t="s">
        <v>75</v>
      </c>
    </row>
    <row r="23" spans="1:5" x14ac:dyDescent="0.2">
      <c r="A23" s="20" t="s">
        <v>76</v>
      </c>
      <c r="B23" s="21" t="s">
        <v>40</v>
      </c>
      <c r="C23" s="22" t="s">
        <v>77</v>
      </c>
      <c r="D23" s="23">
        <v>382917065</v>
      </c>
      <c r="E23" s="24" t="s">
        <v>78</v>
      </c>
    </row>
    <row r="24" spans="1:5" x14ac:dyDescent="0.2">
      <c r="A24" s="20" t="s">
        <v>79</v>
      </c>
      <c r="B24" s="21" t="s">
        <v>61</v>
      </c>
      <c r="C24" s="22" t="s">
        <v>80</v>
      </c>
      <c r="D24" s="23">
        <v>382917332</v>
      </c>
      <c r="E24" s="24" t="s">
        <v>81</v>
      </c>
    </row>
    <row r="25" spans="1:5" x14ac:dyDescent="0.2">
      <c r="A25" s="20" t="s">
        <v>82</v>
      </c>
      <c r="B25" s="21" t="s">
        <v>61</v>
      </c>
      <c r="C25" s="22" t="s">
        <v>83</v>
      </c>
      <c r="D25" s="23">
        <v>382437926</v>
      </c>
      <c r="E25" s="24" t="s">
        <v>84</v>
      </c>
    </row>
    <row r="26" spans="1:5" x14ac:dyDescent="0.2">
      <c r="A26" s="20" t="s">
        <v>85</v>
      </c>
      <c r="B26" s="21" t="s">
        <v>61</v>
      </c>
      <c r="C26" s="22" t="s">
        <v>86</v>
      </c>
      <c r="D26" s="23">
        <v>382908180</v>
      </c>
      <c r="E26" s="24" t="s">
        <v>87</v>
      </c>
    </row>
    <row r="27" spans="1:5" x14ac:dyDescent="0.2">
      <c r="A27" s="20" t="s">
        <v>88</v>
      </c>
      <c r="B27" s="21" t="s">
        <v>29</v>
      </c>
      <c r="C27" s="22" t="s">
        <v>89</v>
      </c>
      <c r="D27" s="23">
        <v>343500343</v>
      </c>
      <c r="E27" s="24" t="s">
        <v>90</v>
      </c>
    </row>
    <row r="28" spans="1:5" x14ac:dyDescent="0.2">
      <c r="A28" s="20" t="s">
        <v>91</v>
      </c>
      <c r="B28" s="21" t="s">
        <v>92</v>
      </c>
      <c r="C28" s="22" t="s">
        <v>93</v>
      </c>
      <c r="D28" s="23">
        <v>341747473</v>
      </c>
      <c r="E28" s="24" t="s">
        <v>94</v>
      </c>
    </row>
    <row r="29" spans="1:5" x14ac:dyDescent="0.2">
      <c r="A29" s="20" t="s">
        <v>95</v>
      </c>
      <c r="B29" s="21" t="s">
        <v>6</v>
      </c>
      <c r="C29" s="22" t="s">
        <v>96</v>
      </c>
      <c r="D29" s="23">
        <v>1000016205</v>
      </c>
      <c r="E29" s="24" t="s">
        <v>97</v>
      </c>
    </row>
    <row r="30" spans="1:5" x14ac:dyDescent="0.2">
      <c r="A30" s="20" t="s">
        <v>98</v>
      </c>
      <c r="B30" s="21" t="s">
        <v>6</v>
      </c>
      <c r="C30" s="22" t="s">
        <v>99</v>
      </c>
      <c r="D30" s="23">
        <v>346906944</v>
      </c>
      <c r="E30" s="24" t="s">
        <v>100</v>
      </c>
    </row>
  </sheetData>
  <pageMargins left="0.7" right="0.7" top="0.75" bottom="0.75" header="0.3" footer="0.3"/>
  <ignoredErrors>
    <ignoredError sqref="A2:A3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ggiornaFogliFabbricati">
                <anchor moveWithCells="1" sizeWithCells="1">
                  <from>
                    <xdr:col>5</xdr:col>
                    <xdr:colOff>825500</xdr:colOff>
                    <xdr:row>4</xdr:row>
                    <xdr:rowOff>38100</xdr:rowOff>
                  </from>
                  <to>
                    <xdr:col>7</xdr:col>
                    <xdr:colOff>685800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ancellaFogliFabbricati">
                <anchor moveWithCells="1" sizeWithCells="1">
                  <from>
                    <xdr:col>6</xdr:col>
                    <xdr:colOff>12700</xdr:colOff>
                    <xdr:row>1</xdr:row>
                    <xdr:rowOff>50800</xdr:rowOff>
                  </from>
                  <to>
                    <xdr:col>7</xdr:col>
                    <xdr:colOff>711200</xdr:colOff>
                    <xdr:row>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AllineaFoglioCalcoloDaElettricita" altText="Ricalcola">
                <anchor moveWithCells="1" sizeWithCells="1">
                  <from>
                    <xdr:col>5</xdr:col>
                    <xdr:colOff>825500</xdr:colOff>
                    <xdr:row>7</xdr:row>
                    <xdr:rowOff>25400</xdr:rowOff>
                  </from>
                  <to>
                    <xdr:col>7</xdr:col>
                    <xdr:colOff>698500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I345"/>
  <sheetViews>
    <sheetView workbookViewId="0">
      <selection activeCell="A325" sqref="A325:XFD325"/>
    </sheetView>
  </sheetViews>
  <sheetFormatPr baseColWidth="10" defaultColWidth="8.83203125" defaultRowHeight="15" x14ac:dyDescent="0.2"/>
  <cols>
    <col min="1" max="1" width="33" customWidth="1"/>
    <col min="2" max="2" width="19" customWidth="1"/>
    <col min="3" max="3" width="40" customWidth="1"/>
    <col min="4" max="4" width="16" customWidth="1"/>
    <col min="5" max="5" width="21" customWidth="1"/>
    <col min="6" max="6" width="10.5" bestFit="1" customWidth="1"/>
    <col min="7" max="7" width="28" customWidth="1"/>
    <col min="8" max="8" width="40" customWidth="1"/>
    <col min="9" max="9" width="16" customWidth="1"/>
    <col min="10" max="10" width="34" customWidth="1"/>
    <col min="11" max="11" width="22" customWidth="1"/>
    <col min="12" max="12" width="21" customWidth="1"/>
    <col min="13" max="13" width="17" customWidth="1"/>
    <col min="14" max="14" width="20" customWidth="1"/>
    <col min="17" max="17" width="23" customWidth="1"/>
    <col min="18" max="18" width="26" customWidth="1"/>
    <col min="21" max="21" width="20" customWidth="1"/>
    <col min="23" max="23" width="18" customWidth="1"/>
    <col min="24" max="24" width="19" customWidth="1"/>
    <col min="25" max="25" width="11" customWidth="1"/>
    <col min="26" max="26" width="17" customWidth="1"/>
    <col min="27" max="27" width="15" customWidth="1"/>
    <col min="28" max="28" width="20" customWidth="1"/>
    <col min="29" max="29" width="11" customWidth="1"/>
    <col min="31" max="31" width="16" customWidth="1"/>
    <col min="32" max="32" width="12" customWidth="1"/>
    <col min="33" max="33" width="18" customWidth="1"/>
    <col min="34" max="35" width="255.83203125" bestFit="1" customWidth="1"/>
    <col min="36" max="36" width="18" customWidth="1"/>
    <col min="37" max="37" width="23" customWidth="1"/>
    <col min="38" max="38" width="12" customWidth="1"/>
    <col min="39" max="39" width="18" customWidth="1"/>
    <col min="40" max="40" width="23" customWidth="1"/>
    <col min="42" max="42" width="29" customWidth="1"/>
    <col min="43" max="43" width="34" customWidth="1"/>
    <col min="44" max="44" width="21" customWidth="1"/>
    <col min="45" max="45" width="27" customWidth="1"/>
    <col min="46" max="46" width="32" customWidth="1"/>
    <col min="47" max="47" width="17" customWidth="1"/>
    <col min="48" max="48" width="23" customWidth="1"/>
    <col min="49" max="49" width="28" customWidth="1"/>
    <col min="50" max="50" width="22" customWidth="1"/>
    <col min="51" max="51" width="28" customWidth="1"/>
    <col min="52" max="52" width="33" customWidth="1"/>
    <col min="53" max="53" width="21" customWidth="1"/>
    <col min="54" max="54" width="27" customWidth="1"/>
    <col min="55" max="55" width="32" customWidth="1"/>
    <col min="56" max="56" width="21" customWidth="1"/>
    <col min="57" max="57" width="27" customWidth="1"/>
    <col min="58" max="58" width="32" customWidth="1"/>
    <col min="59" max="59" width="9" customWidth="1"/>
    <col min="60" max="60" width="15" customWidth="1"/>
    <col min="61" max="61" width="20" customWidth="1"/>
    <col min="62" max="62" width="15" customWidth="1"/>
    <col min="63" max="63" width="21" customWidth="1"/>
    <col min="64" max="64" width="26" customWidth="1"/>
    <col min="65" max="65" width="18" customWidth="1"/>
    <col min="66" max="66" width="24" customWidth="1"/>
    <col min="67" max="67" width="29" customWidth="1"/>
    <col min="68" max="68" width="10" customWidth="1"/>
    <col min="69" max="69" width="16" customWidth="1"/>
    <col min="70" max="70" width="21" customWidth="1"/>
    <col min="71" max="71" width="10" customWidth="1"/>
    <col min="72" max="72" width="16" customWidth="1"/>
    <col min="73" max="73" width="21" customWidth="1"/>
    <col min="74" max="74" width="12" customWidth="1"/>
    <col min="75" max="75" width="18" customWidth="1"/>
    <col min="76" max="76" width="23" customWidth="1"/>
    <col min="77" max="77" width="40" customWidth="1"/>
  </cols>
  <sheetData>
    <row r="1" spans="1:35" ht="16" x14ac:dyDescent="0.2">
      <c r="A1" s="27" t="s">
        <v>101</v>
      </c>
      <c r="B1" s="27" t="s">
        <v>102</v>
      </c>
      <c r="C1" s="27" t="s">
        <v>103</v>
      </c>
      <c r="D1" s="27" t="s">
        <v>104</v>
      </c>
      <c r="E1" s="28" t="s">
        <v>105</v>
      </c>
      <c r="F1" s="28" t="s">
        <v>106</v>
      </c>
      <c r="G1" s="27" t="s">
        <v>107</v>
      </c>
      <c r="H1" s="27" t="s">
        <v>108</v>
      </c>
      <c r="I1" s="27" t="s">
        <v>109</v>
      </c>
      <c r="J1" s="27" t="s">
        <v>110</v>
      </c>
      <c r="K1" s="28" t="s">
        <v>111</v>
      </c>
      <c r="L1" s="28" t="s">
        <v>112</v>
      </c>
      <c r="M1" s="29" t="s">
        <v>113</v>
      </c>
      <c r="N1" s="29" t="s">
        <v>114</v>
      </c>
      <c r="O1" s="29" t="s">
        <v>115</v>
      </c>
      <c r="P1" s="29" t="s">
        <v>116</v>
      </c>
      <c r="Q1" s="29" t="s">
        <v>117</v>
      </c>
      <c r="R1" s="29" t="s">
        <v>118</v>
      </c>
      <c r="S1" s="29" t="s">
        <v>119</v>
      </c>
      <c r="T1" s="29" t="s">
        <v>120</v>
      </c>
      <c r="U1" s="30" t="s">
        <v>121</v>
      </c>
      <c r="V1" s="30" t="s">
        <v>122</v>
      </c>
      <c r="W1" s="30" t="s">
        <v>123</v>
      </c>
      <c r="X1" s="30" t="s">
        <v>124</v>
      </c>
      <c r="Y1" s="30" t="s">
        <v>125</v>
      </c>
      <c r="Z1" s="30" t="s">
        <v>126</v>
      </c>
      <c r="AA1" s="30" t="s">
        <v>127</v>
      </c>
      <c r="AB1" s="30" t="s">
        <v>128</v>
      </c>
      <c r="AC1" s="30" t="s">
        <v>152</v>
      </c>
      <c r="AD1" s="30" t="s">
        <v>129</v>
      </c>
      <c r="AE1" s="30" t="s">
        <v>130</v>
      </c>
      <c r="AF1" s="30" t="s">
        <v>131</v>
      </c>
      <c r="AG1" s="30" t="s">
        <v>153</v>
      </c>
      <c r="AH1" s="30" t="s">
        <v>154</v>
      </c>
      <c r="AI1" s="30" t="s">
        <v>132</v>
      </c>
    </row>
    <row r="2" spans="1:35" ht="15" customHeight="1" x14ac:dyDescent="0.2">
      <c r="A2" s="27" t="s">
        <v>895</v>
      </c>
      <c r="B2" s="27" t="s">
        <v>839</v>
      </c>
      <c r="C2" s="27" t="s">
        <v>840</v>
      </c>
      <c r="D2" s="27" t="s">
        <v>896</v>
      </c>
      <c r="E2" s="28">
        <v>45350</v>
      </c>
      <c r="F2" s="28">
        <v>45380</v>
      </c>
      <c r="G2" s="27" t="s">
        <v>159</v>
      </c>
      <c r="H2" s="27" t="s">
        <v>897</v>
      </c>
      <c r="I2" s="27" t="s">
        <v>42</v>
      </c>
      <c r="J2" s="27" t="s">
        <v>843</v>
      </c>
      <c r="K2" s="28">
        <v>45292</v>
      </c>
      <c r="L2" s="28">
        <v>45322</v>
      </c>
      <c r="M2" s="29">
        <v>982</v>
      </c>
      <c r="N2" s="29">
        <v>411</v>
      </c>
      <c r="O2" s="29">
        <v>221</v>
      </c>
      <c r="P2" s="29">
        <v>350</v>
      </c>
      <c r="Q2" s="29">
        <v>382</v>
      </c>
      <c r="R2" s="29">
        <v>235</v>
      </c>
      <c r="S2" s="29">
        <v>96</v>
      </c>
      <c r="T2" s="29">
        <v>51</v>
      </c>
      <c r="U2" s="30">
        <v>20</v>
      </c>
      <c r="V2" s="30">
        <v>20</v>
      </c>
      <c r="W2" s="30">
        <v>323.13</v>
      </c>
      <c r="X2" s="30">
        <v>394.22</v>
      </c>
      <c r="Z2" s="30">
        <v>155.07</v>
      </c>
      <c r="AA2" s="30">
        <v>69.069999999999993</v>
      </c>
      <c r="AB2" s="30">
        <v>81.8</v>
      </c>
      <c r="AC2" s="35">
        <v>4.91</v>
      </c>
      <c r="AD2" s="30">
        <v>12.28</v>
      </c>
      <c r="AE2" s="30">
        <v>71.09</v>
      </c>
      <c r="AG2" s="30">
        <v>100</v>
      </c>
      <c r="AH2" s="30" t="s">
        <v>162</v>
      </c>
      <c r="AI2" s="30" t="s">
        <v>851</v>
      </c>
    </row>
    <row r="3" spans="1:35" ht="15" customHeight="1" x14ac:dyDescent="0.2">
      <c r="A3" s="27" t="s">
        <v>812</v>
      </c>
      <c r="B3" s="27" t="s">
        <v>156</v>
      </c>
      <c r="C3" s="27" t="s">
        <v>157</v>
      </c>
      <c r="D3" s="27" t="s">
        <v>813</v>
      </c>
      <c r="E3" s="28">
        <v>45358</v>
      </c>
      <c r="F3" s="28">
        <v>45393</v>
      </c>
      <c r="G3" s="27" t="s">
        <v>159</v>
      </c>
      <c r="H3" s="27" t="s">
        <v>211</v>
      </c>
      <c r="I3" s="27" t="s">
        <v>42</v>
      </c>
      <c r="J3" s="27" t="s">
        <v>161</v>
      </c>
      <c r="K3" s="28">
        <v>45323</v>
      </c>
      <c r="L3" s="28">
        <v>45351</v>
      </c>
      <c r="M3" s="29">
        <v>1004</v>
      </c>
      <c r="N3" s="29">
        <v>481</v>
      </c>
      <c r="O3" s="29">
        <v>229</v>
      </c>
      <c r="P3" s="29">
        <v>294</v>
      </c>
      <c r="Q3" s="29">
        <v>454</v>
      </c>
      <c r="R3" s="29">
        <v>290</v>
      </c>
      <c r="S3" s="29">
        <v>107</v>
      </c>
      <c r="T3" s="29">
        <v>57</v>
      </c>
      <c r="U3" s="33"/>
      <c r="V3" s="30">
        <v>20</v>
      </c>
      <c r="W3" s="30">
        <v>223.6</v>
      </c>
      <c r="X3" s="30">
        <v>272.79000000000002</v>
      </c>
      <c r="Z3" s="30">
        <v>122.3</v>
      </c>
      <c r="AA3" s="30">
        <v>33.71</v>
      </c>
      <c r="AB3" s="30">
        <v>55.04</v>
      </c>
      <c r="AD3" s="30">
        <v>49.19</v>
      </c>
      <c r="AE3" s="30">
        <v>12.55</v>
      </c>
      <c r="AG3" s="30">
        <v>93</v>
      </c>
      <c r="AH3" s="30" t="s">
        <v>177</v>
      </c>
      <c r="AI3" s="30" t="s">
        <v>178</v>
      </c>
    </row>
    <row r="4" spans="1:35" ht="15" customHeight="1" x14ac:dyDescent="0.2">
      <c r="A4" s="27" t="s">
        <v>760</v>
      </c>
      <c r="B4" s="27" t="s">
        <v>156</v>
      </c>
      <c r="C4" s="27" t="s">
        <v>157</v>
      </c>
      <c r="D4" s="27" t="s">
        <v>761</v>
      </c>
      <c r="E4" s="28">
        <v>45390</v>
      </c>
      <c r="F4" s="28">
        <v>45425</v>
      </c>
      <c r="G4" s="27" t="s">
        <v>159</v>
      </c>
      <c r="H4" s="27" t="s">
        <v>211</v>
      </c>
      <c r="I4" s="27" t="s">
        <v>42</v>
      </c>
      <c r="J4" s="27" t="s">
        <v>161</v>
      </c>
      <c r="K4" s="28">
        <v>45352</v>
      </c>
      <c r="L4" s="28">
        <v>45382</v>
      </c>
      <c r="M4" s="29">
        <v>830</v>
      </c>
      <c r="N4" s="29">
        <v>355</v>
      </c>
      <c r="O4" s="29">
        <v>223</v>
      </c>
      <c r="P4" s="29">
        <v>252</v>
      </c>
      <c r="Q4" s="29">
        <v>222</v>
      </c>
      <c r="R4" s="29">
        <v>132</v>
      </c>
      <c r="S4" s="29">
        <v>61</v>
      </c>
      <c r="T4" s="29">
        <v>29</v>
      </c>
      <c r="U4" s="33"/>
      <c r="V4" s="30">
        <v>20</v>
      </c>
      <c r="W4" s="30">
        <v>187.29</v>
      </c>
      <c r="X4" s="30">
        <v>228.49</v>
      </c>
      <c r="Z4" s="30">
        <v>97.84</v>
      </c>
      <c r="AA4" s="30">
        <v>30.74</v>
      </c>
      <c r="AB4" s="30">
        <v>48.33</v>
      </c>
      <c r="AD4" s="30">
        <v>41.2</v>
      </c>
      <c r="AE4" s="30">
        <v>10.38</v>
      </c>
      <c r="AG4" s="30">
        <v>93</v>
      </c>
      <c r="AH4" s="30" t="s">
        <v>177</v>
      </c>
      <c r="AI4" s="30" t="s">
        <v>178</v>
      </c>
    </row>
    <row r="5" spans="1:35" ht="15" customHeight="1" x14ac:dyDescent="0.2">
      <c r="A5" s="27" t="s">
        <v>696</v>
      </c>
      <c r="B5" s="27" t="s">
        <v>156</v>
      </c>
      <c r="C5" s="27" t="s">
        <v>157</v>
      </c>
      <c r="D5" s="27" t="s">
        <v>697</v>
      </c>
      <c r="E5" s="28">
        <v>45419</v>
      </c>
      <c r="F5" s="28">
        <v>45454</v>
      </c>
      <c r="G5" s="27" t="s">
        <v>159</v>
      </c>
      <c r="H5" s="27" t="s">
        <v>211</v>
      </c>
      <c r="I5" s="27" t="s">
        <v>42</v>
      </c>
      <c r="J5" s="27" t="s">
        <v>161</v>
      </c>
      <c r="K5" s="28">
        <v>45383</v>
      </c>
      <c r="L5" s="28">
        <v>45390</v>
      </c>
      <c r="M5" s="29">
        <v>598</v>
      </c>
      <c r="N5" s="29">
        <v>258</v>
      </c>
      <c r="O5" s="29">
        <v>142</v>
      </c>
      <c r="P5" s="29">
        <v>198</v>
      </c>
      <c r="Q5" s="29">
        <v>133</v>
      </c>
      <c r="R5" s="29">
        <v>95</v>
      </c>
      <c r="S5" s="29">
        <v>26</v>
      </c>
      <c r="T5" s="29">
        <v>12</v>
      </c>
      <c r="U5" s="33"/>
      <c r="V5" s="30">
        <v>20</v>
      </c>
      <c r="W5" s="30">
        <v>143.01</v>
      </c>
      <c r="X5" s="30">
        <v>174.47</v>
      </c>
      <c r="Z5" s="30">
        <v>68.3</v>
      </c>
      <c r="AA5" s="30">
        <v>24.72</v>
      </c>
      <c r="AB5" s="30">
        <v>42.51</v>
      </c>
      <c r="AD5" s="30">
        <v>31.46</v>
      </c>
      <c r="AE5" s="30">
        <v>2.2799999999999998</v>
      </c>
      <c r="AG5" s="30">
        <v>93</v>
      </c>
      <c r="AH5" s="30" t="s">
        <v>177</v>
      </c>
      <c r="AI5" s="30" t="s">
        <v>178</v>
      </c>
    </row>
    <row r="6" spans="1:35" ht="15" customHeight="1" x14ac:dyDescent="0.2">
      <c r="A6" s="27" t="s">
        <v>638</v>
      </c>
      <c r="B6" s="27" t="s">
        <v>156</v>
      </c>
      <c r="C6" s="27" t="s">
        <v>157</v>
      </c>
      <c r="D6" s="27" t="s">
        <v>639</v>
      </c>
      <c r="E6" s="28">
        <v>45449</v>
      </c>
      <c r="F6" s="28">
        <v>45484</v>
      </c>
      <c r="G6" s="27" t="s">
        <v>159</v>
      </c>
      <c r="H6" s="27" t="s">
        <v>211</v>
      </c>
      <c r="I6" s="27" t="s">
        <v>42</v>
      </c>
      <c r="J6" s="27" t="s">
        <v>161</v>
      </c>
      <c r="K6" s="28">
        <v>45413</v>
      </c>
      <c r="L6" s="28">
        <v>45443</v>
      </c>
      <c r="M6" s="29">
        <v>521</v>
      </c>
      <c r="N6" s="29">
        <v>247</v>
      </c>
      <c r="O6" s="29">
        <v>130</v>
      </c>
      <c r="P6" s="29">
        <v>144</v>
      </c>
      <c r="Q6" s="29">
        <v>95</v>
      </c>
      <c r="R6" s="29">
        <v>73</v>
      </c>
      <c r="S6" s="29">
        <v>20</v>
      </c>
      <c r="T6" s="29">
        <v>2</v>
      </c>
      <c r="V6" s="30">
        <v>20</v>
      </c>
      <c r="W6" s="30">
        <v>131.79</v>
      </c>
      <c r="X6" s="30">
        <v>160.78</v>
      </c>
      <c r="Z6" s="30">
        <v>63.96</v>
      </c>
      <c r="AA6" s="30">
        <v>22.97</v>
      </c>
      <c r="AB6" s="30">
        <v>38.35</v>
      </c>
      <c r="AD6" s="30">
        <v>28.99</v>
      </c>
      <c r="AE6" s="30">
        <v>6.51</v>
      </c>
      <c r="AG6" s="30">
        <v>93</v>
      </c>
      <c r="AH6" s="30" t="s">
        <v>177</v>
      </c>
      <c r="AI6" s="30" t="s">
        <v>178</v>
      </c>
    </row>
    <row r="7" spans="1:35" ht="15" customHeight="1" x14ac:dyDescent="0.2">
      <c r="A7" s="27" t="s">
        <v>589</v>
      </c>
      <c r="B7" s="27" t="s">
        <v>156</v>
      </c>
      <c r="C7" s="27" t="s">
        <v>157</v>
      </c>
      <c r="D7" s="27" t="s">
        <v>590</v>
      </c>
      <c r="E7" s="28">
        <v>45478</v>
      </c>
      <c r="F7" s="28">
        <v>45513</v>
      </c>
      <c r="G7" s="27" t="s">
        <v>159</v>
      </c>
      <c r="H7" s="27" t="s">
        <v>211</v>
      </c>
      <c r="I7" s="27" t="s">
        <v>42</v>
      </c>
      <c r="J7" s="27" t="s">
        <v>161</v>
      </c>
      <c r="K7" s="28">
        <v>45444</v>
      </c>
      <c r="L7" s="28">
        <v>45473</v>
      </c>
      <c r="M7" s="29">
        <v>569</v>
      </c>
      <c r="N7" s="29">
        <v>192</v>
      </c>
      <c r="O7" s="29">
        <v>151</v>
      </c>
      <c r="P7" s="29">
        <v>226</v>
      </c>
      <c r="Q7" s="29">
        <v>174</v>
      </c>
      <c r="R7" s="29">
        <v>65</v>
      </c>
      <c r="S7" s="29">
        <v>46</v>
      </c>
      <c r="T7" s="29">
        <v>63</v>
      </c>
      <c r="V7" s="30">
        <v>20</v>
      </c>
      <c r="W7" s="30">
        <v>146.19999999999999</v>
      </c>
      <c r="X7" s="30">
        <v>178.36</v>
      </c>
      <c r="Z7" s="30">
        <v>76.28</v>
      </c>
      <c r="AA7" s="30">
        <v>22.66</v>
      </c>
      <c r="AB7" s="30">
        <v>40.15</v>
      </c>
      <c r="AD7" s="30">
        <v>32.159999999999997</v>
      </c>
      <c r="AE7" s="30">
        <v>7.11</v>
      </c>
      <c r="AG7" s="30">
        <v>93</v>
      </c>
      <c r="AH7" s="30" t="s">
        <v>177</v>
      </c>
      <c r="AI7" s="30" t="s">
        <v>178</v>
      </c>
    </row>
    <row r="8" spans="1:35" ht="15" customHeight="1" x14ac:dyDescent="0.2">
      <c r="A8" s="27" t="s">
        <v>530</v>
      </c>
      <c r="B8" s="27" t="s">
        <v>156</v>
      </c>
      <c r="C8" s="27" t="s">
        <v>157</v>
      </c>
      <c r="D8" s="27" t="s">
        <v>531</v>
      </c>
      <c r="E8" s="28">
        <v>45511</v>
      </c>
      <c r="F8" s="28">
        <v>45546</v>
      </c>
      <c r="G8" s="27" t="s">
        <v>159</v>
      </c>
      <c r="H8" s="27" t="s">
        <v>211</v>
      </c>
      <c r="I8" s="27" t="s">
        <v>42</v>
      </c>
      <c r="J8" s="27" t="s">
        <v>161</v>
      </c>
      <c r="K8" s="28">
        <v>45474</v>
      </c>
      <c r="L8" s="28">
        <v>45504</v>
      </c>
      <c r="M8" s="29">
        <v>430</v>
      </c>
      <c r="N8" s="29">
        <v>199</v>
      </c>
      <c r="O8" s="29">
        <v>100</v>
      </c>
      <c r="P8" s="29">
        <v>131</v>
      </c>
      <c r="Q8" s="29">
        <v>32</v>
      </c>
      <c r="R8" s="29">
        <v>19</v>
      </c>
      <c r="S8" s="29">
        <v>8</v>
      </c>
      <c r="T8" s="29">
        <v>5</v>
      </c>
      <c r="V8" s="30">
        <v>20</v>
      </c>
      <c r="W8" s="30">
        <v>122.05</v>
      </c>
      <c r="X8" s="30">
        <v>148.9</v>
      </c>
      <c r="Z8" s="30">
        <v>66.239999999999995</v>
      </c>
      <c r="AA8" s="30">
        <v>18.98</v>
      </c>
      <c r="AB8" s="30">
        <v>31.45</v>
      </c>
      <c r="AD8" s="30">
        <v>26.85</v>
      </c>
      <c r="AE8" s="30">
        <v>5.38</v>
      </c>
      <c r="AG8" s="30">
        <v>93</v>
      </c>
      <c r="AH8" s="30" t="s">
        <v>177</v>
      </c>
      <c r="AI8" s="30" t="s">
        <v>178</v>
      </c>
    </row>
    <row r="9" spans="1:35" ht="15" customHeight="1" x14ac:dyDescent="0.2">
      <c r="A9" s="27" t="s">
        <v>468</v>
      </c>
      <c r="B9" s="27" t="s">
        <v>156</v>
      </c>
      <c r="C9" s="27" t="s">
        <v>157</v>
      </c>
      <c r="D9" s="27" t="s">
        <v>469</v>
      </c>
      <c r="E9" s="28">
        <v>45541</v>
      </c>
      <c r="F9" s="28">
        <v>45576</v>
      </c>
      <c r="G9" s="27" t="s">
        <v>159</v>
      </c>
      <c r="H9" s="27" t="s">
        <v>211</v>
      </c>
      <c r="I9" s="27" t="s">
        <v>42</v>
      </c>
      <c r="J9" s="27" t="s">
        <v>161</v>
      </c>
      <c r="K9" s="28">
        <v>45505</v>
      </c>
      <c r="L9" s="28">
        <v>45535</v>
      </c>
      <c r="M9" s="29">
        <v>2422</v>
      </c>
      <c r="N9" s="29">
        <v>1015</v>
      </c>
      <c r="O9" s="29">
        <v>599</v>
      </c>
      <c r="P9" s="29">
        <v>808</v>
      </c>
      <c r="Q9" s="29">
        <v>435</v>
      </c>
      <c r="R9" s="29">
        <v>252</v>
      </c>
      <c r="S9" s="29">
        <v>101</v>
      </c>
      <c r="T9" s="29">
        <v>82</v>
      </c>
      <c r="U9" s="33"/>
      <c r="V9" s="30">
        <v>20</v>
      </c>
      <c r="W9" s="30">
        <v>79.53</v>
      </c>
      <c r="X9" s="30">
        <v>97.03</v>
      </c>
      <c r="Z9" s="30">
        <v>48.2</v>
      </c>
      <c r="AA9" s="30">
        <v>9.67</v>
      </c>
      <c r="AB9" s="30">
        <v>18.45</v>
      </c>
      <c r="AD9" s="30">
        <v>17.5</v>
      </c>
      <c r="AE9" s="30">
        <v>3.8</v>
      </c>
      <c r="AG9" s="30">
        <v>93</v>
      </c>
      <c r="AH9" s="30" t="s">
        <v>177</v>
      </c>
      <c r="AI9" s="30" t="s">
        <v>178</v>
      </c>
    </row>
    <row r="10" spans="1:35" ht="15" customHeight="1" x14ac:dyDescent="0.2">
      <c r="A10" s="27" t="s">
        <v>408</v>
      </c>
      <c r="B10" s="27" t="s">
        <v>156</v>
      </c>
      <c r="C10" s="27" t="s">
        <v>157</v>
      </c>
      <c r="D10" s="27" t="s">
        <v>409</v>
      </c>
      <c r="E10" s="28">
        <v>45571</v>
      </c>
      <c r="F10" s="28">
        <v>45607</v>
      </c>
      <c r="G10" s="27" t="s">
        <v>159</v>
      </c>
      <c r="H10" s="27" t="s">
        <v>211</v>
      </c>
      <c r="I10" s="27" t="s">
        <v>42</v>
      </c>
      <c r="J10" s="27" t="s">
        <v>161</v>
      </c>
      <c r="K10" s="28">
        <v>45536</v>
      </c>
      <c r="L10" s="28">
        <v>45565</v>
      </c>
      <c r="M10" s="29">
        <v>328</v>
      </c>
      <c r="N10" s="29">
        <v>98</v>
      </c>
      <c r="O10" s="29">
        <v>83</v>
      </c>
      <c r="P10" s="29">
        <v>147</v>
      </c>
      <c r="Q10" s="29">
        <v>1</v>
      </c>
      <c r="R10" s="29">
        <v>1</v>
      </c>
      <c r="S10" s="29">
        <v>0</v>
      </c>
      <c r="T10" s="29">
        <v>0</v>
      </c>
      <c r="U10" s="33"/>
      <c r="V10" s="30">
        <v>20</v>
      </c>
      <c r="W10" s="30">
        <v>81.63</v>
      </c>
      <c r="X10" s="30">
        <v>99.59</v>
      </c>
      <c r="Z10" s="30">
        <v>47.62</v>
      </c>
      <c r="AA10" s="30">
        <v>10.32</v>
      </c>
      <c r="AB10" s="30">
        <v>19.59</v>
      </c>
      <c r="AD10" s="30">
        <v>17.96</v>
      </c>
      <c r="AE10" s="30">
        <v>4.0999999999999996</v>
      </c>
      <c r="AG10" s="30">
        <v>93</v>
      </c>
      <c r="AH10" s="30" t="s">
        <v>177</v>
      </c>
      <c r="AI10" s="30" t="s">
        <v>178</v>
      </c>
    </row>
    <row r="11" spans="1:35" ht="15" customHeight="1" x14ac:dyDescent="0.2">
      <c r="A11" s="27" t="s">
        <v>352</v>
      </c>
      <c r="B11" s="27" t="s">
        <v>156</v>
      </c>
      <c r="C11" s="27" t="s">
        <v>157</v>
      </c>
      <c r="D11" s="27" t="s">
        <v>353</v>
      </c>
      <c r="E11" s="28">
        <v>45604</v>
      </c>
      <c r="F11" s="28">
        <v>45639</v>
      </c>
      <c r="G11" s="27" t="s">
        <v>159</v>
      </c>
      <c r="H11" s="27" t="s">
        <v>211</v>
      </c>
      <c r="I11" s="27" t="s">
        <v>42</v>
      </c>
      <c r="J11" s="27" t="s">
        <v>161</v>
      </c>
      <c r="K11" s="28">
        <v>45566</v>
      </c>
      <c r="L11" s="28">
        <v>45596</v>
      </c>
      <c r="M11" s="29">
        <v>487</v>
      </c>
      <c r="N11" s="29">
        <v>214</v>
      </c>
      <c r="O11" s="29">
        <v>120</v>
      </c>
      <c r="P11" s="29">
        <v>153</v>
      </c>
      <c r="Q11" s="29">
        <v>43</v>
      </c>
      <c r="R11" s="29">
        <v>33</v>
      </c>
      <c r="S11" s="29">
        <v>9</v>
      </c>
      <c r="T11" s="29">
        <v>1</v>
      </c>
      <c r="V11" s="30">
        <v>20</v>
      </c>
      <c r="W11" s="30">
        <v>137.54</v>
      </c>
      <c r="X11" s="30">
        <v>167.8</v>
      </c>
      <c r="Z11" s="30">
        <v>72.42</v>
      </c>
      <c r="AA11" s="30">
        <v>22.3</v>
      </c>
      <c r="AB11" s="30">
        <v>36.729999999999997</v>
      </c>
      <c r="AD11" s="30">
        <v>30.26</v>
      </c>
      <c r="AE11" s="30">
        <v>6.09</v>
      </c>
      <c r="AG11" s="30">
        <v>93</v>
      </c>
      <c r="AH11" s="30" t="s">
        <v>177</v>
      </c>
      <c r="AI11" s="30" t="s">
        <v>178</v>
      </c>
    </row>
    <row r="12" spans="1:35" ht="15" customHeight="1" x14ac:dyDescent="0.2">
      <c r="A12" s="27" t="s">
        <v>294</v>
      </c>
      <c r="B12" s="27" t="s">
        <v>156</v>
      </c>
      <c r="C12" s="27" t="s">
        <v>157</v>
      </c>
      <c r="D12" s="27" t="s">
        <v>295</v>
      </c>
      <c r="E12" s="28">
        <v>45632</v>
      </c>
      <c r="F12" s="28">
        <v>45667</v>
      </c>
      <c r="G12" s="27" t="s">
        <v>159</v>
      </c>
      <c r="H12" s="27" t="s">
        <v>211</v>
      </c>
      <c r="I12" s="27" t="s">
        <v>42</v>
      </c>
      <c r="J12" s="27" t="s">
        <v>161</v>
      </c>
      <c r="K12" s="28">
        <v>45597</v>
      </c>
      <c r="L12" s="28">
        <v>45626</v>
      </c>
      <c r="M12" s="29">
        <v>843</v>
      </c>
      <c r="N12" s="29">
        <v>315</v>
      </c>
      <c r="O12" s="29">
        <v>232</v>
      </c>
      <c r="P12" s="29">
        <v>296</v>
      </c>
      <c r="Q12" s="29">
        <v>204</v>
      </c>
      <c r="R12" s="29">
        <v>96</v>
      </c>
      <c r="S12" s="29">
        <v>62</v>
      </c>
      <c r="T12" s="29">
        <v>46</v>
      </c>
      <c r="U12" s="33"/>
      <c r="V12" s="30">
        <v>20</v>
      </c>
      <c r="W12" s="30">
        <v>244</v>
      </c>
      <c r="X12" s="30">
        <v>297.68</v>
      </c>
      <c r="Z12" s="30">
        <v>139.21</v>
      </c>
      <c r="AA12" s="30">
        <v>34.07</v>
      </c>
      <c r="AB12" s="30">
        <v>60.18</v>
      </c>
      <c r="AD12" s="30">
        <v>53.68</v>
      </c>
      <c r="AE12" s="30">
        <v>10.54</v>
      </c>
      <c r="AG12" s="30">
        <v>93</v>
      </c>
      <c r="AH12" s="30" t="s">
        <v>177</v>
      </c>
      <c r="AI12" s="30" t="s">
        <v>178</v>
      </c>
    </row>
    <row r="13" spans="1:35" ht="15" customHeight="1" x14ac:dyDescent="0.2">
      <c r="A13" s="27" t="s">
        <v>209</v>
      </c>
      <c r="B13" s="27" t="s">
        <v>156</v>
      </c>
      <c r="C13" s="27" t="s">
        <v>157</v>
      </c>
      <c r="D13" s="27" t="s">
        <v>210</v>
      </c>
      <c r="E13" s="28">
        <v>45665</v>
      </c>
      <c r="F13" s="28">
        <v>45700</v>
      </c>
      <c r="G13" s="27" t="s">
        <v>159</v>
      </c>
      <c r="H13" s="27" t="s">
        <v>211</v>
      </c>
      <c r="I13" s="27" t="s">
        <v>42</v>
      </c>
      <c r="J13" s="27" t="s">
        <v>161</v>
      </c>
      <c r="K13" s="28">
        <v>45627</v>
      </c>
      <c r="L13" s="28">
        <v>45657</v>
      </c>
      <c r="M13" s="29">
        <v>1020</v>
      </c>
      <c r="N13" s="29">
        <v>414</v>
      </c>
      <c r="O13" s="29">
        <v>240</v>
      </c>
      <c r="P13" s="29">
        <v>366</v>
      </c>
      <c r="Q13" s="29">
        <v>345</v>
      </c>
      <c r="R13" s="29">
        <v>185</v>
      </c>
      <c r="S13" s="29">
        <v>84</v>
      </c>
      <c r="T13" s="29">
        <v>76</v>
      </c>
      <c r="U13" s="33"/>
      <c r="V13" s="30">
        <v>20</v>
      </c>
      <c r="W13" s="30">
        <v>292.58</v>
      </c>
      <c r="X13" s="30">
        <v>356.95</v>
      </c>
      <c r="Z13" s="30">
        <v>181.24</v>
      </c>
      <c r="AA13" s="30">
        <v>33.270000000000003</v>
      </c>
      <c r="AB13" s="30">
        <v>65.319999999999993</v>
      </c>
      <c r="AD13" s="30">
        <v>64.37</v>
      </c>
      <c r="AE13" s="30">
        <v>12.75</v>
      </c>
      <c r="AG13" s="30">
        <v>93</v>
      </c>
      <c r="AH13" s="30" t="s">
        <v>177</v>
      </c>
      <c r="AI13" s="30" t="s">
        <v>178</v>
      </c>
    </row>
    <row r="14" spans="1:35" ht="15" customHeight="1" x14ac:dyDescent="0.2">
      <c r="A14" s="27" t="s">
        <v>907</v>
      </c>
      <c r="B14" s="27" t="s">
        <v>839</v>
      </c>
      <c r="C14" s="27" t="s">
        <v>840</v>
      </c>
      <c r="D14" s="27" t="s">
        <v>908</v>
      </c>
      <c r="E14" s="28">
        <v>45349</v>
      </c>
      <c r="F14" s="28">
        <v>45379</v>
      </c>
      <c r="G14" s="27" t="s">
        <v>159</v>
      </c>
      <c r="H14" s="27" t="s">
        <v>909</v>
      </c>
      <c r="I14" s="27" t="s">
        <v>46</v>
      </c>
      <c r="J14" s="27" t="s">
        <v>843</v>
      </c>
      <c r="K14" s="28">
        <v>45292</v>
      </c>
      <c r="L14" s="28">
        <v>45322</v>
      </c>
      <c r="M14" s="29">
        <v>481</v>
      </c>
      <c r="N14" s="29">
        <v>211</v>
      </c>
      <c r="O14" s="29">
        <v>105</v>
      </c>
      <c r="P14" s="29">
        <v>165</v>
      </c>
      <c r="Q14" s="29">
        <v>219</v>
      </c>
      <c r="R14" s="29">
        <v>80</v>
      </c>
      <c r="S14" s="29">
        <v>44</v>
      </c>
      <c r="T14" s="29">
        <v>95</v>
      </c>
      <c r="U14" s="30">
        <v>6</v>
      </c>
      <c r="V14" s="30">
        <v>6.6</v>
      </c>
      <c r="W14" s="30">
        <v>143.88999999999999</v>
      </c>
      <c r="X14" s="30">
        <v>175.55</v>
      </c>
      <c r="Z14" s="30">
        <v>76.11</v>
      </c>
      <c r="AA14" s="30">
        <v>25</v>
      </c>
      <c r="AB14" s="30">
        <v>34.36</v>
      </c>
      <c r="AC14" s="35">
        <v>2.41</v>
      </c>
      <c r="AD14" s="30">
        <v>6.01</v>
      </c>
      <c r="AE14" s="30">
        <v>31.66</v>
      </c>
      <c r="AG14" s="30">
        <v>100</v>
      </c>
      <c r="AH14" s="30" t="s">
        <v>162</v>
      </c>
      <c r="AI14" s="30" t="s">
        <v>851</v>
      </c>
    </row>
    <row r="15" spans="1:35" ht="15" customHeight="1" x14ac:dyDescent="0.2">
      <c r="A15" s="27" t="s">
        <v>822</v>
      </c>
      <c r="B15" s="27" t="s">
        <v>156</v>
      </c>
      <c r="C15" s="27" t="s">
        <v>157</v>
      </c>
      <c r="D15" s="27" t="s">
        <v>823</v>
      </c>
      <c r="E15" s="28">
        <v>45358</v>
      </c>
      <c r="F15" s="28">
        <v>45393</v>
      </c>
      <c r="G15" s="27" t="s">
        <v>159</v>
      </c>
      <c r="H15" s="27" t="s">
        <v>228</v>
      </c>
      <c r="I15" s="27" t="s">
        <v>46</v>
      </c>
      <c r="J15" s="27" t="s">
        <v>161</v>
      </c>
      <c r="K15" s="28">
        <v>45323</v>
      </c>
      <c r="L15" s="28">
        <v>45351</v>
      </c>
      <c r="M15" s="29">
        <v>458</v>
      </c>
      <c r="N15" s="29">
        <v>199</v>
      </c>
      <c r="O15" s="29">
        <v>118</v>
      </c>
      <c r="P15" s="29">
        <v>141</v>
      </c>
      <c r="Q15" s="29">
        <v>226</v>
      </c>
      <c r="R15" s="29">
        <v>85</v>
      </c>
      <c r="S15" s="29">
        <v>51</v>
      </c>
      <c r="T15" s="29">
        <v>90</v>
      </c>
      <c r="U15" s="30">
        <v>6</v>
      </c>
      <c r="V15" s="30">
        <v>6.6</v>
      </c>
      <c r="W15" s="30">
        <v>119.49</v>
      </c>
      <c r="X15" s="30">
        <v>145.78</v>
      </c>
      <c r="Z15" s="30">
        <v>55.65</v>
      </c>
      <c r="AA15" s="30">
        <v>24.71</v>
      </c>
      <c r="AB15" s="30">
        <v>33.4</v>
      </c>
      <c r="AD15" s="30">
        <v>26.29</v>
      </c>
      <c r="AE15" s="30">
        <v>5.73</v>
      </c>
      <c r="AG15" s="30">
        <v>100</v>
      </c>
      <c r="AH15" s="30" t="s">
        <v>162</v>
      </c>
      <c r="AI15" s="30" t="s">
        <v>163</v>
      </c>
    </row>
    <row r="16" spans="1:35" ht="15" customHeight="1" x14ac:dyDescent="0.2">
      <c r="A16" s="27" t="s">
        <v>724</v>
      </c>
      <c r="B16" s="27" t="s">
        <v>156</v>
      </c>
      <c r="C16" s="27" t="s">
        <v>157</v>
      </c>
      <c r="D16" s="27" t="s">
        <v>725</v>
      </c>
      <c r="E16" s="28">
        <v>45395</v>
      </c>
      <c r="F16" s="28">
        <v>45432</v>
      </c>
      <c r="G16" s="27" t="s">
        <v>159</v>
      </c>
      <c r="H16" s="27" t="s">
        <v>228</v>
      </c>
      <c r="I16" s="27" t="s">
        <v>46</v>
      </c>
      <c r="J16" s="27" t="s">
        <v>161</v>
      </c>
      <c r="K16" s="28">
        <v>45352</v>
      </c>
      <c r="L16" s="28">
        <v>45382</v>
      </c>
      <c r="M16" s="29">
        <v>487</v>
      </c>
      <c r="N16" s="29">
        <v>182</v>
      </c>
      <c r="O16" s="29">
        <v>137</v>
      </c>
      <c r="P16" s="29">
        <v>168</v>
      </c>
      <c r="Q16" s="29">
        <v>264</v>
      </c>
      <c r="R16" s="29">
        <v>90</v>
      </c>
      <c r="S16" s="29">
        <v>63</v>
      </c>
      <c r="T16" s="29">
        <v>111</v>
      </c>
      <c r="U16" s="35">
        <v>6</v>
      </c>
      <c r="V16" s="30">
        <v>6.6</v>
      </c>
      <c r="W16" s="30">
        <v>122.9</v>
      </c>
      <c r="X16" s="30">
        <v>149.94</v>
      </c>
      <c r="Z16" s="30">
        <v>57.14</v>
      </c>
      <c r="AA16" s="30">
        <v>25.07</v>
      </c>
      <c r="AB16" s="30">
        <v>34.6</v>
      </c>
      <c r="AD16" s="30">
        <v>27.04</v>
      </c>
      <c r="AE16" s="30">
        <v>6.09</v>
      </c>
      <c r="AG16" s="30">
        <v>100</v>
      </c>
      <c r="AH16" s="30" t="s">
        <v>162</v>
      </c>
      <c r="AI16" s="30" t="s">
        <v>163</v>
      </c>
    </row>
    <row r="17" spans="1:35" ht="15" customHeight="1" x14ac:dyDescent="0.2">
      <c r="A17" s="27" t="s">
        <v>706</v>
      </c>
      <c r="B17" s="27" t="s">
        <v>156</v>
      </c>
      <c r="C17" s="27" t="s">
        <v>157</v>
      </c>
      <c r="D17" s="27" t="s">
        <v>707</v>
      </c>
      <c r="E17" s="28">
        <v>45419</v>
      </c>
      <c r="F17" s="28">
        <v>45454</v>
      </c>
      <c r="G17" s="27" t="s">
        <v>159</v>
      </c>
      <c r="H17" s="27" t="s">
        <v>228</v>
      </c>
      <c r="I17" s="27" t="s">
        <v>46</v>
      </c>
      <c r="J17" s="27" t="s">
        <v>161</v>
      </c>
      <c r="K17" s="28">
        <v>45383</v>
      </c>
      <c r="L17" s="28">
        <v>45390</v>
      </c>
      <c r="M17" s="29">
        <v>448</v>
      </c>
      <c r="N17" s="29">
        <v>169</v>
      </c>
      <c r="O17" s="29">
        <v>121</v>
      </c>
      <c r="P17" s="29">
        <v>158</v>
      </c>
      <c r="Q17" s="29">
        <v>274</v>
      </c>
      <c r="R17" s="29">
        <v>95</v>
      </c>
      <c r="S17" s="29">
        <v>58</v>
      </c>
      <c r="T17" s="29">
        <v>121</v>
      </c>
      <c r="U17" s="35">
        <v>6</v>
      </c>
      <c r="V17" s="30">
        <v>6.6</v>
      </c>
      <c r="W17" s="30">
        <v>119.74</v>
      </c>
      <c r="X17" s="30">
        <v>146.08000000000001</v>
      </c>
      <c r="Z17" s="30">
        <v>51.15</v>
      </c>
      <c r="AA17" s="30">
        <v>24.58</v>
      </c>
      <c r="AB17" s="30">
        <v>38.409999999999997</v>
      </c>
      <c r="AD17" s="30">
        <v>26.34</v>
      </c>
      <c r="AE17" s="30">
        <v>1.61</v>
      </c>
      <c r="AG17" s="30">
        <v>100</v>
      </c>
      <c r="AH17" s="30" t="s">
        <v>162</v>
      </c>
      <c r="AI17" s="30" t="s">
        <v>163</v>
      </c>
    </row>
    <row r="18" spans="1:35" ht="15" customHeight="1" x14ac:dyDescent="0.2">
      <c r="A18" s="27" t="s">
        <v>648</v>
      </c>
      <c r="B18" s="27" t="s">
        <v>156</v>
      </c>
      <c r="C18" s="27" t="s">
        <v>157</v>
      </c>
      <c r="D18" s="27" t="s">
        <v>649</v>
      </c>
      <c r="E18" s="28">
        <v>45449</v>
      </c>
      <c r="F18" s="28">
        <v>45484</v>
      </c>
      <c r="G18" s="27" t="s">
        <v>159</v>
      </c>
      <c r="H18" s="27" t="s">
        <v>228</v>
      </c>
      <c r="I18" s="27" t="s">
        <v>46</v>
      </c>
      <c r="J18" s="27" t="s">
        <v>161</v>
      </c>
      <c r="K18" s="28">
        <v>45413</v>
      </c>
      <c r="L18" s="28">
        <v>45443</v>
      </c>
      <c r="M18" s="29">
        <v>452</v>
      </c>
      <c r="N18" s="29">
        <v>179</v>
      </c>
      <c r="O18" s="29">
        <v>116</v>
      </c>
      <c r="P18" s="29">
        <v>157</v>
      </c>
      <c r="Q18" s="29">
        <v>303</v>
      </c>
      <c r="R18" s="29">
        <v>115</v>
      </c>
      <c r="S18" s="29">
        <v>66</v>
      </c>
      <c r="T18" s="29">
        <v>122</v>
      </c>
      <c r="U18" s="30">
        <v>6</v>
      </c>
      <c r="V18" s="30">
        <v>6.6</v>
      </c>
      <c r="W18" s="30">
        <v>124.21</v>
      </c>
      <c r="X18" s="30">
        <v>151.54</v>
      </c>
      <c r="Z18" s="30">
        <v>55.35</v>
      </c>
      <c r="AA18" s="30">
        <v>24.63</v>
      </c>
      <c r="AB18" s="30">
        <v>38.58</v>
      </c>
      <c r="AD18" s="30">
        <v>27.33</v>
      </c>
      <c r="AE18" s="30">
        <v>5.65</v>
      </c>
      <c r="AG18" s="30">
        <v>100</v>
      </c>
      <c r="AH18" s="30" t="s">
        <v>162</v>
      </c>
      <c r="AI18" s="30" t="s">
        <v>163</v>
      </c>
    </row>
    <row r="19" spans="1:35" ht="15" customHeight="1" x14ac:dyDescent="0.2">
      <c r="A19" s="27" t="s">
        <v>596</v>
      </c>
      <c r="B19" s="27" t="s">
        <v>156</v>
      </c>
      <c r="C19" s="27" t="s">
        <v>157</v>
      </c>
      <c r="D19" s="27" t="s">
        <v>597</v>
      </c>
      <c r="E19" s="28">
        <v>45478</v>
      </c>
      <c r="F19" s="28">
        <v>45513</v>
      </c>
      <c r="G19" s="27" t="s">
        <v>159</v>
      </c>
      <c r="H19" s="27" t="s">
        <v>228</v>
      </c>
      <c r="I19" s="27" t="s">
        <v>46</v>
      </c>
      <c r="J19" s="27" t="s">
        <v>161</v>
      </c>
      <c r="K19" s="28">
        <v>45444</v>
      </c>
      <c r="L19" s="28">
        <v>45473</v>
      </c>
      <c r="M19" s="29">
        <v>440</v>
      </c>
      <c r="N19" s="29">
        <v>157</v>
      </c>
      <c r="O19" s="29">
        <v>116</v>
      </c>
      <c r="P19" s="29">
        <v>167</v>
      </c>
      <c r="Q19" s="29">
        <v>293</v>
      </c>
      <c r="R19" s="29">
        <v>99</v>
      </c>
      <c r="S19" s="29">
        <v>70</v>
      </c>
      <c r="T19" s="29">
        <v>124</v>
      </c>
      <c r="U19" s="30">
        <v>6</v>
      </c>
      <c r="V19" s="30">
        <v>6.6</v>
      </c>
      <c r="W19" s="30">
        <v>127.14</v>
      </c>
      <c r="X19" s="30">
        <v>155.11000000000001</v>
      </c>
      <c r="Z19" s="30">
        <v>59.16</v>
      </c>
      <c r="AA19" s="30">
        <v>24.48</v>
      </c>
      <c r="AB19" s="30">
        <v>38</v>
      </c>
      <c r="AD19" s="30">
        <v>27.97</v>
      </c>
      <c r="AE19" s="30">
        <v>5.5</v>
      </c>
      <c r="AG19" s="30">
        <v>100</v>
      </c>
      <c r="AH19" s="30" t="s">
        <v>162</v>
      </c>
      <c r="AI19" s="30" t="s">
        <v>163</v>
      </c>
    </row>
    <row r="20" spans="1:35" ht="15" customHeight="1" x14ac:dyDescent="0.2">
      <c r="A20" s="27" t="s">
        <v>534</v>
      </c>
      <c r="B20" s="27" t="s">
        <v>156</v>
      </c>
      <c r="C20" s="27" t="s">
        <v>157</v>
      </c>
      <c r="D20" s="27" t="s">
        <v>535</v>
      </c>
      <c r="E20" s="28">
        <v>45511</v>
      </c>
      <c r="F20" s="28">
        <v>45546</v>
      </c>
      <c r="G20" s="27" t="s">
        <v>159</v>
      </c>
      <c r="H20" s="27" t="s">
        <v>228</v>
      </c>
      <c r="I20" s="27" t="s">
        <v>46</v>
      </c>
      <c r="J20" s="27" t="s">
        <v>161</v>
      </c>
      <c r="K20" s="28">
        <v>45474</v>
      </c>
      <c r="L20" s="28">
        <v>45504</v>
      </c>
      <c r="M20" s="29">
        <v>337</v>
      </c>
      <c r="N20" s="29">
        <v>146</v>
      </c>
      <c r="O20" s="29">
        <v>72</v>
      </c>
      <c r="P20" s="29">
        <v>119</v>
      </c>
      <c r="Q20" s="29">
        <v>270</v>
      </c>
      <c r="R20" s="29">
        <v>101</v>
      </c>
      <c r="S20" s="29">
        <v>61</v>
      </c>
      <c r="T20" s="29">
        <v>108</v>
      </c>
      <c r="U20" s="30">
        <v>6</v>
      </c>
      <c r="V20" s="30">
        <v>6.6</v>
      </c>
      <c r="W20" s="30">
        <v>112.11</v>
      </c>
      <c r="X20" s="30">
        <v>136.77000000000001</v>
      </c>
      <c r="Z20" s="30">
        <v>51.71</v>
      </c>
      <c r="AA20" s="30">
        <v>23.15</v>
      </c>
      <c r="AB20" s="30">
        <v>33.04</v>
      </c>
      <c r="AD20" s="30">
        <v>24.66</v>
      </c>
      <c r="AE20" s="30">
        <v>4.21</v>
      </c>
      <c r="AG20" s="30">
        <v>100</v>
      </c>
      <c r="AH20" s="30" t="s">
        <v>162</v>
      </c>
      <c r="AI20" s="30" t="s">
        <v>163</v>
      </c>
    </row>
    <row r="21" spans="1:35" ht="15" customHeight="1" x14ac:dyDescent="0.2">
      <c r="A21" s="27" t="s">
        <v>478</v>
      </c>
      <c r="B21" s="27" t="s">
        <v>156</v>
      </c>
      <c r="C21" s="27" t="s">
        <v>157</v>
      </c>
      <c r="D21" s="27" t="s">
        <v>479</v>
      </c>
      <c r="E21" s="28">
        <v>45541</v>
      </c>
      <c r="F21" s="28">
        <v>45576</v>
      </c>
      <c r="G21" s="27" t="s">
        <v>159</v>
      </c>
      <c r="H21" s="27" t="s">
        <v>228</v>
      </c>
      <c r="I21" s="27" t="s">
        <v>46</v>
      </c>
      <c r="J21" s="27" t="s">
        <v>161</v>
      </c>
      <c r="K21" s="28">
        <v>45505</v>
      </c>
      <c r="L21" s="28">
        <v>45535</v>
      </c>
      <c r="M21" s="29">
        <v>2045</v>
      </c>
      <c r="N21" s="29">
        <v>772</v>
      </c>
      <c r="O21" s="29">
        <v>521</v>
      </c>
      <c r="P21" s="29">
        <v>752</v>
      </c>
      <c r="Q21" s="29">
        <v>1401</v>
      </c>
      <c r="R21" s="29">
        <v>492</v>
      </c>
      <c r="S21" s="29">
        <v>318</v>
      </c>
      <c r="T21" s="29">
        <v>591</v>
      </c>
      <c r="U21" s="30">
        <v>6</v>
      </c>
      <c r="V21" s="30">
        <v>6.6</v>
      </c>
      <c r="W21" s="30">
        <v>120.79</v>
      </c>
      <c r="X21" s="30">
        <v>147.36000000000001</v>
      </c>
      <c r="Z21" s="30">
        <v>58.41</v>
      </c>
      <c r="AA21" s="30">
        <v>23.55</v>
      </c>
      <c r="AB21" s="30">
        <v>34.53</v>
      </c>
      <c r="AD21" s="30">
        <v>26.57</v>
      </c>
      <c r="AE21" s="30">
        <v>4.5999999999999996</v>
      </c>
      <c r="AG21" s="30">
        <v>100</v>
      </c>
      <c r="AH21" s="30" t="s">
        <v>162</v>
      </c>
      <c r="AI21" s="30" t="s">
        <v>163</v>
      </c>
    </row>
    <row r="22" spans="1:35" ht="15" customHeight="1" x14ac:dyDescent="0.2">
      <c r="A22" s="27" t="s">
        <v>416</v>
      </c>
      <c r="B22" s="27" t="s">
        <v>156</v>
      </c>
      <c r="C22" s="27" t="s">
        <v>157</v>
      </c>
      <c r="D22" s="27" t="s">
        <v>417</v>
      </c>
      <c r="E22" s="28">
        <v>45571</v>
      </c>
      <c r="F22" s="28">
        <v>45607</v>
      </c>
      <c r="G22" s="27" t="s">
        <v>159</v>
      </c>
      <c r="H22" s="27" t="s">
        <v>228</v>
      </c>
      <c r="I22" s="27" t="s">
        <v>46</v>
      </c>
      <c r="J22" s="27" t="s">
        <v>161</v>
      </c>
      <c r="K22" s="28">
        <v>45536</v>
      </c>
      <c r="L22" s="28">
        <v>45565</v>
      </c>
      <c r="M22" s="29">
        <v>495</v>
      </c>
      <c r="N22" s="29">
        <v>195</v>
      </c>
      <c r="O22" s="29">
        <v>117</v>
      </c>
      <c r="P22" s="29">
        <v>183</v>
      </c>
      <c r="Q22" s="29">
        <v>290</v>
      </c>
      <c r="R22" s="29">
        <v>105</v>
      </c>
      <c r="S22" s="29">
        <v>64</v>
      </c>
      <c r="T22" s="29">
        <v>121</v>
      </c>
      <c r="U22" s="30">
        <v>6</v>
      </c>
      <c r="V22" s="30">
        <v>6.6</v>
      </c>
      <c r="W22" s="30">
        <v>144.55000000000001</v>
      </c>
      <c r="X22" s="30">
        <v>176.35</v>
      </c>
      <c r="Z22" s="30">
        <v>72.53</v>
      </c>
      <c r="AA22" s="30">
        <v>25.18</v>
      </c>
      <c r="AB22" s="30">
        <v>40.65</v>
      </c>
      <c r="AD22" s="30">
        <v>31.8</v>
      </c>
      <c r="AE22" s="30">
        <v>6.19</v>
      </c>
      <c r="AG22" s="30">
        <v>100</v>
      </c>
      <c r="AH22" s="30" t="s">
        <v>162</v>
      </c>
      <c r="AI22" s="30" t="s">
        <v>163</v>
      </c>
    </row>
    <row r="23" spans="1:35" ht="15" customHeight="1" x14ac:dyDescent="0.2">
      <c r="A23" s="27" t="s">
        <v>362</v>
      </c>
      <c r="B23" s="27" t="s">
        <v>156</v>
      </c>
      <c r="C23" s="27" t="s">
        <v>157</v>
      </c>
      <c r="D23" s="27" t="s">
        <v>363</v>
      </c>
      <c r="E23" s="28">
        <v>45604</v>
      </c>
      <c r="F23" s="28">
        <v>45639</v>
      </c>
      <c r="G23" s="27" t="s">
        <v>159</v>
      </c>
      <c r="H23" s="27" t="s">
        <v>228</v>
      </c>
      <c r="I23" s="27" t="s">
        <v>46</v>
      </c>
      <c r="J23" s="27" t="s">
        <v>161</v>
      </c>
      <c r="K23" s="28">
        <v>45566</v>
      </c>
      <c r="L23" s="28">
        <v>45596</v>
      </c>
      <c r="M23" s="29">
        <v>676</v>
      </c>
      <c r="N23" s="29">
        <v>341</v>
      </c>
      <c r="O23" s="29">
        <v>148</v>
      </c>
      <c r="P23" s="29">
        <v>187</v>
      </c>
      <c r="Q23" s="29">
        <v>222</v>
      </c>
      <c r="R23" s="29">
        <v>83</v>
      </c>
      <c r="S23" s="29">
        <v>50</v>
      </c>
      <c r="T23" s="29">
        <v>89</v>
      </c>
      <c r="U23" s="30">
        <v>6</v>
      </c>
      <c r="V23" s="30">
        <v>6.6</v>
      </c>
      <c r="W23" s="30">
        <v>186.48</v>
      </c>
      <c r="X23" s="30">
        <v>227.51</v>
      </c>
      <c r="Z23" s="30">
        <v>101.15</v>
      </c>
      <c r="AA23" s="30">
        <v>27.5</v>
      </c>
      <c r="AB23" s="30">
        <v>49.38</v>
      </c>
      <c r="AD23" s="30">
        <v>41.03</v>
      </c>
      <c r="AE23" s="30">
        <v>8.4499999999999993</v>
      </c>
      <c r="AG23" s="30">
        <v>100</v>
      </c>
      <c r="AH23" s="30" t="s">
        <v>162</v>
      </c>
      <c r="AI23" s="30" t="s">
        <v>163</v>
      </c>
    </row>
    <row r="24" spans="1:35" ht="15" customHeight="1" x14ac:dyDescent="0.2">
      <c r="A24" s="27" t="s">
        <v>304</v>
      </c>
      <c r="B24" s="27" t="s">
        <v>156</v>
      </c>
      <c r="C24" s="27" t="s">
        <v>157</v>
      </c>
      <c r="D24" s="27" t="s">
        <v>305</v>
      </c>
      <c r="E24" s="28">
        <v>45632</v>
      </c>
      <c r="F24" s="28">
        <v>45667</v>
      </c>
      <c r="G24" s="27" t="s">
        <v>159</v>
      </c>
      <c r="H24" s="27" t="s">
        <v>228</v>
      </c>
      <c r="I24" s="27" t="s">
        <v>46</v>
      </c>
      <c r="J24" s="27" t="s">
        <v>161</v>
      </c>
      <c r="K24" s="28">
        <v>45597</v>
      </c>
      <c r="L24" s="28">
        <v>45626</v>
      </c>
      <c r="M24" s="29">
        <v>798</v>
      </c>
      <c r="N24" s="29">
        <v>384</v>
      </c>
      <c r="O24" s="29">
        <v>174</v>
      </c>
      <c r="P24" s="29">
        <v>240</v>
      </c>
      <c r="Q24" s="29">
        <v>251</v>
      </c>
      <c r="R24" s="29">
        <v>84</v>
      </c>
      <c r="S24" s="29">
        <v>59</v>
      </c>
      <c r="T24" s="29">
        <v>108</v>
      </c>
      <c r="U24" s="30">
        <v>6</v>
      </c>
      <c r="V24" s="30">
        <v>6.6</v>
      </c>
      <c r="W24" s="30">
        <v>227.56</v>
      </c>
      <c r="X24" s="30">
        <v>277.62</v>
      </c>
      <c r="Z24" s="30">
        <v>133.25</v>
      </c>
      <c r="AA24" s="30">
        <v>29.07</v>
      </c>
      <c r="AB24" s="30">
        <v>55.26</v>
      </c>
      <c r="AD24" s="30">
        <v>50.06</v>
      </c>
      <c r="AE24" s="30">
        <v>9.98</v>
      </c>
      <c r="AG24" s="30">
        <v>100</v>
      </c>
      <c r="AH24" s="30" t="s">
        <v>162</v>
      </c>
      <c r="AI24" s="30" t="s">
        <v>163</v>
      </c>
    </row>
    <row r="25" spans="1:35" ht="15" customHeight="1" x14ac:dyDescent="0.2">
      <c r="A25" s="27" t="s">
        <v>226</v>
      </c>
      <c r="B25" s="27" t="s">
        <v>156</v>
      </c>
      <c r="C25" s="27" t="s">
        <v>157</v>
      </c>
      <c r="D25" s="27" t="s">
        <v>227</v>
      </c>
      <c r="E25" s="28">
        <v>45665</v>
      </c>
      <c r="F25" s="28">
        <v>45700</v>
      </c>
      <c r="G25" s="27" t="s">
        <v>159</v>
      </c>
      <c r="H25" s="27" t="s">
        <v>228</v>
      </c>
      <c r="I25" s="27" t="s">
        <v>46</v>
      </c>
      <c r="J25" s="27" t="s">
        <v>161</v>
      </c>
      <c r="K25" s="28">
        <v>45627</v>
      </c>
      <c r="L25" s="28">
        <v>45657</v>
      </c>
      <c r="M25" s="29">
        <v>1030</v>
      </c>
      <c r="N25" s="29">
        <v>482</v>
      </c>
      <c r="O25" s="29">
        <v>198</v>
      </c>
      <c r="P25" s="29">
        <v>350</v>
      </c>
      <c r="Q25" s="29">
        <v>252</v>
      </c>
      <c r="R25" s="29">
        <v>80</v>
      </c>
      <c r="S25" s="29">
        <v>53</v>
      </c>
      <c r="T25" s="29">
        <v>119</v>
      </c>
      <c r="U25" s="30">
        <v>6</v>
      </c>
      <c r="V25" s="30">
        <v>6.6</v>
      </c>
      <c r="W25" s="30">
        <v>295.95</v>
      </c>
      <c r="X25" s="30">
        <v>361.06</v>
      </c>
      <c r="Z25" s="30">
        <v>184.57</v>
      </c>
      <c r="AA25" s="30">
        <v>32.06</v>
      </c>
      <c r="AB25" s="30">
        <v>66.44</v>
      </c>
      <c r="AD25" s="30">
        <v>65.11</v>
      </c>
      <c r="AE25" s="30">
        <v>12.88</v>
      </c>
      <c r="AG25" s="30">
        <v>100</v>
      </c>
      <c r="AH25" s="30" t="s">
        <v>162</v>
      </c>
      <c r="AI25" s="30" t="s">
        <v>163</v>
      </c>
    </row>
    <row r="26" spans="1:35" ht="15" customHeight="1" x14ac:dyDescent="0.2">
      <c r="A26" s="27" t="s">
        <v>880</v>
      </c>
      <c r="B26" s="27" t="s">
        <v>839</v>
      </c>
      <c r="C26" s="27" t="s">
        <v>840</v>
      </c>
      <c r="D26" s="27" t="s">
        <v>881</v>
      </c>
      <c r="E26" s="28">
        <v>45350</v>
      </c>
      <c r="F26" s="28">
        <v>45380</v>
      </c>
      <c r="G26" s="27" t="s">
        <v>159</v>
      </c>
      <c r="H26" s="27" t="s">
        <v>882</v>
      </c>
      <c r="I26" s="27" t="s">
        <v>38</v>
      </c>
      <c r="J26" s="27" t="s">
        <v>843</v>
      </c>
      <c r="K26" s="28">
        <v>45292</v>
      </c>
      <c r="L26" s="28">
        <v>45322</v>
      </c>
      <c r="M26" s="29">
        <v>40</v>
      </c>
      <c r="N26" s="29">
        <v>6</v>
      </c>
      <c r="O26" s="29">
        <v>10</v>
      </c>
      <c r="P26" s="29">
        <v>24</v>
      </c>
      <c r="Q26" s="29">
        <v>17</v>
      </c>
      <c r="R26" s="29">
        <v>3</v>
      </c>
      <c r="S26" s="29">
        <v>4</v>
      </c>
      <c r="T26" s="29">
        <v>10</v>
      </c>
      <c r="U26" s="35">
        <v>0.9</v>
      </c>
      <c r="V26" s="30">
        <v>1</v>
      </c>
      <c r="W26" s="30">
        <v>17.100000000000001</v>
      </c>
      <c r="X26" s="30">
        <v>20.86</v>
      </c>
      <c r="Z26" s="30">
        <v>6.1</v>
      </c>
      <c r="AA26" s="30">
        <v>5.17</v>
      </c>
      <c r="AB26" s="30">
        <v>5.13</v>
      </c>
      <c r="AC26" s="35">
        <v>0.2</v>
      </c>
      <c r="AD26" s="30">
        <v>0.5</v>
      </c>
      <c r="AE26" s="30">
        <v>3.76</v>
      </c>
      <c r="AG26" s="30">
        <v>100</v>
      </c>
      <c r="AH26" s="30" t="s">
        <v>162</v>
      </c>
      <c r="AI26" s="30" t="s">
        <v>851</v>
      </c>
    </row>
    <row r="27" spans="1:35" ht="15" customHeight="1" x14ac:dyDescent="0.2">
      <c r="A27" s="27" t="s">
        <v>792</v>
      </c>
      <c r="B27" s="27" t="s">
        <v>156</v>
      </c>
      <c r="C27" s="27" t="s">
        <v>157</v>
      </c>
      <c r="D27" s="27" t="s">
        <v>793</v>
      </c>
      <c r="E27" s="28">
        <v>45358</v>
      </c>
      <c r="F27" s="28">
        <v>45393</v>
      </c>
      <c r="G27" s="27" t="s">
        <v>159</v>
      </c>
      <c r="H27" s="27" t="s">
        <v>181</v>
      </c>
      <c r="I27" s="27" t="s">
        <v>38</v>
      </c>
      <c r="J27" s="27" t="s">
        <v>161</v>
      </c>
      <c r="K27" s="28">
        <v>45323</v>
      </c>
      <c r="L27" s="28">
        <v>45351</v>
      </c>
      <c r="M27" s="29">
        <v>19</v>
      </c>
      <c r="N27" s="29">
        <v>2</v>
      </c>
      <c r="O27" s="29">
        <v>5</v>
      </c>
      <c r="P27" s="29">
        <v>12</v>
      </c>
      <c r="Q27" s="29">
        <v>16</v>
      </c>
      <c r="R27" s="29">
        <v>4</v>
      </c>
      <c r="S27" s="29">
        <v>4</v>
      </c>
      <c r="T27" s="29">
        <v>8</v>
      </c>
      <c r="U27" s="33"/>
      <c r="V27" s="30">
        <v>1</v>
      </c>
      <c r="W27" s="30">
        <v>11.58</v>
      </c>
      <c r="X27" s="30">
        <v>14.13</v>
      </c>
      <c r="Z27" s="30">
        <v>2.1800000000000002</v>
      </c>
      <c r="AA27" s="30">
        <v>4.9000000000000004</v>
      </c>
      <c r="AB27" s="30">
        <v>4.26</v>
      </c>
      <c r="AD27" s="30">
        <v>2.5499999999999998</v>
      </c>
      <c r="AE27" s="30">
        <v>0.24</v>
      </c>
      <c r="AG27" s="30">
        <v>93</v>
      </c>
      <c r="AH27" s="30" t="s">
        <v>177</v>
      </c>
      <c r="AI27" s="30" t="s">
        <v>178</v>
      </c>
    </row>
    <row r="28" spans="1:35" ht="15" customHeight="1" x14ac:dyDescent="0.2">
      <c r="A28" s="27" t="s">
        <v>744</v>
      </c>
      <c r="B28" s="27" t="s">
        <v>156</v>
      </c>
      <c r="C28" s="27" t="s">
        <v>157</v>
      </c>
      <c r="D28" s="27" t="s">
        <v>745</v>
      </c>
      <c r="E28" s="28">
        <v>45390</v>
      </c>
      <c r="F28" s="28">
        <v>45425</v>
      </c>
      <c r="G28" s="27" t="s">
        <v>159</v>
      </c>
      <c r="H28" s="27" t="s">
        <v>181</v>
      </c>
      <c r="I28" s="27" t="s">
        <v>38</v>
      </c>
      <c r="J28" s="27" t="s">
        <v>161</v>
      </c>
      <c r="K28" s="28">
        <v>45352</v>
      </c>
      <c r="L28" s="28">
        <v>45382</v>
      </c>
      <c r="M28" s="29">
        <v>19</v>
      </c>
      <c r="N28" s="29">
        <v>3</v>
      </c>
      <c r="O28" s="29">
        <v>5</v>
      </c>
      <c r="P28" s="29">
        <v>11</v>
      </c>
      <c r="Q28" s="29">
        <v>15</v>
      </c>
      <c r="R28" s="29">
        <v>3</v>
      </c>
      <c r="S28" s="29">
        <v>4</v>
      </c>
      <c r="T28" s="29">
        <v>8</v>
      </c>
      <c r="U28" s="33"/>
      <c r="V28" s="30">
        <v>1</v>
      </c>
      <c r="W28" s="30">
        <v>11.57</v>
      </c>
      <c r="X28" s="30">
        <v>14.12</v>
      </c>
      <c r="Z28" s="30">
        <v>2.17</v>
      </c>
      <c r="AA28" s="30">
        <v>4.9000000000000004</v>
      </c>
      <c r="AB28" s="30">
        <v>4.26</v>
      </c>
      <c r="AD28" s="30">
        <v>2.5499999999999998</v>
      </c>
      <c r="AE28" s="30">
        <v>0.24</v>
      </c>
      <c r="AG28" s="30">
        <v>93</v>
      </c>
      <c r="AH28" s="30" t="s">
        <v>177</v>
      </c>
      <c r="AI28" s="30" t="s">
        <v>178</v>
      </c>
    </row>
    <row r="29" spans="1:35" ht="15" customHeight="1" x14ac:dyDescent="0.2">
      <c r="A29" s="27" t="s">
        <v>680</v>
      </c>
      <c r="B29" s="27" t="s">
        <v>156</v>
      </c>
      <c r="C29" s="27" t="s">
        <v>157</v>
      </c>
      <c r="D29" s="27" t="s">
        <v>681</v>
      </c>
      <c r="E29" s="28">
        <v>45419</v>
      </c>
      <c r="F29" s="28">
        <v>45454</v>
      </c>
      <c r="G29" s="27" t="s">
        <v>159</v>
      </c>
      <c r="H29" s="27" t="s">
        <v>181</v>
      </c>
      <c r="I29" s="27" t="s">
        <v>38</v>
      </c>
      <c r="J29" s="27" t="s">
        <v>161</v>
      </c>
      <c r="K29" s="28">
        <v>45383</v>
      </c>
      <c r="L29" s="28">
        <v>45390</v>
      </c>
      <c r="M29" s="29">
        <v>14</v>
      </c>
      <c r="N29" s="29">
        <v>1</v>
      </c>
      <c r="O29" s="29">
        <v>3</v>
      </c>
      <c r="P29" s="29">
        <v>10</v>
      </c>
      <c r="Q29" s="29">
        <v>5</v>
      </c>
      <c r="R29" s="29">
        <v>1</v>
      </c>
      <c r="S29" s="29">
        <v>1</v>
      </c>
      <c r="T29" s="29">
        <v>3</v>
      </c>
      <c r="V29" s="30">
        <v>1</v>
      </c>
      <c r="W29" s="30">
        <v>11.24</v>
      </c>
      <c r="X29" s="30">
        <v>13.71</v>
      </c>
      <c r="Z29" s="30">
        <v>1.51</v>
      </c>
      <c r="AA29" s="30">
        <v>4.84</v>
      </c>
      <c r="AB29" s="30">
        <v>4.72</v>
      </c>
      <c r="AD29" s="30">
        <v>2.4700000000000002</v>
      </c>
      <c r="AE29" s="30">
        <v>0.06</v>
      </c>
      <c r="AG29" s="30">
        <v>93</v>
      </c>
      <c r="AH29" s="30" t="s">
        <v>177</v>
      </c>
      <c r="AI29" s="30" t="s">
        <v>178</v>
      </c>
    </row>
    <row r="30" spans="1:35" ht="15" customHeight="1" x14ac:dyDescent="0.2">
      <c r="A30" s="27" t="s">
        <v>618</v>
      </c>
      <c r="B30" s="27" t="s">
        <v>156</v>
      </c>
      <c r="C30" s="27" t="s">
        <v>157</v>
      </c>
      <c r="D30" s="27" t="s">
        <v>619</v>
      </c>
      <c r="E30" s="28">
        <v>45449</v>
      </c>
      <c r="F30" s="28">
        <v>45484</v>
      </c>
      <c r="G30" s="27" t="s">
        <v>159</v>
      </c>
      <c r="H30" s="27" t="s">
        <v>181</v>
      </c>
      <c r="I30" s="27" t="s">
        <v>38</v>
      </c>
      <c r="J30" s="27" t="s">
        <v>161</v>
      </c>
      <c r="K30" s="28">
        <v>45413</v>
      </c>
      <c r="L30" s="28">
        <v>45443</v>
      </c>
      <c r="M30" s="29">
        <v>13</v>
      </c>
      <c r="N30" s="29">
        <v>2</v>
      </c>
      <c r="O30" s="29">
        <v>3</v>
      </c>
      <c r="P30" s="29">
        <v>8</v>
      </c>
      <c r="Q30" s="29">
        <v>0</v>
      </c>
      <c r="R30" s="29">
        <v>0</v>
      </c>
      <c r="S30" s="29">
        <v>0</v>
      </c>
      <c r="T30" s="29">
        <v>0</v>
      </c>
      <c r="V30" s="30">
        <v>1</v>
      </c>
      <c r="W30" s="30">
        <v>11.16</v>
      </c>
      <c r="X30" s="30">
        <v>13.62</v>
      </c>
      <c r="Z30" s="30">
        <v>1.51</v>
      </c>
      <c r="AA30" s="30">
        <v>4.83</v>
      </c>
      <c r="AB30" s="30">
        <v>4.66</v>
      </c>
      <c r="AD30" s="30">
        <v>2.46</v>
      </c>
      <c r="AE30" s="30">
        <v>0.16</v>
      </c>
      <c r="AG30" s="30">
        <v>93</v>
      </c>
      <c r="AH30" s="30" t="s">
        <v>177</v>
      </c>
      <c r="AI30" s="30" t="s">
        <v>178</v>
      </c>
    </row>
    <row r="31" spans="1:35" ht="15" customHeight="1" x14ac:dyDescent="0.2">
      <c r="A31" s="27" t="s">
        <v>573</v>
      </c>
      <c r="B31" s="27" t="s">
        <v>156</v>
      </c>
      <c r="C31" s="27" t="s">
        <v>157</v>
      </c>
      <c r="D31" s="27" t="s">
        <v>574</v>
      </c>
      <c r="E31" s="32">
        <v>45478</v>
      </c>
      <c r="F31" s="28">
        <v>45513</v>
      </c>
      <c r="G31" s="27" t="s">
        <v>159</v>
      </c>
      <c r="H31" s="27" t="s">
        <v>181</v>
      </c>
      <c r="I31" s="27" t="s">
        <v>38</v>
      </c>
      <c r="J31" s="27" t="s">
        <v>161</v>
      </c>
      <c r="K31" s="28">
        <v>45444</v>
      </c>
      <c r="L31" s="28">
        <v>45473</v>
      </c>
      <c r="M31" s="29">
        <v>15</v>
      </c>
      <c r="N31" s="34">
        <v>4</v>
      </c>
      <c r="O31" s="34">
        <v>3</v>
      </c>
      <c r="P31" s="34">
        <v>8</v>
      </c>
      <c r="Q31" s="34">
        <v>0</v>
      </c>
      <c r="R31" s="34">
        <v>0</v>
      </c>
      <c r="S31" s="34">
        <v>0</v>
      </c>
      <c r="T31" s="34">
        <v>0</v>
      </c>
      <c r="U31" s="33"/>
      <c r="V31" s="30">
        <v>1</v>
      </c>
      <c r="W31" s="30">
        <v>11.72</v>
      </c>
      <c r="X31" s="35">
        <v>14.3</v>
      </c>
      <c r="Z31" s="30">
        <v>1.92</v>
      </c>
      <c r="AA31" s="30">
        <v>4.8499999999999996</v>
      </c>
      <c r="AB31" s="30">
        <v>4.76</v>
      </c>
      <c r="AD31" s="30">
        <v>2.58</v>
      </c>
      <c r="AE31" s="35">
        <v>0.19</v>
      </c>
      <c r="AG31" s="30">
        <v>93</v>
      </c>
      <c r="AH31" s="30" t="s">
        <v>177</v>
      </c>
      <c r="AI31" s="30" t="s">
        <v>178</v>
      </c>
    </row>
    <row r="32" spans="1:35" ht="15" customHeight="1" x14ac:dyDescent="0.2">
      <c r="A32" s="27" t="s">
        <v>512</v>
      </c>
      <c r="B32" s="27" t="s">
        <v>156</v>
      </c>
      <c r="C32" s="27" t="s">
        <v>157</v>
      </c>
      <c r="D32" s="27" t="s">
        <v>513</v>
      </c>
      <c r="E32" s="32">
        <v>45511</v>
      </c>
      <c r="F32" s="28">
        <v>45546</v>
      </c>
      <c r="G32" s="27" t="s">
        <v>159</v>
      </c>
      <c r="H32" s="27" t="s">
        <v>181</v>
      </c>
      <c r="I32" s="27" t="s">
        <v>38</v>
      </c>
      <c r="J32" s="27" t="s">
        <v>161</v>
      </c>
      <c r="K32" s="28">
        <v>45474</v>
      </c>
      <c r="L32" s="28">
        <v>45504</v>
      </c>
      <c r="M32" s="29">
        <v>13</v>
      </c>
      <c r="N32" s="34">
        <v>2</v>
      </c>
      <c r="O32" s="34">
        <v>3</v>
      </c>
      <c r="P32" s="34">
        <v>8</v>
      </c>
      <c r="Q32" s="34">
        <v>0</v>
      </c>
      <c r="R32" s="34">
        <v>0</v>
      </c>
      <c r="S32" s="34">
        <v>0</v>
      </c>
      <c r="T32" s="34">
        <v>0</v>
      </c>
      <c r="U32" s="33"/>
      <c r="V32" s="30">
        <v>1</v>
      </c>
      <c r="W32" s="30">
        <v>11.6</v>
      </c>
      <c r="X32" s="35">
        <v>14.15</v>
      </c>
      <c r="Z32" s="30">
        <v>1.95</v>
      </c>
      <c r="AA32" s="30">
        <v>4.83</v>
      </c>
      <c r="AB32" s="30">
        <v>4.66</v>
      </c>
      <c r="AD32" s="30">
        <v>2.5499999999999998</v>
      </c>
      <c r="AE32" s="35">
        <v>0.16</v>
      </c>
      <c r="AG32" s="30">
        <v>93</v>
      </c>
      <c r="AH32" s="30" t="s">
        <v>177</v>
      </c>
      <c r="AI32" s="30" t="s">
        <v>178</v>
      </c>
    </row>
    <row r="33" spans="1:35" ht="15" customHeight="1" x14ac:dyDescent="0.2">
      <c r="A33" s="27" t="s">
        <v>450</v>
      </c>
      <c r="B33" s="27" t="s">
        <v>156</v>
      </c>
      <c r="C33" s="27" t="s">
        <v>157</v>
      </c>
      <c r="D33" s="27" t="s">
        <v>451</v>
      </c>
      <c r="E33" s="28">
        <v>45541</v>
      </c>
      <c r="F33" s="28">
        <v>45576</v>
      </c>
      <c r="G33" s="27" t="s">
        <v>159</v>
      </c>
      <c r="H33" s="27" t="s">
        <v>181</v>
      </c>
      <c r="I33" s="27" t="s">
        <v>38</v>
      </c>
      <c r="J33" s="27" t="s">
        <v>161</v>
      </c>
      <c r="K33" s="28">
        <v>45505</v>
      </c>
      <c r="L33" s="28">
        <v>45535</v>
      </c>
      <c r="M33" s="29">
        <v>72</v>
      </c>
      <c r="N33" s="29">
        <v>12</v>
      </c>
      <c r="O33" s="29">
        <v>16</v>
      </c>
      <c r="P33" s="29">
        <v>44</v>
      </c>
      <c r="Q33" s="29">
        <v>5</v>
      </c>
      <c r="R33" s="29">
        <v>1</v>
      </c>
      <c r="S33" s="29">
        <v>1</v>
      </c>
      <c r="T33" s="29">
        <v>3</v>
      </c>
      <c r="U33" s="33"/>
      <c r="V33" s="30">
        <v>1</v>
      </c>
      <c r="W33" s="30">
        <v>12.53</v>
      </c>
      <c r="X33" s="30">
        <v>15.29</v>
      </c>
      <c r="Z33" s="30">
        <v>2.59</v>
      </c>
      <c r="AA33" s="30">
        <v>4.88</v>
      </c>
      <c r="AB33" s="30">
        <v>4.8499999999999996</v>
      </c>
      <c r="AD33" s="30">
        <v>2.76</v>
      </c>
      <c r="AE33" s="30">
        <v>0.21</v>
      </c>
      <c r="AG33" s="30">
        <v>93</v>
      </c>
      <c r="AH33" s="30" t="s">
        <v>177</v>
      </c>
      <c r="AI33" s="30" t="s">
        <v>178</v>
      </c>
    </row>
    <row r="34" spans="1:35" ht="15" customHeight="1" x14ac:dyDescent="0.2">
      <c r="A34" s="27" t="s">
        <v>390</v>
      </c>
      <c r="B34" s="27" t="s">
        <v>156</v>
      </c>
      <c r="C34" s="27" t="s">
        <v>157</v>
      </c>
      <c r="D34" s="27" t="s">
        <v>391</v>
      </c>
      <c r="E34" s="28">
        <v>45571</v>
      </c>
      <c r="F34" s="28">
        <v>45607</v>
      </c>
      <c r="G34" s="27" t="s">
        <v>159</v>
      </c>
      <c r="H34" s="27" t="s">
        <v>181</v>
      </c>
      <c r="I34" s="27" t="s">
        <v>38</v>
      </c>
      <c r="J34" s="27" t="s">
        <v>161</v>
      </c>
      <c r="K34" s="28">
        <v>45536</v>
      </c>
      <c r="L34" s="28">
        <v>45565</v>
      </c>
      <c r="M34" s="29">
        <v>11</v>
      </c>
      <c r="N34" s="29">
        <v>1</v>
      </c>
      <c r="O34" s="29">
        <v>3</v>
      </c>
      <c r="P34" s="29">
        <v>7</v>
      </c>
      <c r="Q34" s="29">
        <v>0</v>
      </c>
      <c r="R34" s="29">
        <v>0</v>
      </c>
      <c r="S34" s="29">
        <v>0</v>
      </c>
      <c r="T34" s="29">
        <v>0</v>
      </c>
      <c r="U34" s="33"/>
      <c r="V34" s="30">
        <v>1</v>
      </c>
      <c r="W34" s="30">
        <v>11.06</v>
      </c>
      <c r="X34" s="30">
        <v>13.49</v>
      </c>
      <c r="Z34" s="30">
        <v>1.55</v>
      </c>
      <c r="AA34" s="30">
        <v>4.8</v>
      </c>
      <c r="AB34" s="30">
        <v>4.57</v>
      </c>
      <c r="AD34" s="30">
        <v>2.4300000000000002</v>
      </c>
      <c r="AE34" s="30">
        <v>0.14000000000000001</v>
      </c>
      <c r="AG34" s="30">
        <v>93</v>
      </c>
      <c r="AH34" s="30" t="s">
        <v>177</v>
      </c>
      <c r="AI34" s="30" t="s">
        <v>178</v>
      </c>
    </row>
    <row r="35" spans="1:35" ht="15" customHeight="1" x14ac:dyDescent="0.2">
      <c r="A35" s="27" t="s">
        <v>332</v>
      </c>
      <c r="B35" s="27" t="s">
        <v>156</v>
      </c>
      <c r="C35" s="27" t="s">
        <v>157</v>
      </c>
      <c r="D35" s="27" t="s">
        <v>333</v>
      </c>
      <c r="E35" s="28">
        <v>45604</v>
      </c>
      <c r="F35" s="28">
        <v>45639</v>
      </c>
      <c r="G35" s="27" t="s">
        <v>159</v>
      </c>
      <c r="H35" s="27" t="s">
        <v>181</v>
      </c>
      <c r="I35" s="27" t="s">
        <v>38</v>
      </c>
      <c r="J35" s="27" t="s">
        <v>161</v>
      </c>
      <c r="K35" s="28">
        <v>45566</v>
      </c>
      <c r="L35" s="28">
        <v>45596</v>
      </c>
      <c r="M35" s="29">
        <v>13</v>
      </c>
      <c r="N35" s="29">
        <v>1</v>
      </c>
      <c r="O35" s="29">
        <v>4</v>
      </c>
      <c r="P35" s="29">
        <v>8</v>
      </c>
      <c r="Q35" s="29">
        <v>0</v>
      </c>
      <c r="R35" s="29">
        <v>0</v>
      </c>
      <c r="S35" s="29">
        <v>0</v>
      </c>
      <c r="T35" s="29">
        <v>0</v>
      </c>
      <c r="U35" s="33"/>
      <c r="V35" s="30">
        <v>1</v>
      </c>
      <c r="W35" s="30">
        <v>11.47</v>
      </c>
      <c r="X35" s="30">
        <v>13.99</v>
      </c>
      <c r="Z35" s="30">
        <v>1.82</v>
      </c>
      <c r="AA35" s="30">
        <v>4.83</v>
      </c>
      <c r="AB35" s="30">
        <v>4.66</v>
      </c>
      <c r="AD35" s="30">
        <v>2.52</v>
      </c>
      <c r="AE35" s="30">
        <v>0.16</v>
      </c>
      <c r="AG35" s="30">
        <v>93</v>
      </c>
      <c r="AH35" s="30" t="s">
        <v>177</v>
      </c>
      <c r="AI35" s="30" t="s">
        <v>178</v>
      </c>
    </row>
    <row r="36" spans="1:35" ht="15" customHeight="1" x14ac:dyDescent="0.2">
      <c r="A36" s="27" t="s">
        <v>274</v>
      </c>
      <c r="B36" s="27" t="s">
        <v>156</v>
      </c>
      <c r="C36" s="27" t="s">
        <v>157</v>
      </c>
      <c r="D36" s="27" t="s">
        <v>275</v>
      </c>
      <c r="E36" s="28">
        <v>45632</v>
      </c>
      <c r="F36" s="28">
        <v>45667</v>
      </c>
      <c r="G36" s="27" t="s">
        <v>159</v>
      </c>
      <c r="H36" s="27" t="s">
        <v>181</v>
      </c>
      <c r="I36" s="27" t="s">
        <v>38</v>
      </c>
      <c r="J36" s="27" t="s">
        <v>161</v>
      </c>
      <c r="K36" s="28">
        <v>45597</v>
      </c>
      <c r="L36" s="28">
        <v>45626</v>
      </c>
      <c r="M36" s="29">
        <v>17</v>
      </c>
      <c r="N36" s="29">
        <v>3</v>
      </c>
      <c r="O36" s="29">
        <v>4</v>
      </c>
      <c r="P36" s="29">
        <v>10</v>
      </c>
      <c r="Q36" s="29">
        <v>0</v>
      </c>
      <c r="R36" s="29">
        <v>0</v>
      </c>
      <c r="S36" s="29">
        <v>0</v>
      </c>
      <c r="T36" s="29">
        <v>0</v>
      </c>
      <c r="U36" s="33"/>
      <c r="V36" s="30">
        <v>1</v>
      </c>
      <c r="W36" s="30">
        <v>12.52</v>
      </c>
      <c r="X36" s="30">
        <v>15.27</v>
      </c>
      <c r="Z36" s="30">
        <v>2.58</v>
      </c>
      <c r="AA36" s="30">
        <v>4.88</v>
      </c>
      <c r="AB36" s="30">
        <v>4.8499999999999996</v>
      </c>
      <c r="AD36" s="30">
        <v>2.75</v>
      </c>
      <c r="AE36" s="30">
        <v>0.21</v>
      </c>
      <c r="AG36" s="30">
        <v>93</v>
      </c>
      <c r="AH36" s="30" t="s">
        <v>177</v>
      </c>
      <c r="AI36" s="30" t="s">
        <v>178</v>
      </c>
    </row>
    <row r="37" spans="1:35" ht="15" customHeight="1" x14ac:dyDescent="0.2">
      <c r="A37" s="27" t="s">
        <v>179</v>
      </c>
      <c r="B37" s="27" t="s">
        <v>156</v>
      </c>
      <c r="C37" s="27" t="s">
        <v>157</v>
      </c>
      <c r="D37" s="27" t="s">
        <v>180</v>
      </c>
      <c r="E37" s="28">
        <v>45665</v>
      </c>
      <c r="F37" s="28">
        <v>45700</v>
      </c>
      <c r="G37" s="27" t="s">
        <v>159</v>
      </c>
      <c r="H37" s="27" t="s">
        <v>181</v>
      </c>
      <c r="I37" s="27" t="s">
        <v>38</v>
      </c>
      <c r="J37" s="27" t="s">
        <v>161</v>
      </c>
      <c r="K37" s="28">
        <v>45627</v>
      </c>
      <c r="L37" s="28">
        <v>45657</v>
      </c>
      <c r="M37" s="29">
        <v>18</v>
      </c>
      <c r="N37" s="29">
        <v>2</v>
      </c>
      <c r="O37" s="29">
        <v>5</v>
      </c>
      <c r="P37" s="29">
        <v>11</v>
      </c>
      <c r="Q37" s="29">
        <v>0</v>
      </c>
      <c r="R37" s="29">
        <v>0</v>
      </c>
      <c r="S37" s="29">
        <v>0</v>
      </c>
      <c r="T37" s="29">
        <v>0</v>
      </c>
      <c r="V37" s="30">
        <v>1</v>
      </c>
      <c r="W37" s="30">
        <v>13.03</v>
      </c>
      <c r="X37" s="30">
        <v>15.9</v>
      </c>
      <c r="Z37" s="30">
        <v>3</v>
      </c>
      <c r="AA37" s="30">
        <v>4.8899999999999997</v>
      </c>
      <c r="AB37" s="30">
        <v>4.91</v>
      </c>
      <c r="AD37" s="30">
        <v>2.87</v>
      </c>
      <c r="AE37" s="30">
        <v>0.23</v>
      </c>
      <c r="AG37" s="30">
        <v>93</v>
      </c>
      <c r="AH37" s="30" t="s">
        <v>177</v>
      </c>
      <c r="AI37" s="30" t="s">
        <v>178</v>
      </c>
    </row>
    <row r="38" spans="1:35" ht="15" customHeight="1" x14ac:dyDescent="0.2">
      <c r="A38" s="27" t="s">
        <v>865</v>
      </c>
      <c r="B38" s="27" t="s">
        <v>839</v>
      </c>
      <c r="C38" s="27" t="s">
        <v>840</v>
      </c>
      <c r="D38" s="27" t="s">
        <v>866</v>
      </c>
      <c r="E38" s="28">
        <v>45350</v>
      </c>
      <c r="F38" s="28">
        <v>45380</v>
      </c>
      <c r="G38" s="27" t="s">
        <v>159</v>
      </c>
      <c r="H38" s="27" t="s">
        <v>867</v>
      </c>
      <c r="I38" s="27" t="s">
        <v>87</v>
      </c>
      <c r="J38" s="27" t="s">
        <v>843</v>
      </c>
      <c r="K38" s="28">
        <v>45292</v>
      </c>
      <c r="L38" s="28">
        <v>45322</v>
      </c>
      <c r="M38" s="29">
        <v>5674</v>
      </c>
      <c r="N38" s="29">
        <v>1585</v>
      </c>
      <c r="O38" s="29">
        <v>2114</v>
      </c>
      <c r="P38" s="29">
        <v>1975</v>
      </c>
      <c r="Q38" s="29">
        <v>596</v>
      </c>
      <c r="R38" s="29">
        <v>258</v>
      </c>
      <c r="S38" s="29">
        <v>293</v>
      </c>
      <c r="T38" s="29">
        <v>45</v>
      </c>
      <c r="U38" s="35">
        <v>37</v>
      </c>
      <c r="V38" s="30">
        <v>37</v>
      </c>
      <c r="W38" s="30">
        <v>1513.25</v>
      </c>
      <c r="X38" s="30">
        <v>1846.17</v>
      </c>
      <c r="Z38" s="30">
        <v>892.78</v>
      </c>
      <c r="AA38" s="30">
        <v>195.53</v>
      </c>
      <c r="AB38" s="30">
        <v>325.64</v>
      </c>
      <c r="AC38" s="35">
        <v>28.37</v>
      </c>
      <c r="AD38" s="30">
        <v>70.930000000000007</v>
      </c>
      <c r="AE38" s="30">
        <v>332.92</v>
      </c>
      <c r="AG38" s="30">
        <v>100</v>
      </c>
      <c r="AH38" s="30" t="s">
        <v>162</v>
      </c>
      <c r="AI38" s="30" t="s">
        <v>851</v>
      </c>
    </row>
    <row r="39" spans="1:35" ht="15" customHeight="1" x14ac:dyDescent="0.2">
      <c r="A39" s="27" t="s">
        <v>794</v>
      </c>
      <c r="B39" s="27" t="s">
        <v>156</v>
      </c>
      <c r="C39" s="27" t="s">
        <v>157</v>
      </c>
      <c r="D39" s="27" t="s">
        <v>795</v>
      </c>
      <c r="E39" s="28">
        <v>45358</v>
      </c>
      <c r="F39" s="28">
        <v>45393</v>
      </c>
      <c r="G39" s="27" t="s">
        <v>159</v>
      </c>
      <c r="H39" s="27" t="s">
        <v>184</v>
      </c>
      <c r="I39" s="27" t="s">
        <v>87</v>
      </c>
      <c r="J39" s="27" t="s">
        <v>161</v>
      </c>
      <c r="K39" s="28">
        <v>45323</v>
      </c>
      <c r="L39" s="28">
        <v>45351</v>
      </c>
      <c r="M39" s="29">
        <v>4932</v>
      </c>
      <c r="N39" s="29">
        <v>1418</v>
      </c>
      <c r="O39" s="29">
        <v>1991</v>
      </c>
      <c r="P39" s="29">
        <v>1523</v>
      </c>
      <c r="Q39" s="29">
        <v>712</v>
      </c>
      <c r="R39" s="29">
        <v>294</v>
      </c>
      <c r="S39" s="29">
        <v>382</v>
      </c>
      <c r="T39" s="29">
        <v>36</v>
      </c>
      <c r="V39" s="30">
        <v>37</v>
      </c>
      <c r="W39" s="30">
        <v>1126.3800000000001</v>
      </c>
      <c r="X39" s="30">
        <v>1374.18</v>
      </c>
      <c r="Z39" s="30">
        <v>598.05999999999995</v>
      </c>
      <c r="AA39" s="30">
        <v>177.7</v>
      </c>
      <c r="AB39" s="30">
        <v>288.97000000000003</v>
      </c>
      <c r="AD39" s="30">
        <v>247.8</v>
      </c>
      <c r="AE39" s="30">
        <v>61.65</v>
      </c>
      <c r="AG39" s="30">
        <v>93</v>
      </c>
      <c r="AH39" s="30" t="s">
        <v>177</v>
      </c>
      <c r="AI39" s="30" t="s">
        <v>178</v>
      </c>
    </row>
    <row r="40" spans="1:35" ht="15" customHeight="1" x14ac:dyDescent="0.2">
      <c r="A40" s="27" t="s">
        <v>746</v>
      </c>
      <c r="B40" s="27" t="s">
        <v>156</v>
      </c>
      <c r="C40" s="27" t="s">
        <v>157</v>
      </c>
      <c r="D40" s="27" t="s">
        <v>747</v>
      </c>
      <c r="E40" s="28">
        <v>45390</v>
      </c>
      <c r="F40" s="28">
        <v>45425</v>
      </c>
      <c r="G40" s="27" t="s">
        <v>159</v>
      </c>
      <c r="H40" s="27" t="s">
        <v>184</v>
      </c>
      <c r="I40" s="27" t="s">
        <v>87</v>
      </c>
      <c r="J40" s="27" t="s">
        <v>161</v>
      </c>
      <c r="K40" s="28">
        <v>45352</v>
      </c>
      <c r="L40" s="28">
        <v>45382</v>
      </c>
      <c r="M40" s="29">
        <v>4049</v>
      </c>
      <c r="N40" s="29">
        <v>953</v>
      </c>
      <c r="O40" s="29">
        <v>1740</v>
      </c>
      <c r="P40" s="29">
        <v>1356</v>
      </c>
      <c r="Q40" s="29">
        <v>640</v>
      </c>
      <c r="R40" s="29">
        <v>216</v>
      </c>
      <c r="S40" s="29">
        <v>365</v>
      </c>
      <c r="T40" s="29">
        <v>59</v>
      </c>
      <c r="U40" s="33"/>
      <c r="V40" s="30">
        <v>37</v>
      </c>
      <c r="W40" s="30">
        <v>942.35</v>
      </c>
      <c r="X40" s="30">
        <v>1149.67</v>
      </c>
      <c r="Z40" s="30">
        <v>475.23</v>
      </c>
      <c r="AA40" s="30">
        <v>164.8</v>
      </c>
      <c r="AB40" s="30">
        <v>251.71</v>
      </c>
      <c r="AD40" s="30">
        <v>207.32</v>
      </c>
      <c r="AE40" s="30">
        <v>50.61</v>
      </c>
      <c r="AG40" s="30">
        <v>93</v>
      </c>
      <c r="AH40" s="30" t="s">
        <v>177</v>
      </c>
      <c r="AI40" s="30" t="s">
        <v>178</v>
      </c>
    </row>
    <row r="41" spans="1:35" ht="15" customHeight="1" x14ac:dyDescent="0.2">
      <c r="A41" s="27" t="s">
        <v>682</v>
      </c>
      <c r="B41" s="27" t="s">
        <v>156</v>
      </c>
      <c r="C41" s="27" t="s">
        <v>157</v>
      </c>
      <c r="D41" s="27" t="s">
        <v>683</v>
      </c>
      <c r="E41" s="28">
        <v>45419</v>
      </c>
      <c r="F41" s="28">
        <v>45454</v>
      </c>
      <c r="G41" s="27" t="s">
        <v>159</v>
      </c>
      <c r="H41" s="27" t="s">
        <v>184</v>
      </c>
      <c r="I41" s="27" t="s">
        <v>87</v>
      </c>
      <c r="J41" s="27" t="s">
        <v>161</v>
      </c>
      <c r="K41" s="28">
        <v>45383</v>
      </c>
      <c r="L41" s="28">
        <v>45412</v>
      </c>
      <c r="M41" s="29">
        <v>2216</v>
      </c>
      <c r="N41" s="29">
        <v>334</v>
      </c>
      <c r="O41" s="29">
        <v>1023</v>
      </c>
      <c r="P41" s="29">
        <v>859</v>
      </c>
      <c r="Q41" s="29">
        <v>456</v>
      </c>
      <c r="R41" s="29">
        <v>136</v>
      </c>
      <c r="S41" s="29">
        <v>253</v>
      </c>
      <c r="T41" s="29">
        <v>67</v>
      </c>
      <c r="U41" s="33"/>
      <c r="V41" s="30">
        <v>37</v>
      </c>
      <c r="W41" s="30">
        <v>632.59</v>
      </c>
      <c r="X41" s="30">
        <v>771.76</v>
      </c>
      <c r="Z41" s="30">
        <v>258.29000000000002</v>
      </c>
      <c r="AA41" s="30">
        <v>141.06</v>
      </c>
      <c r="AB41" s="30">
        <v>205.54</v>
      </c>
      <c r="AD41" s="30">
        <v>139.16999999999999</v>
      </c>
      <c r="AE41" s="30">
        <v>27.7</v>
      </c>
      <c r="AG41" s="30">
        <v>93</v>
      </c>
      <c r="AH41" s="30" t="s">
        <v>177</v>
      </c>
      <c r="AI41" s="30" t="s">
        <v>178</v>
      </c>
    </row>
    <row r="42" spans="1:35" ht="15" customHeight="1" x14ac:dyDescent="0.2">
      <c r="A42" s="27" t="s">
        <v>620</v>
      </c>
      <c r="B42" s="27" t="s">
        <v>156</v>
      </c>
      <c r="C42" s="27" t="s">
        <v>157</v>
      </c>
      <c r="D42" s="27" t="s">
        <v>621</v>
      </c>
      <c r="E42" s="28">
        <v>45449</v>
      </c>
      <c r="F42" s="28">
        <v>45484</v>
      </c>
      <c r="G42" s="27" t="s">
        <v>159</v>
      </c>
      <c r="H42" s="27" t="s">
        <v>184</v>
      </c>
      <c r="I42" s="27" t="s">
        <v>87</v>
      </c>
      <c r="J42" s="27" t="s">
        <v>161</v>
      </c>
      <c r="K42" s="28">
        <v>45413</v>
      </c>
      <c r="L42" s="28">
        <v>45443</v>
      </c>
      <c r="M42" s="29">
        <v>1439</v>
      </c>
      <c r="N42" s="29">
        <v>274</v>
      </c>
      <c r="O42" s="29">
        <v>497</v>
      </c>
      <c r="P42" s="29">
        <v>668</v>
      </c>
      <c r="Q42" s="29">
        <v>412</v>
      </c>
      <c r="R42" s="29">
        <v>175</v>
      </c>
      <c r="S42" s="29">
        <v>147</v>
      </c>
      <c r="T42" s="29">
        <v>90</v>
      </c>
      <c r="V42" s="30">
        <v>37</v>
      </c>
      <c r="W42" s="30">
        <v>435.26</v>
      </c>
      <c r="X42" s="30">
        <v>531.02</v>
      </c>
      <c r="Z42" s="30">
        <v>176.76</v>
      </c>
      <c r="AA42" s="30">
        <v>100.17</v>
      </c>
      <c r="AB42" s="30">
        <v>140.34</v>
      </c>
      <c r="AD42" s="30">
        <v>95.76</v>
      </c>
      <c r="AE42" s="30">
        <v>17.989999999999998</v>
      </c>
      <c r="AG42" s="30">
        <v>93</v>
      </c>
      <c r="AH42" s="30" t="s">
        <v>177</v>
      </c>
      <c r="AI42" s="30" t="s">
        <v>178</v>
      </c>
    </row>
    <row r="43" spans="1:35" ht="15" customHeight="1" x14ac:dyDescent="0.2">
      <c r="A43" s="27" t="s">
        <v>575</v>
      </c>
      <c r="B43" s="27" t="s">
        <v>156</v>
      </c>
      <c r="C43" s="27" t="s">
        <v>157</v>
      </c>
      <c r="D43" s="27" t="s">
        <v>576</v>
      </c>
      <c r="E43" s="28">
        <v>45478</v>
      </c>
      <c r="F43" s="28">
        <v>45513</v>
      </c>
      <c r="G43" s="27" t="s">
        <v>159</v>
      </c>
      <c r="H43" s="27" t="s">
        <v>184</v>
      </c>
      <c r="I43" s="27" t="s">
        <v>87</v>
      </c>
      <c r="J43" s="27" t="s">
        <v>161</v>
      </c>
      <c r="K43" s="28">
        <v>45444</v>
      </c>
      <c r="L43" s="28">
        <v>45473</v>
      </c>
      <c r="M43" s="29">
        <v>1267</v>
      </c>
      <c r="N43" s="29">
        <v>279</v>
      </c>
      <c r="O43" s="29">
        <v>332</v>
      </c>
      <c r="P43" s="29">
        <v>656</v>
      </c>
      <c r="Q43" s="29">
        <v>464</v>
      </c>
      <c r="R43" s="29">
        <v>213</v>
      </c>
      <c r="S43" s="29">
        <v>134</v>
      </c>
      <c r="T43" s="29">
        <v>117</v>
      </c>
      <c r="U43" s="33"/>
      <c r="V43" s="30">
        <v>37</v>
      </c>
      <c r="W43" s="30">
        <v>313.14</v>
      </c>
      <c r="X43" s="30">
        <v>382.03</v>
      </c>
      <c r="Z43" s="30">
        <v>168.38</v>
      </c>
      <c r="AA43" s="30">
        <v>44.84</v>
      </c>
      <c r="AB43" s="30">
        <v>84.08</v>
      </c>
      <c r="AD43" s="30">
        <v>68.89</v>
      </c>
      <c r="AE43" s="30">
        <v>15.84</v>
      </c>
      <c r="AG43" s="30">
        <v>93</v>
      </c>
      <c r="AH43" s="30" t="s">
        <v>177</v>
      </c>
      <c r="AI43" s="30" t="s">
        <v>178</v>
      </c>
    </row>
    <row r="44" spans="1:35" ht="15" customHeight="1" x14ac:dyDescent="0.2">
      <c r="A44" s="27" t="s">
        <v>514</v>
      </c>
      <c r="B44" s="27" t="s">
        <v>156</v>
      </c>
      <c r="C44" s="27" t="s">
        <v>157</v>
      </c>
      <c r="D44" s="27" t="s">
        <v>515</v>
      </c>
      <c r="E44" s="28">
        <v>45511</v>
      </c>
      <c r="F44" s="28">
        <v>45546</v>
      </c>
      <c r="G44" s="27" t="s">
        <v>159</v>
      </c>
      <c r="H44" s="27" t="s">
        <v>184</v>
      </c>
      <c r="I44" s="27" t="s">
        <v>87</v>
      </c>
      <c r="J44" s="27" t="s">
        <v>161</v>
      </c>
      <c r="K44" s="28">
        <v>45474</v>
      </c>
      <c r="L44" s="28">
        <v>45504</v>
      </c>
      <c r="M44" s="29">
        <v>2109</v>
      </c>
      <c r="N44" s="29">
        <v>467</v>
      </c>
      <c r="O44" s="29">
        <v>594</v>
      </c>
      <c r="P44" s="29">
        <v>1048</v>
      </c>
      <c r="Q44" s="29">
        <v>1026</v>
      </c>
      <c r="R44" s="29">
        <v>365</v>
      </c>
      <c r="S44" s="29">
        <v>309</v>
      </c>
      <c r="T44" s="29">
        <v>352</v>
      </c>
      <c r="U44" s="33"/>
      <c r="V44" s="30">
        <v>37</v>
      </c>
      <c r="W44" s="30">
        <v>568.51</v>
      </c>
      <c r="X44" s="30">
        <v>693.58</v>
      </c>
      <c r="Z44" s="30">
        <v>325.69</v>
      </c>
      <c r="AA44" s="30">
        <v>76.02</v>
      </c>
      <c r="AB44" s="30">
        <v>140.44</v>
      </c>
      <c r="AD44" s="30">
        <v>125.07</v>
      </c>
      <c r="AE44" s="30">
        <v>26.36</v>
      </c>
      <c r="AG44" s="30">
        <v>93</v>
      </c>
      <c r="AH44" s="30" t="s">
        <v>177</v>
      </c>
      <c r="AI44" s="30" t="s">
        <v>178</v>
      </c>
    </row>
    <row r="45" spans="1:35" ht="15" customHeight="1" x14ac:dyDescent="0.2">
      <c r="A45" s="27" t="s">
        <v>452</v>
      </c>
      <c r="B45" s="27" t="s">
        <v>156</v>
      </c>
      <c r="C45" s="27" t="s">
        <v>157</v>
      </c>
      <c r="D45" s="27" t="s">
        <v>453</v>
      </c>
      <c r="E45" s="28">
        <v>45541</v>
      </c>
      <c r="F45" s="28">
        <v>45576</v>
      </c>
      <c r="G45" s="27" t="s">
        <v>159</v>
      </c>
      <c r="H45" s="27" t="s">
        <v>184</v>
      </c>
      <c r="I45" s="27" t="s">
        <v>87</v>
      </c>
      <c r="J45" s="27" t="s">
        <v>161</v>
      </c>
      <c r="K45" s="28">
        <v>45505</v>
      </c>
      <c r="L45" s="28">
        <v>45535</v>
      </c>
      <c r="M45" s="29">
        <v>2328</v>
      </c>
      <c r="N45" s="29">
        <v>409</v>
      </c>
      <c r="O45" s="29">
        <v>748</v>
      </c>
      <c r="P45" s="29">
        <v>1171</v>
      </c>
      <c r="Q45" s="29">
        <v>964</v>
      </c>
      <c r="R45" s="29">
        <v>289</v>
      </c>
      <c r="S45" s="29">
        <v>313</v>
      </c>
      <c r="T45" s="29">
        <v>362</v>
      </c>
      <c r="U45" s="33"/>
      <c r="V45" s="30">
        <v>37</v>
      </c>
      <c r="W45" s="30">
        <v>745.87</v>
      </c>
      <c r="X45" s="30">
        <v>909.96</v>
      </c>
      <c r="Z45" s="30">
        <v>373.52</v>
      </c>
      <c r="AA45" s="30">
        <v>138.22</v>
      </c>
      <c r="AB45" s="30">
        <v>205.03</v>
      </c>
      <c r="AD45" s="30">
        <v>164.09</v>
      </c>
      <c r="AE45" s="30">
        <v>29.1</v>
      </c>
      <c r="AG45" s="30">
        <v>93</v>
      </c>
      <c r="AH45" s="30" t="s">
        <v>177</v>
      </c>
      <c r="AI45" s="30" t="s">
        <v>178</v>
      </c>
    </row>
    <row r="46" spans="1:35" ht="15" customHeight="1" x14ac:dyDescent="0.2">
      <c r="A46" s="27" t="s">
        <v>392</v>
      </c>
      <c r="B46" s="27" t="s">
        <v>156</v>
      </c>
      <c r="C46" s="27" t="s">
        <v>157</v>
      </c>
      <c r="D46" s="27" t="s">
        <v>393</v>
      </c>
      <c r="E46" s="28">
        <v>45571</v>
      </c>
      <c r="F46" s="28">
        <v>45607</v>
      </c>
      <c r="G46" s="27" t="s">
        <v>159</v>
      </c>
      <c r="H46" s="27" t="s">
        <v>184</v>
      </c>
      <c r="I46" s="27" t="s">
        <v>87</v>
      </c>
      <c r="J46" s="27" t="s">
        <v>161</v>
      </c>
      <c r="K46" s="28">
        <v>45536</v>
      </c>
      <c r="L46" s="28">
        <v>45565</v>
      </c>
      <c r="M46" s="29">
        <v>2317</v>
      </c>
      <c r="N46" s="29">
        <v>387</v>
      </c>
      <c r="O46" s="29">
        <v>1038</v>
      </c>
      <c r="P46" s="29">
        <v>892</v>
      </c>
      <c r="Q46" s="29">
        <v>791</v>
      </c>
      <c r="R46" s="29">
        <v>251</v>
      </c>
      <c r="S46" s="29">
        <v>329</v>
      </c>
      <c r="T46" s="29">
        <v>211</v>
      </c>
      <c r="U46" s="33"/>
      <c r="V46" s="30">
        <v>37</v>
      </c>
      <c r="W46" s="30">
        <v>719.53</v>
      </c>
      <c r="X46" s="30">
        <v>877.83</v>
      </c>
      <c r="Z46" s="30">
        <v>343.66</v>
      </c>
      <c r="AA46" s="30">
        <v>139.84</v>
      </c>
      <c r="AB46" s="30">
        <v>207.07</v>
      </c>
      <c r="AD46" s="30">
        <v>158.30000000000001</v>
      </c>
      <c r="AE46" s="30">
        <v>28.96</v>
      </c>
      <c r="AG46" s="30">
        <v>93</v>
      </c>
      <c r="AH46" s="30" t="s">
        <v>177</v>
      </c>
      <c r="AI46" s="30" t="s">
        <v>178</v>
      </c>
    </row>
    <row r="47" spans="1:35" ht="15" customHeight="1" x14ac:dyDescent="0.2">
      <c r="A47" s="27" t="s">
        <v>334</v>
      </c>
      <c r="B47" s="27" t="s">
        <v>156</v>
      </c>
      <c r="C47" s="27" t="s">
        <v>157</v>
      </c>
      <c r="D47" s="27" t="s">
        <v>335</v>
      </c>
      <c r="E47" s="28">
        <v>45604</v>
      </c>
      <c r="F47" s="28">
        <v>45639</v>
      </c>
      <c r="G47" s="27" t="s">
        <v>159</v>
      </c>
      <c r="H47" s="27" t="s">
        <v>184</v>
      </c>
      <c r="I47" s="27" t="s">
        <v>87</v>
      </c>
      <c r="J47" s="27" t="s">
        <v>161</v>
      </c>
      <c r="K47" s="28">
        <v>45566</v>
      </c>
      <c r="L47" s="28">
        <v>45596</v>
      </c>
      <c r="M47" s="29">
        <v>2769</v>
      </c>
      <c r="N47" s="29">
        <v>767</v>
      </c>
      <c r="O47" s="29">
        <v>1297</v>
      </c>
      <c r="P47" s="29">
        <v>705</v>
      </c>
      <c r="Q47" s="29">
        <v>742</v>
      </c>
      <c r="R47" s="29">
        <v>326</v>
      </c>
      <c r="S47" s="29">
        <v>330</v>
      </c>
      <c r="T47" s="29">
        <v>86</v>
      </c>
      <c r="V47" s="30">
        <v>37</v>
      </c>
      <c r="W47" s="30">
        <v>823.42</v>
      </c>
      <c r="X47" s="30">
        <v>1004.57</v>
      </c>
      <c r="Z47" s="30">
        <v>417.69</v>
      </c>
      <c r="AA47" s="30">
        <v>143.72999999999999</v>
      </c>
      <c r="AB47" s="30">
        <v>227.39</v>
      </c>
      <c r="AD47" s="30">
        <v>181.15</v>
      </c>
      <c r="AE47" s="30">
        <v>34.61</v>
      </c>
      <c r="AG47" s="30">
        <v>93</v>
      </c>
      <c r="AH47" s="30" t="s">
        <v>177</v>
      </c>
      <c r="AI47" s="30" t="s">
        <v>178</v>
      </c>
    </row>
    <row r="48" spans="1:35" ht="15" customHeight="1" x14ac:dyDescent="0.2">
      <c r="A48" s="27" t="s">
        <v>276</v>
      </c>
      <c r="B48" s="27" t="s">
        <v>156</v>
      </c>
      <c r="C48" s="27" t="s">
        <v>157</v>
      </c>
      <c r="D48" s="27" t="s">
        <v>277</v>
      </c>
      <c r="E48" s="28">
        <v>45632</v>
      </c>
      <c r="F48" s="28">
        <v>45667</v>
      </c>
      <c r="G48" s="27" t="s">
        <v>159</v>
      </c>
      <c r="H48" s="27" t="s">
        <v>184</v>
      </c>
      <c r="I48" s="27" t="s">
        <v>87</v>
      </c>
      <c r="J48" s="27" t="s">
        <v>161</v>
      </c>
      <c r="K48" s="28">
        <v>45597</v>
      </c>
      <c r="L48" s="28">
        <v>45626</v>
      </c>
      <c r="M48" s="29">
        <v>4044</v>
      </c>
      <c r="N48" s="29">
        <v>1625</v>
      </c>
      <c r="O48" s="29">
        <v>1395</v>
      </c>
      <c r="P48" s="29">
        <v>1024</v>
      </c>
      <c r="Q48" s="29">
        <v>1144</v>
      </c>
      <c r="R48" s="29">
        <v>511</v>
      </c>
      <c r="S48" s="29">
        <v>365</v>
      </c>
      <c r="T48" s="29">
        <v>268</v>
      </c>
      <c r="V48" s="30">
        <v>37</v>
      </c>
      <c r="W48" s="30">
        <v>1180.06</v>
      </c>
      <c r="X48" s="30">
        <v>1439.67</v>
      </c>
      <c r="Z48" s="30">
        <v>677.34</v>
      </c>
      <c r="AA48" s="30">
        <v>161.85</v>
      </c>
      <c r="AB48" s="30">
        <v>290.32</v>
      </c>
      <c r="AD48" s="30">
        <v>259.61</v>
      </c>
      <c r="AE48" s="30">
        <v>50.55</v>
      </c>
      <c r="AG48" s="30">
        <v>93</v>
      </c>
      <c r="AH48" s="30" t="s">
        <v>177</v>
      </c>
      <c r="AI48" s="30" t="s">
        <v>178</v>
      </c>
    </row>
    <row r="49" spans="1:35" ht="15" customHeight="1" x14ac:dyDescent="0.2">
      <c r="A49" s="27" t="s">
        <v>182</v>
      </c>
      <c r="B49" s="27" t="s">
        <v>156</v>
      </c>
      <c r="C49" s="27" t="s">
        <v>157</v>
      </c>
      <c r="D49" s="27" t="s">
        <v>183</v>
      </c>
      <c r="E49" s="28">
        <v>45665</v>
      </c>
      <c r="F49" s="28">
        <v>45700</v>
      </c>
      <c r="G49" s="27" t="s">
        <v>159</v>
      </c>
      <c r="H49" s="27" t="s">
        <v>184</v>
      </c>
      <c r="I49" s="27" t="s">
        <v>87</v>
      </c>
      <c r="J49" s="27" t="s">
        <v>161</v>
      </c>
      <c r="K49" s="28">
        <v>45627</v>
      </c>
      <c r="L49" s="28">
        <v>45657</v>
      </c>
      <c r="M49" s="29">
        <v>4449</v>
      </c>
      <c r="N49" s="29">
        <v>1700</v>
      </c>
      <c r="O49" s="29">
        <v>1227</v>
      </c>
      <c r="P49" s="29">
        <v>1522</v>
      </c>
      <c r="Q49" s="29">
        <v>882</v>
      </c>
      <c r="R49" s="29">
        <v>392</v>
      </c>
      <c r="S49" s="29">
        <v>258</v>
      </c>
      <c r="T49" s="29">
        <v>232</v>
      </c>
      <c r="U49" s="33"/>
      <c r="V49" s="30">
        <v>37</v>
      </c>
      <c r="W49" s="30">
        <v>1334.78</v>
      </c>
      <c r="X49" s="30">
        <v>1628.43</v>
      </c>
      <c r="Z49" s="30">
        <v>791.64</v>
      </c>
      <c r="AA49" s="30">
        <v>172.8</v>
      </c>
      <c r="AB49" s="30">
        <v>314.73</v>
      </c>
      <c r="AD49" s="30">
        <v>293.64999999999998</v>
      </c>
      <c r="AE49" s="30">
        <v>55.61</v>
      </c>
      <c r="AG49" s="30">
        <v>93</v>
      </c>
      <c r="AH49" s="30" t="s">
        <v>177</v>
      </c>
      <c r="AI49" s="30" t="s">
        <v>178</v>
      </c>
    </row>
    <row r="50" spans="1:35" ht="15" customHeight="1" x14ac:dyDescent="0.2">
      <c r="A50" s="27" t="s">
        <v>916</v>
      </c>
      <c r="B50" s="27" t="s">
        <v>839</v>
      </c>
      <c r="C50" s="27" t="s">
        <v>840</v>
      </c>
      <c r="D50" s="27" t="s">
        <v>917</v>
      </c>
      <c r="E50" s="28">
        <v>45349</v>
      </c>
      <c r="F50" s="28">
        <v>45379</v>
      </c>
      <c r="G50" s="27" t="s">
        <v>159</v>
      </c>
      <c r="H50" s="27" t="s">
        <v>918</v>
      </c>
      <c r="I50" s="27" t="s">
        <v>90</v>
      </c>
      <c r="J50" s="27" t="s">
        <v>843</v>
      </c>
      <c r="K50" s="28">
        <v>45292</v>
      </c>
      <c r="L50" s="28">
        <v>45322</v>
      </c>
      <c r="M50" s="29">
        <v>197</v>
      </c>
      <c r="N50" s="29">
        <v>51</v>
      </c>
      <c r="O50" s="29">
        <v>43</v>
      </c>
      <c r="P50" s="29">
        <v>103</v>
      </c>
      <c r="Q50" s="29">
        <v>209</v>
      </c>
      <c r="R50" s="29">
        <v>25</v>
      </c>
      <c r="S50" s="29">
        <v>55</v>
      </c>
      <c r="T50" s="29">
        <v>129</v>
      </c>
      <c r="U50" s="30">
        <v>3</v>
      </c>
      <c r="V50" s="30">
        <v>3.3</v>
      </c>
      <c r="W50" s="30">
        <v>61.65</v>
      </c>
      <c r="X50" s="30">
        <v>75.209999999999994</v>
      </c>
      <c r="Z50" s="30">
        <v>30.39</v>
      </c>
      <c r="AA50" s="30">
        <v>12.26</v>
      </c>
      <c r="AB50" s="30">
        <v>15.55</v>
      </c>
      <c r="AC50" s="35">
        <v>0.99</v>
      </c>
      <c r="AD50" s="30">
        <v>2.46</v>
      </c>
      <c r="AE50" s="30">
        <v>13.56</v>
      </c>
      <c r="AG50" s="30">
        <v>100</v>
      </c>
      <c r="AH50" s="30" t="s">
        <v>162</v>
      </c>
      <c r="AI50" s="30" t="s">
        <v>851</v>
      </c>
    </row>
    <row r="51" spans="1:35" ht="15" customHeight="1" x14ac:dyDescent="0.2">
      <c r="A51" s="27" t="s">
        <v>808</v>
      </c>
      <c r="B51" s="27" t="s">
        <v>156</v>
      </c>
      <c r="C51" s="27" t="s">
        <v>157</v>
      </c>
      <c r="D51" s="27" t="s">
        <v>809</v>
      </c>
      <c r="E51" s="28">
        <v>45358</v>
      </c>
      <c r="F51" s="28">
        <v>45393</v>
      </c>
      <c r="G51" s="27" t="s">
        <v>159</v>
      </c>
      <c r="H51" s="27" t="s">
        <v>205</v>
      </c>
      <c r="I51" s="27" t="s">
        <v>90</v>
      </c>
      <c r="J51" s="27" t="s">
        <v>161</v>
      </c>
      <c r="K51" s="28">
        <v>45323</v>
      </c>
      <c r="L51" s="28">
        <v>45351</v>
      </c>
      <c r="M51" s="29">
        <v>190</v>
      </c>
      <c r="N51" s="29">
        <v>67</v>
      </c>
      <c r="O51" s="29">
        <v>38</v>
      </c>
      <c r="P51" s="29">
        <v>85</v>
      </c>
      <c r="Q51" s="29">
        <v>185</v>
      </c>
      <c r="R51" s="29">
        <v>18</v>
      </c>
      <c r="S51" s="29">
        <v>51</v>
      </c>
      <c r="T51" s="29">
        <v>116</v>
      </c>
      <c r="U51" s="30">
        <v>3</v>
      </c>
      <c r="V51" s="30">
        <v>3.3</v>
      </c>
      <c r="W51" s="30">
        <v>52.43</v>
      </c>
      <c r="X51" s="30">
        <v>63.96</v>
      </c>
      <c r="Z51" s="30">
        <v>22.61</v>
      </c>
      <c r="AA51" s="30">
        <v>12.17</v>
      </c>
      <c r="AB51" s="30">
        <v>15.27</v>
      </c>
      <c r="AD51" s="30">
        <v>11.53</v>
      </c>
      <c r="AE51" s="30">
        <v>2.38</v>
      </c>
      <c r="AG51" s="30">
        <v>100</v>
      </c>
      <c r="AH51" s="30" t="s">
        <v>162</v>
      </c>
      <c r="AI51" s="30" t="s">
        <v>163</v>
      </c>
    </row>
    <row r="52" spans="1:35" ht="15" customHeight="1" x14ac:dyDescent="0.2">
      <c r="A52" s="27" t="s">
        <v>722</v>
      </c>
      <c r="B52" s="27" t="s">
        <v>156</v>
      </c>
      <c r="C52" s="27" t="s">
        <v>157</v>
      </c>
      <c r="D52" s="27" t="s">
        <v>723</v>
      </c>
      <c r="E52" s="28">
        <v>45395</v>
      </c>
      <c r="F52" s="28">
        <v>45432</v>
      </c>
      <c r="G52" s="27" t="s">
        <v>159</v>
      </c>
      <c r="H52" s="27" t="s">
        <v>205</v>
      </c>
      <c r="I52" s="27" t="s">
        <v>90</v>
      </c>
      <c r="J52" s="27" t="s">
        <v>161</v>
      </c>
      <c r="K52" s="28">
        <v>45352</v>
      </c>
      <c r="L52" s="28">
        <v>45382</v>
      </c>
      <c r="M52" s="29">
        <v>244</v>
      </c>
      <c r="N52" s="29">
        <v>108</v>
      </c>
      <c r="O52" s="29">
        <v>44</v>
      </c>
      <c r="P52" s="29">
        <v>92</v>
      </c>
      <c r="Q52" s="29">
        <v>178</v>
      </c>
      <c r="R52" s="29">
        <v>14</v>
      </c>
      <c r="S52" s="29">
        <v>50</v>
      </c>
      <c r="T52" s="29">
        <v>114</v>
      </c>
      <c r="U52" s="30">
        <v>3</v>
      </c>
      <c r="V52" s="30">
        <v>3.3</v>
      </c>
      <c r="W52" s="30">
        <v>61.87</v>
      </c>
      <c r="X52" s="30">
        <v>75.48</v>
      </c>
      <c r="Z52" s="30">
        <v>28.45</v>
      </c>
      <c r="AA52" s="30">
        <v>12.87</v>
      </c>
      <c r="AB52" s="30">
        <v>17.5</v>
      </c>
      <c r="AD52" s="30">
        <v>13.61</v>
      </c>
      <c r="AE52" s="30">
        <v>3.05</v>
      </c>
      <c r="AG52" s="30">
        <v>100</v>
      </c>
      <c r="AH52" s="30" t="s">
        <v>162</v>
      </c>
      <c r="AI52" s="30" t="s">
        <v>163</v>
      </c>
    </row>
    <row r="53" spans="1:35" ht="15" customHeight="1" x14ac:dyDescent="0.2">
      <c r="A53" s="27" t="s">
        <v>692</v>
      </c>
      <c r="B53" s="27" t="s">
        <v>156</v>
      </c>
      <c r="C53" s="27" t="s">
        <v>157</v>
      </c>
      <c r="D53" s="27" t="s">
        <v>693</v>
      </c>
      <c r="E53" s="28">
        <v>45419</v>
      </c>
      <c r="F53" s="28">
        <v>45454</v>
      </c>
      <c r="G53" s="27" t="s">
        <v>159</v>
      </c>
      <c r="H53" s="27" t="s">
        <v>205</v>
      </c>
      <c r="I53" s="27" t="s">
        <v>90</v>
      </c>
      <c r="J53" s="27" t="s">
        <v>161</v>
      </c>
      <c r="K53" s="28">
        <v>45383</v>
      </c>
      <c r="L53" s="28">
        <v>45391</v>
      </c>
      <c r="M53" s="29">
        <v>212</v>
      </c>
      <c r="N53" s="29">
        <v>90</v>
      </c>
      <c r="O53" s="29">
        <v>32</v>
      </c>
      <c r="P53" s="29">
        <v>90</v>
      </c>
      <c r="Q53" s="29">
        <v>134</v>
      </c>
      <c r="R53" s="29">
        <v>2</v>
      </c>
      <c r="S53" s="29">
        <v>33</v>
      </c>
      <c r="T53" s="29">
        <v>99</v>
      </c>
      <c r="U53" s="30">
        <v>3</v>
      </c>
      <c r="V53" s="30">
        <v>3.3</v>
      </c>
      <c r="W53" s="30">
        <v>57.73</v>
      </c>
      <c r="X53" s="30">
        <v>70.430000000000007</v>
      </c>
      <c r="Z53" s="30">
        <v>23.76</v>
      </c>
      <c r="AA53" s="30">
        <v>12.47</v>
      </c>
      <c r="AB53" s="30">
        <v>18.850000000000001</v>
      </c>
      <c r="AD53" s="30">
        <v>12.7</v>
      </c>
      <c r="AE53" s="30">
        <v>0.89</v>
      </c>
      <c r="AG53" s="30">
        <v>100</v>
      </c>
      <c r="AH53" s="30" t="s">
        <v>162</v>
      </c>
      <c r="AI53" s="30" t="s">
        <v>163</v>
      </c>
    </row>
    <row r="54" spans="1:35" ht="15" customHeight="1" x14ac:dyDescent="0.2">
      <c r="A54" s="27" t="s">
        <v>634</v>
      </c>
      <c r="B54" s="27" t="s">
        <v>156</v>
      </c>
      <c r="C54" s="27" t="s">
        <v>157</v>
      </c>
      <c r="D54" s="27" t="s">
        <v>635</v>
      </c>
      <c r="E54" s="28">
        <v>45449</v>
      </c>
      <c r="F54" s="28">
        <v>45484</v>
      </c>
      <c r="G54" s="27" t="s">
        <v>159</v>
      </c>
      <c r="H54" s="27" t="s">
        <v>205</v>
      </c>
      <c r="I54" s="27" t="s">
        <v>90</v>
      </c>
      <c r="J54" s="27" t="s">
        <v>161</v>
      </c>
      <c r="K54" s="28">
        <v>45413</v>
      </c>
      <c r="L54" s="28">
        <v>45443</v>
      </c>
      <c r="M54" s="29">
        <v>140</v>
      </c>
      <c r="N54" s="29">
        <v>53</v>
      </c>
      <c r="O54" s="29">
        <v>29</v>
      </c>
      <c r="P54" s="29">
        <v>58</v>
      </c>
      <c r="Q54" s="29">
        <v>39</v>
      </c>
      <c r="R54" s="29">
        <v>2</v>
      </c>
      <c r="S54" s="29">
        <v>17</v>
      </c>
      <c r="T54" s="29">
        <v>20</v>
      </c>
      <c r="U54" s="30">
        <v>3</v>
      </c>
      <c r="V54" s="30">
        <v>3.3</v>
      </c>
      <c r="W54" s="30">
        <v>45.54</v>
      </c>
      <c r="X54" s="30">
        <v>55.56</v>
      </c>
      <c r="Z54" s="30">
        <v>16.899999999999999</v>
      </c>
      <c r="AA54" s="30">
        <v>11.53</v>
      </c>
      <c r="AB54" s="30">
        <v>15.36</v>
      </c>
      <c r="AD54" s="30">
        <v>10.02</v>
      </c>
      <c r="AE54" s="30">
        <v>1.75</v>
      </c>
      <c r="AG54" s="30">
        <v>100</v>
      </c>
      <c r="AH54" s="30" t="s">
        <v>162</v>
      </c>
      <c r="AI54" s="30" t="s">
        <v>163</v>
      </c>
    </row>
    <row r="55" spans="1:35" ht="15" customHeight="1" x14ac:dyDescent="0.2">
      <c r="A55" s="27" t="s">
        <v>587</v>
      </c>
      <c r="B55" s="27" t="s">
        <v>156</v>
      </c>
      <c r="C55" s="27" t="s">
        <v>157</v>
      </c>
      <c r="D55" s="27" t="s">
        <v>588</v>
      </c>
      <c r="E55" s="28">
        <v>45478</v>
      </c>
      <c r="F55" s="28">
        <v>45513</v>
      </c>
      <c r="G55" s="27" t="s">
        <v>159</v>
      </c>
      <c r="H55" s="27" t="s">
        <v>205</v>
      </c>
      <c r="I55" s="27" t="s">
        <v>90</v>
      </c>
      <c r="J55" s="27" t="s">
        <v>161</v>
      </c>
      <c r="K55" s="28">
        <v>45444</v>
      </c>
      <c r="L55" s="28">
        <v>45473</v>
      </c>
      <c r="M55" s="29">
        <v>186</v>
      </c>
      <c r="N55" s="29">
        <v>37</v>
      </c>
      <c r="O55" s="29">
        <v>51</v>
      </c>
      <c r="P55" s="29">
        <v>98</v>
      </c>
      <c r="Q55" s="29">
        <v>195</v>
      </c>
      <c r="R55" s="29">
        <v>36</v>
      </c>
      <c r="S55" s="29">
        <v>58</v>
      </c>
      <c r="T55" s="29">
        <v>101</v>
      </c>
      <c r="U55" s="30">
        <v>3</v>
      </c>
      <c r="V55" s="30">
        <v>3.3</v>
      </c>
      <c r="W55" s="30">
        <v>56.81</v>
      </c>
      <c r="X55" s="30">
        <v>69.31</v>
      </c>
      <c r="Z55" s="30">
        <v>24.78</v>
      </c>
      <c r="AA55" s="30">
        <v>12.12</v>
      </c>
      <c r="AB55" s="30">
        <v>17.579999999999998</v>
      </c>
      <c r="AD55" s="30">
        <v>12.5</v>
      </c>
      <c r="AE55" s="30">
        <v>2.33</v>
      </c>
      <c r="AG55" s="30">
        <v>100</v>
      </c>
      <c r="AH55" s="30" t="s">
        <v>162</v>
      </c>
      <c r="AI55" s="30" t="s">
        <v>163</v>
      </c>
    </row>
    <row r="56" spans="1:35" ht="15" customHeight="1" x14ac:dyDescent="0.2">
      <c r="A56" s="27" t="s">
        <v>526</v>
      </c>
      <c r="B56" s="27" t="s">
        <v>156</v>
      </c>
      <c r="C56" s="27" t="s">
        <v>157</v>
      </c>
      <c r="D56" s="27" t="s">
        <v>527</v>
      </c>
      <c r="E56" s="28">
        <v>45511</v>
      </c>
      <c r="F56" s="28">
        <v>45546</v>
      </c>
      <c r="G56" s="27" t="s">
        <v>159</v>
      </c>
      <c r="H56" s="27" t="s">
        <v>205</v>
      </c>
      <c r="I56" s="27" t="s">
        <v>90</v>
      </c>
      <c r="J56" s="27" t="s">
        <v>161</v>
      </c>
      <c r="K56" s="28">
        <v>45474</v>
      </c>
      <c r="L56" s="28">
        <v>45504</v>
      </c>
      <c r="M56" s="29">
        <v>324</v>
      </c>
      <c r="N56" s="29">
        <v>95</v>
      </c>
      <c r="O56" s="29">
        <v>79</v>
      </c>
      <c r="P56" s="29">
        <v>150</v>
      </c>
      <c r="Q56" s="29">
        <v>344</v>
      </c>
      <c r="R56" s="29">
        <v>102</v>
      </c>
      <c r="S56" s="29">
        <v>85</v>
      </c>
      <c r="T56" s="29">
        <v>157</v>
      </c>
      <c r="U56" s="30">
        <v>3</v>
      </c>
      <c r="V56" s="30">
        <v>3.3</v>
      </c>
      <c r="W56" s="30">
        <v>92.04</v>
      </c>
      <c r="X56" s="30">
        <v>112.29</v>
      </c>
      <c r="Z56" s="30">
        <v>49.86</v>
      </c>
      <c r="AA56" s="30">
        <v>13.9</v>
      </c>
      <c r="AB56" s="30">
        <v>24.23</v>
      </c>
      <c r="AD56" s="30">
        <v>20.25</v>
      </c>
      <c r="AE56" s="30">
        <v>4.05</v>
      </c>
      <c r="AG56" s="30">
        <v>100</v>
      </c>
      <c r="AH56" s="30" t="s">
        <v>162</v>
      </c>
      <c r="AI56" s="30" t="s">
        <v>163</v>
      </c>
    </row>
    <row r="57" spans="1:35" ht="15" customHeight="1" x14ac:dyDescent="0.2">
      <c r="A57" s="27" t="s">
        <v>466</v>
      </c>
      <c r="B57" s="27" t="s">
        <v>156</v>
      </c>
      <c r="C57" s="27" t="s">
        <v>157</v>
      </c>
      <c r="D57" s="27" t="s">
        <v>467</v>
      </c>
      <c r="E57" s="28">
        <v>45541</v>
      </c>
      <c r="F57" s="28">
        <v>45576</v>
      </c>
      <c r="G57" s="27" t="s">
        <v>159</v>
      </c>
      <c r="H57" s="27" t="s">
        <v>205</v>
      </c>
      <c r="I57" s="27" t="s">
        <v>90</v>
      </c>
      <c r="J57" s="27" t="s">
        <v>161</v>
      </c>
      <c r="K57" s="28">
        <v>45505</v>
      </c>
      <c r="L57" s="28">
        <v>45535</v>
      </c>
      <c r="M57" s="29">
        <v>1187</v>
      </c>
      <c r="N57" s="29">
        <v>361</v>
      </c>
      <c r="O57" s="29">
        <v>265</v>
      </c>
      <c r="P57" s="29">
        <v>561</v>
      </c>
      <c r="Q57" s="29">
        <v>1076</v>
      </c>
      <c r="R57" s="29">
        <v>242</v>
      </c>
      <c r="S57" s="29">
        <v>275</v>
      </c>
      <c r="T57" s="29">
        <v>559</v>
      </c>
      <c r="U57" s="35">
        <v>3</v>
      </c>
      <c r="V57" s="30">
        <v>3.3</v>
      </c>
      <c r="W57" s="30">
        <v>93.3</v>
      </c>
      <c r="X57" s="30">
        <v>113.83</v>
      </c>
      <c r="Z57" s="30">
        <v>51.3</v>
      </c>
      <c r="AA57" s="30">
        <v>13.91</v>
      </c>
      <c r="AB57" s="30">
        <v>24.28</v>
      </c>
      <c r="AD57" s="30">
        <v>20.53</v>
      </c>
      <c r="AE57" s="30">
        <v>4.0599999999999996</v>
      </c>
      <c r="AG57" s="30">
        <v>100</v>
      </c>
      <c r="AH57" s="30" t="s">
        <v>162</v>
      </c>
      <c r="AI57" s="30" t="s">
        <v>163</v>
      </c>
    </row>
    <row r="58" spans="1:35" ht="15" customHeight="1" x14ac:dyDescent="0.2">
      <c r="A58" s="27" t="s">
        <v>404</v>
      </c>
      <c r="B58" s="27" t="s">
        <v>156</v>
      </c>
      <c r="C58" s="27" t="s">
        <v>157</v>
      </c>
      <c r="D58" s="27" t="s">
        <v>405</v>
      </c>
      <c r="E58" s="28">
        <v>45571</v>
      </c>
      <c r="F58" s="28">
        <v>45607</v>
      </c>
      <c r="G58" s="27" t="s">
        <v>159</v>
      </c>
      <c r="H58" s="27" t="s">
        <v>205</v>
      </c>
      <c r="I58" s="27" t="s">
        <v>90</v>
      </c>
      <c r="J58" s="27" t="s">
        <v>161</v>
      </c>
      <c r="K58" s="28">
        <v>45536</v>
      </c>
      <c r="L58" s="28">
        <v>45565</v>
      </c>
      <c r="M58" s="29">
        <v>164</v>
      </c>
      <c r="N58" s="29">
        <v>46</v>
      </c>
      <c r="O58" s="29">
        <v>38</v>
      </c>
      <c r="P58" s="29">
        <v>80</v>
      </c>
      <c r="Q58" s="29">
        <v>74</v>
      </c>
      <c r="R58" s="29">
        <v>5</v>
      </c>
      <c r="S58" s="29">
        <v>25</v>
      </c>
      <c r="T58" s="29">
        <v>44</v>
      </c>
      <c r="U58" s="30">
        <v>3</v>
      </c>
      <c r="V58" s="30">
        <v>3.3</v>
      </c>
      <c r="W58" s="30">
        <v>54.12</v>
      </c>
      <c r="X58" s="30">
        <v>66.03</v>
      </c>
      <c r="Z58" s="30">
        <v>23.72</v>
      </c>
      <c r="AA58" s="30">
        <v>11.84</v>
      </c>
      <c r="AB58" s="30">
        <v>16.510000000000002</v>
      </c>
      <c r="AD58" s="30">
        <v>11.91</v>
      </c>
      <c r="AE58" s="30">
        <v>2.0499999999999998</v>
      </c>
      <c r="AG58" s="30">
        <v>100</v>
      </c>
      <c r="AH58" s="30" t="s">
        <v>162</v>
      </c>
      <c r="AI58" s="30" t="s">
        <v>163</v>
      </c>
    </row>
    <row r="59" spans="1:35" ht="15" customHeight="1" x14ac:dyDescent="0.2">
      <c r="A59" s="27" t="s">
        <v>348</v>
      </c>
      <c r="B59" s="27" t="s">
        <v>156</v>
      </c>
      <c r="C59" s="27" t="s">
        <v>157</v>
      </c>
      <c r="D59" s="27" t="s">
        <v>349</v>
      </c>
      <c r="E59" s="28">
        <v>45604</v>
      </c>
      <c r="F59" s="28">
        <v>45639</v>
      </c>
      <c r="G59" s="27" t="s">
        <v>159</v>
      </c>
      <c r="H59" s="27" t="s">
        <v>205</v>
      </c>
      <c r="I59" s="27" t="s">
        <v>90</v>
      </c>
      <c r="J59" s="27" t="s">
        <v>161</v>
      </c>
      <c r="K59" s="28">
        <v>45566</v>
      </c>
      <c r="L59" s="28">
        <v>45596</v>
      </c>
      <c r="M59" s="29">
        <v>178</v>
      </c>
      <c r="N59" s="29">
        <v>70</v>
      </c>
      <c r="O59" s="29">
        <v>34</v>
      </c>
      <c r="P59" s="29">
        <v>74</v>
      </c>
      <c r="Q59" s="29">
        <v>63</v>
      </c>
      <c r="R59" s="29">
        <v>10</v>
      </c>
      <c r="S59" s="29">
        <v>18</v>
      </c>
      <c r="T59" s="29">
        <v>35</v>
      </c>
      <c r="U59" s="30">
        <v>3</v>
      </c>
      <c r="V59" s="30">
        <v>3.3</v>
      </c>
      <c r="W59" s="30">
        <v>57.45</v>
      </c>
      <c r="X59" s="30">
        <v>70.09</v>
      </c>
      <c r="Z59" s="30">
        <v>26.01</v>
      </c>
      <c r="AA59" s="30">
        <v>12.02</v>
      </c>
      <c r="AB59" s="30">
        <v>17.190000000000001</v>
      </c>
      <c r="AD59" s="30">
        <v>12.64</v>
      </c>
      <c r="AE59" s="30">
        <v>2.23</v>
      </c>
      <c r="AG59" s="30">
        <v>100</v>
      </c>
      <c r="AH59" s="30" t="s">
        <v>162</v>
      </c>
      <c r="AI59" s="30" t="s">
        <v>163</v>
      </c>
    </row>
    <row r="60" spans="1:35" ht="15" customHeight="1" x14ac:dyDescent="0.2">
      <c r="A60" s="27" t="s">
        <v>290</v>
      </c>
      <c r="B60" s="27" t="s">
        <v>156</v>
      </c>
      <c r="C60" s="27" t="s">
        <v>157</v>
      </c>
      <c r="D60" s="27" t="s">
        <v>291</v>
      </c>
      <c r="E60" s="28">
        <v>45632</v>
      </c>
      <c r="F60" s="28">
        <v>45667</v>
      </c>
      <c r="G60" s="27" t="s">
        <v>159</v>
      </c>
      <c r="H60" s="27" t="s">
        <v>205</v>
      </c>
      <c r="I60" s="27" t="s">
        <v>90</v>
      </c>
      <c r="J60" s="27" t="s">
        <v>161</v>
      </c>
      <c r="K60" s="28">
        <v>45597</v>
      </c>
      <c r="L60" s="28">
        <v>45626</v>
      </c>
      <c r="M60" s="29">
        <v>186</v>
      </c>
      <c r="N60" s="29">
        <v>65</v>
      </c>
      <c r="O60" s="29">
        <v>39</v>
      </c>
      <c r="P60" s="29">
        <v>82</v>
      </c>
      <c r="Q60" s="29">
        <v>144</v>
      </c>
      <c r="R60" s="29">
        <v>20</v>
      </c>
      <c r="S60" s="29">
        <v>37</v>
      </c>
      <c r="T60" s="29">
        <v>87</v>
      </c>
      <c r="U60" s="35">
        <v>3</v>
      </c>
      <c r="V60" s="30">
        <v>3.3</v>
      </c>
      <c r="W60" s="30">
        <v>62.38</v>
      </c>
      <c r="X60" s="30">
        <v>76.099999999999994</v>
      </c>
      <c r="Z60" s="30">
        <v>30.35</v>
      </c>
      <c r="AA60" s="30">
        <v>12.12</v>
      </c>
      <c r="AB60" s="30">
        <v>17.579999999999998</v>
      </c>
      <c r="AD60" s="30">
        <v>13.72</v>
      </c>
      <c r="AE60" s="30">
        <v>2.33</v>
      </c>
      <c r="AG60" s="30">
        <v>100</v>
      </c>
      <c r="AH60" s="30" t="s">
        <v>162</v>
      </c>
      <c r="AI60" s="30" t="s">
        <v>163</v>
      </c>
    </row>
    <row r="61" spans="1:35" ht="15" customHeight="1" x14ac:dyDescent="0.2">
      <c r="A61" s="27" t="s">
        <v>203</v>
      </c>
      <c r="B61" s="27" t="s">
        <v>156</v>
      </c>
      <c r="C61" s="27" t="s">
        <v>157</v>
      </c>
      <c r="D61" s="27" t="s">
        <v>204</v>
      </c>
      <c r="E61" s="28">
        <v>45665</v>
      </c>
      <c r="F61" s="28">
        <v>45700</v>
      </c>
      <c r="G61" s="27" t="s">
        <v>159</v>
      </c>
      <c r="H61" s="27" t="s">
        <v>205</v>
      </c>
      <c r="I61" s="27" t="s">
        <v>90</v>
      </c>
      <c r="J61" s="27" t="s">
        <v>161</v>
      </c>
      <c r="K61" s="28">
        <v>45627</v>
      </c>
      <c r="L61" s="28">
        <v>45657</v>
      </c>
      <c r="M61" s="29">
        <v>141</v>
      </c>
      <c r="N61" s="29">
        <v>37</v>
      </c>
      <c r="O61" s="29">
        <v>31</v>
      </c>
      <c r="P61" s="29">
        <v>73</v>
      </c>
      <c r="Q61" s="29">
        <v>136</v>
      </c>
      <c r="R61" s="29">
        <v>17</v>
      </c>
      <c r="S61" s="29">
        <v>34</v>
      </c>
      <c r="T61" s="29">
        <v>85</v>
      </c>
      <c r="U61" s="35">
        <v>3</v>
      </c>
      <c r="V61" s="30">
        <v>3.3</v>
      </c>
      <c r="W61" s="30">
        <v>52.74</v>
      </c>
      <c r="X61" s="30">
        <v>64.34</v>
      </c>
      <c r="Z61" s="30">
        <v>24.03</v>
      </c>
      <c r="AA61" s="30">
        <v>11.54</v>
      </c>
      <c r="AB61" s="30">
        <v>15.41</v>
      </c>
      <c r="AD61" s="30">
        <v>11.6</v>
      </c>
      <c r="AE61" s="30">
        <v>1.76</v>
      </c>
      <c r="AG61" s="30">
        <v>100</v>
      </c>
      <c r="AH61" s="30" t="s">
        <v>162</v>
      </c>
      <c r="AI61" s="30" t="s">
        <v>163</v>
      </c>
    </row>
    <row r="62" spans="1:35" ht="15" customHeight="1" x14ac:dyDescent="0.2">
      <c r="A62" s="27" t="s">
        <v>898</v>
      </c>
      <c r="B62" s="27" t="s">
        <v>839</v>
      </c>
      <c r="C62" s="27" t="s">
        <v>840</v>
      </c>
      <c r="D62" s="27" t="s">
        <v>899</v>
      </c>
      <c r="E62" s="28">
        <v>45350</v>
      </c>
      <c r="F62" s="28">
        <v>45380</v>
      </c>
      <c r="G62" s="27" t="s">
        <v>159</v>
      </c>
      <c r="H62" s="27" t="s">
        <v>900</v>
      </c>
      <c r="I62" s="27" t="s">
        <v>27</v>
      </c>
      <c r="J62" s="27" t="s">
        <v>843</v>
      </c>
      <c r="K62" s="28">
        <v>45292</v>
      </c>
      <c r="L62" s="28">
        <v>45322</v>
      </c>
      <c r="M62" s="29">
        <v>242</v>
      </c>
      <c r="N62" s="29">
        <v>117</v>
      </c>
      <c r="O62" s="29">
        <v>58</v>
      </c>
      <c r="P62" s="29">
        <v>67</v>
      </c>
      <c r="Q62" s="29">
        <v>14</v>
      </c>
      <c r="R62" s="29">
        <v>9</v>
      </c>
      <c r="S62" s="29">
        <v>5</v>
      </c>
      <c r="T62" s="29">
        <v>0</v>
      </c>
      <c r="U62" s="30">
        <v>6</v>
      </c>
      <c r="V62" s="30">
        <v>6.6</v>
      </c>
      <c r="W62" s="30">
        <v>89.25</v>
      </c>
      <c r="X62" s="30">
        <v>108.89</v>
      </c>
      <c r="Z62" s="30">
        <v>38.630000000000003</v>
      </c>
      <c r="AA62" s="30">
        <v>21.93</v>
      </c>
      <c r="AB62" s="30">
        <v>24.45</v>
      </c>
      <c r="AC62" s="35">
        <v>1.21</v>
      </c>
      <c r="AD62" s="30">
        <v>3.03</v>
      </c>
      <c r="AE62" s="30">
        <v>19.64</v>
      </c>
      <c r="AG62" s="30">
        <v>100</v>
      </c>
      <c r="AH62" s="30" t="s">
        <v>162</v>
      </c>
      <c r="AI62" s="30" t="s">
        <v>851</v>
      </c>
    </row>
    <row r="63" spans="1:35" ht="15" customHeight="1" x14ac:dyDescent="0.2">
      <c r="A63" s="27" t="s">
        <v>826</v>
      </c>
      <c r="B63" s="27" t="s">
        <v>156</v>
      </c>
      <c r="C63" s="27" t="s">
        <v>157</v>
      </c>
      <c r="D63" s="27" t="s">
        <v>827</v>
      </c>
      <c r="E63" s="28">
        <v>45358</v>
      </c>
      <c r="F63" s="28">
        <v>45393</v>
      </c>
      <c r="G63" s="27" t="s">
        <v>159</v>
      </c>
      <c r="H63" s="27" t="s">
        <v>234</v>
      </c>
      <c r="I63" s="27" t="s">
        <v>27</v>
      </c>
      <c r="J63" s="27" t="s">
        <v>161</v>
      </c>
      <c r="K63" s="28">
        <v>45323</v>
      </c>
      <c r="L63" s="28">
        <v>45351</v>
      </c>
      <c r="M63" s="29">
        <v>222</v>
      </c>
      <c r="N63" s="29">
        <v>100</v>
      </c>
      <c r="O63" s="29">
        <v>66</v>
      </c>
      <c r="P63" s="29">
        <v>56</v>
      </c>
      <c r="Q63" s="29">
        <v>12</v>
      </c>
      <c r="R63" s="29">
        <v>6</v>
      </c>
      <c r="S63" s="29">
        <v>5</v>
      </c>
      <c r="T63" s="29">
        <v>1</v>
      </c>
      <c r="U63" s="30">
        <v>6</v>
      </c>
      <c r="V63" s="30">
        <v>6.6</v>
      </c>
      <c r="W63" s="30">
        <v>75.37</v>
      </c>
      <c r="X63" s="30">
        <v>91.95</v>
      </c>
      <c r="Z63" s="30">
        <v>27.3</v>
      </c>
      <c r="AA63" s="30">
        <v>21.67</v>
      </c>
      <c r="AB63" s="30">
        <v>23.62</v>
      </c>
      <c r="AD63" s="30">
        <v>16.579999999999998</v>
      </c>
      <c r="AE63" s="30">
        <v>2.78</v>
      </c>
      <c r="AG63" s="30">
        <v>100</v>
      </c>
      <c r="AH63" s="30" t="s">
        <v>162</v>
      </c>
      <c r="AI63" s="30" t="s">
        <v>163</v>
      </c>
    </row>
    <row r="64" spans="1:35" ht="15" customHeight="1" x14ac:dyDescent="0.2">
      <c r="A64" s="27" t="s">
        <v>770</v>
      </c>
      <c r="B64" s="27" t="s">
        <v>156</v>
      </c>
      <c r="C64" s="27" t="s">
        <v>157</v>
      </c>
      <c r="D64" s="27" t="s">
        <v>771</v>
      </c>
      <c r="E64" s="28">
        <v>45390</v>
      </c>
      <c r="F64" s="28">
        <v>45425</v>
      </c>
      <c r="G64" s="27" t="s">
        <v>159</v>
      </c>
      <c r="H64" s="27" t="s">
        <v>234</v>
      </c>
      <c r="I64" s="27" t="s">
        <v>27</v>
      </c>
      <c r="J64" s="27" t="s">
        <v>161</v>
      </c>
      <c r="K64" s="28">
        <v>45352</v>
      </c>
      <c r="L64" s="28">
        <v>45382</v>
      </c>
      <c r="M64" s="29">
        <v>212</v>
      </c>
      <c r="N64" s="29">
        <v>89</v>
      </c>
      <c r="O64" s="29">
        <v>66</v>
      </c>
      <c r="P64" s="29">
        <v>57</v>
      </c>
      <c r="Q64" s="29">
        <v>11</v>
      </c>
      <c r="R64" s="29">
        <v>6</v>
      </c>
      <c r="S64" s="29">
        <v>5</v>
      </c>
      <c r="T64" s="29">
        <v>0</v>
      </c>
      <c r="U64" s="30">
        <v>6</v>
      </c>
      <c r="V64" s="30">
        <v>6.6</v>
      </c>
      <c r="W64" s="30">
        <v>72.58</v>
      </c>
      <c r="X64" s="30">
        <v>88.55</v>
      </c>
      <c r="Z64" s="30">
        <v>25.18</v>
      </c>
      <c r="AA64" s="30">
        <v>21.55</v>
      </c>
      <c r="AB64" s="30">
        <v>23.2</v>
      </c>
      <c r="AD64" s="30">
        <v>15.97</v>
      </c>
      <c r="AE64" s="30">
        <v>2.65</v>
      </c>
      <c r="AG64" s="30">
        <v>100</v>
      </c>
      <c r="AH64" s="30" t="s">
        <v>162</v>
      </c>
      <c r="AI64" s="30" t="s">
        <v>163</v>
      </c>
    </row>
    <row r="65" spans="1:35" ht="15" customHeight="1" x14ac:dyDescent="0.2">
      <c r="A65" s="27" t="s">
        <v>710</v>
      </c>
      <c r="B65" s="27" t="s">
        <v>156</v>
      </c>
      <c r="C65" s="27" t="s">
        <v>157</v>
      </c>
      <c r="D65" s="27" t="s">
        <v>711</v>
      </c>
      <c r="E65" s="28">
        <v>45419</v>
      </c>
      <c r="F65" s="28">
        <v>45454</v>
      </c>
      <c r="G65" s="27" t="s">
        <v>159</v>
      </c>
      <c r="H65" s="27" t="s">
        <v>234</v>
      </c>
      <c r="I65" s="27" t="s">
        <v>27</v>
      </c>
      <c r="J65" s="27" t="s">
        <v>161</v>
      </c>
      <c r="K65" s="28">
        <v>45383</v>
      </c>
      <c r="L65" s="28">
        <v>45392</v>
      </c>
      <c r="M65" s="29">
        <v>142</v>
      </c>
      <c r="N65" s="29">
        <v>53</v>
      </c>
      <c r="O65" s="29">
        <v>38</v>
      </c>
      <c r="P65" s="29">
        <v>51</v>
      </c>
      <c r="Q65" s="29">
        <v>4</v>
      </c>
      <c r="R65" s="29">
        <v>2</v>
      </c>
      <c r="S65" s="29">
        <v>1</v>
      </c>
      <c r="T65" s="29">
        <v>1</v>
      </c>
      <c r="U65" s="30">
        <v>6</v>
      </c>
      <c r="V65" s="30">
        <v>6.6</v>
      </c>
      <c r="W65" s="30">
        <v>62.15</v>
      </c>
      <c r="X65" s="30">
        <v>75.819999999999993</v>
      </c>
      <c r="Z65" s="30">
        <v>16.11</v>
      </c>
      <c r="AA65" s="30">
        <v>20.63</v>
      </c>
      <c r="AB65" s="30">
        <v>23.63</v>
      </c>
      <c r="AD65" s="30">
        <v>13.67</v>
      </c>
      <c r="AE65" s="30">
        <v>0.73</v>
      </c>
      <c r="AG65" s="30">
        <v>100</v>
      </c>
      <c r="AH65" s="30" t="s">
        <v>162</v>
      </c>
      <c r="AI65" s="30" t="s">
        <v>163</v>
      </c>
    </row>
    <row r="66" spans="1:35" ht="15" customHeight="1" x14ac:dyDescent="0.2">
      <c r="A66" s="27" t="s">
        <v>652</v>
      </c>
      <c r="B66" s="27" t="s">
        <v>156</v>
      </c>
      <c r="C66" s="27" t="s">
        <v>157</v>
      </c>
      <c r="D66" s="27" t="s">
        <v>653</v>
      </c>
      <c r="E66" s="28">
        <v>45449</v>
      </c>
      <c r="F66" s="28">
        <v>45484</v>
      </c>
      <c r="G66" s="27" t="s">
        <v>159</v>
      </c>
      <c r="H66" s="27" t="s">
        <v>234</v>
      </c>
      <c r="I66" s="27" t="s">
        <v>27</v>
      </c>
      <c r="J66" s="27" t="s">
        <v>161</v>
      </c>
      <c r="K66" s="28">
        <v>45413</v>
      </c>
      <c r="L66" s="28">
        <v>45443</v>
      </c>
      <c r="M66" s="29">
        <v>88</v>
      </c>
      <c r="N66" s="29">
        <v>29</v>
      </c>
      <c r="O66" s="29">
        <v>35</v>
      </c>
      <c r="P66" s="29">
        <v>24</v>
      </c>
      <c r="Q66" s="29">
        <v>2</v>
      </c>
      <c r="R66" s="29">
        <v>0</v>
      </c>
      <c r="S66" s="29">
        <v>1</v>
      </c>
      <c r="T66" s="29">
        <v>1</v>
      </c>
      <c r="U66" s="35">
        <v>6</v>
      </c>
      <c r="V66" s="30">
        <v>6.6</v>
      </c>
      <c r="W66" s="30">
        <v>53.15</v>
      </c>
      <c r="X66" s="30">
        <v>64.84</v>
      </c>
      <c r="Z66" s="30">
        <v>11.07</v>
      </c>
      <c r="AA66" s="30">
        <v>19.95</v>
      </c>
      <c r="AB66" s="30">
        <v>21.03</v>
      </c>
      <c r="AD66" s="30">
        <v>11.69</v>
      </c>
      <c r="AE66" s="30">
        <v>1.1000000000000001</v>
      </c>
      <c r="AG66" s="30">
        <v>100</v>
      </c>
      <c r="AH66" s="30" t="s">
        <v>162</v>
      </c>
      <c r="AI66" s="30" t="s">
        <v>163</v>
      </c>
    </row>
    <row r="67" spans="1:35" ht="15" customHeight="1" x14ac:dyDescent="0.2">
      <c r="A67" s="27" t="s">
        <v>600</v>
      </c>
      <c r="B67" s="27" t="s">
        <v>156</v>
      </c>
      <c r="C67" s="27" t="s">
        <v>157</v>
      </c>
      <c r="D67" s="27" t="s">
        <v>601</v>
      </c>
      <c r="E67" s="28">
        <v>45478</v>
      </c>
      <c r="F67" s="28">
        <v>45513</v>
      </c>
      <c r="G67" s="27" t="s">
        <v>159</v>
      </c>
      <c r="H67" s="27" t="s">
        <v>234</v>
      </c>
      <c r="I67" s="27" t="s">
        <v>27</v>
      </c>
      <c r="J67" s="27" t="s">
        <v>161</v>
      </c>
      <c r="K67" s="28">
        <v>45444</v>
      </c>
      <c r="L67" s="28">
        <v>45473</v>
      </c>
      <c r="M67" s="29">
        <v>43</v>
      </c>
      <c r="N67" s="29">
        <v>8</v>
      </c>
      <c r="O67" s="29">
        <v>21</v>
      </c>
      <c r="P67" s="29">
        <v>14</v>
      </c>
      <c r="Q67" s="29">
        <v>3</v>
      </c>
      <c r="R67" s="29">
        <v>1</v>
      </c>
      <c r="S67" s="29">
        <v>1</v>
      </c>
      <c r="T67" s="29">
        <v>1</v>
      </c>
      <c r="U67" s="35">
        <v>6</v>
      </c>
      <c r="V67" s="30">
        <v>6.6</v>
      </c>
      <c r="W67" s="30">
        <v>44.64</v>
      </c>
      <c r="X67" s="30">
        <v>54.46</v>
      </c>
      <c r="Z67" s="30">
        <v>5.87</v>
      </c>
      <c r="AA67" s="30">
        <v>19.37</v>
      </c>
      <c r="AB67" s="30">
        <v>18.86</v>
      </c>
      <c r="AD67" s="30">
        <v>9.82</v>
      </c>
      <c r="AE67" s="30">
        <v>0.54</v>
      </c>
      <c r="AG67" s="30">
        <v>100</v>
      </c>
      <c r="AH67" s="30" t="s">
        <v>162</v>
      </c>
      <c r="AI67" s="30" t="s">
        <v>163</v>
      </c>
    </row>
    <row r="68" spans="1:35" ht="15" customHeight="1" x14ac:dyDescent="0.2">
      <c r="A68" s="27" t="s">
        <v>538</v>
      </c>
      <c r="B68" s="27" t="s">
        <v>156</v>
      </c>
      <c r="C68" s="27" t="s">
        <v>157</v>
      </c>
      <c r="D68" s="27" t="s">
        <v>539</v>
      </c>
      <c r="E68" s="28">
        <v>45511</v>
      </c>
      <c r="F68" s="28">
        <v>45546</v>
      </c>
      <c r="G68" s="27" t="s">
        <v>159</v>
      </c>
      <c r="H68" s="27" t="s">
        <v>234</v>
      </c>
      <c r="I68" s="27" t="s">
        <v>27</v>
      </c>
      <c r="J68" s="27" t="s">
        <v>161</v>
      </c>
      <c r="K68" s="28">
        <v>45474</v>
      </c>
      <c r="L68" s="28">
        <v>45504</v>
      </c>
      <c r="M68" s="29">
        <v>44</v>
      </c>
      <c r="N68" s="29">
        <v>14</v>
      </c>
      <c r="O68" s="29">
        <v>15</v>
      </c>
      <c r="P68" s="29">
        <v>15</v>
      </c>
      <c r="Q68" s="29">
        <v>5</v>
      </c>
      <c r="R68" s="29">
        <v>2</v>
      </c>
      <c r="S68" s="29">
        <v>1</v>
      </c>
      <c r="T68" s="29">
        <v>2</v>
      </c>
      <c r="U68" s="35">
        <v>6</v>
      </c>
      <c r="V68" s="30">
        <v>6.6</v>
      </c>
      <c r="W68" s="30">
        <v>45.81</v>
      </c>
      <c r="X68" s="30">
        <v>55.89</v>
      </c>
      <c r="Z68" s="30">
        <v>6.96</v>
      </c>
      <c r="AA68" s="30">
        <v>19.38</v>
      </c>
      <c r="AB68" s="30">
        <v>18.920000000000002</v>
      </c>
      <c r="AD68" s="30">
        <v>10.08</v>
      </c>
      <c r="AE68" s="30">
        <v>0.55000000000000004</v>
      </c>
      <c r="AG68" s="30">
        <v>100</v>
      </c>
      <c r="AH68" s="30" t="s">
        <v>162</v>
      </c>
      <c r="AI68" s="30" t="s">
        <v>163</v>
      </c>
    </row>
    <row r="69" spans="1:35" ht="15" customHeight="1" x14ac:dyDescent="0.2">
      <c r="A69" s="27" t="s">
        <v>482</v>
      </c>
      <c r="B69" s="27" t="s">
        <v>156</v>
      </c>
      <c r="C69" s="27" t="s">
        <v>157</v>
      </c>
      <c r="D69" s="27" t="s">
        <v>483</v>
      </c>
      <c r="E69" s="28">
        <v>45541</v>
      </c>
      <c r="F69" s="28">
        <v>45576</v>
      </c>
      <c r="G69" s="27" t="s">
        <v>159</v>
      </c>
      <c r="H69" s="27" t="s">
        <v>234</v>
      </c>
      <c r="I69" s="27" t="s">
        <v>27</v>
      </c>
      <c r="J69" s="27" t="s">
        <v>161</v>
      </c>
      <c r="K69" s="28">
        <v>45505</v>
      </c>
      <c r="L69" s="28">
        <v>45535</v>
      </c>
      <c r="M69" s="29">
        <v>355</v>
      </c>
      <c r="N69" s="29">
        <v>116</v>
      </c>
      <c r="O69" s="29">
        <v>121</v>
      </c>
      <c r="P69" s="29">
        <v>118</v>
      </c>
      <c r="Q69" s="29">
        <v>19</v>
      </c>
      <c r="R69" s="29">
        <v>6</v>
      </c>
      <c r="S69" s="29">
        <v>6</v>
      </c>
      <c r="T69" s="29">
        <v>7</v>
      </c>
      <c r="U69" s="30">
        <v>6</v>
      </c>
      <c r="V69" s="30">
        <v>6.6</v>
      </c>
      <c r="W69" s="30">
        <v>44.25</v>
      </c>
      <c r="X69" s="30">
        <v>53.99</v>
      </c>
      <c r="Z69" s="30">
        <v>5.99</v>
      </c>
      <c r="AA69" s="30">
        <v>19.309999999999999</v>
      </c>
      <c r="AB69" s="30">
        <v>18.62</v>
      </c>
      <c r="AD69" s="30">
        <v>9.74</v>
      </c>
      <c r="AE69" s="30">
        <v>0.48</v>
      </c>
      <c r="AG69" s="30">
        <v>100</v>
      </c>
      <c r="AH69" s="30" t="s">
        <v>162</v>
      </c>
      <c r="AI69" s="30" t="s">
        <v>163</v>
      </c>
    </row>
    <row r="70" spans="1:35" ht="15" customHeight="1" x14ac:dyDescent="0.2">
      <c r="A70" s="27" t="s">
        <v>420</v>
      </c>
      <c r="B70" s="27" t="s">
        <v>156</v>
      </c>
      <c r="C70" s="27" t="s">
        <v>157</v>
      </c>
      <c r="D70" s="27" t="s">
        <v>421</v>
      </c>
      <c r="E70" s="28">
        <v>45571</v>
      </c>
      <c r="F70" s="28">
        <v>45607</v>
      </c>
      <c r="G70" s="27" t="s">
        <v>159</v>
      </c>
      <c r="H70" s="27" t="s">
        <v>234</v>
      </c>
      <c r="I70" s="27" t="s">
        <v>27</v>
      </c>
      <c r="J70" s="27" t="s">
        <v>161</v>
      </c>
      <c r="K70" s="28">
        <v>45536</v>
      </c>
      <c r="L70" s="28">
        <v>45565</v>
      </c>
      <c r="M70" s="29">
        <v>42</v>
      </c>
      <c r="N70" s="29">
        <v>14</v>
      </c>
      <c r="O70" s="29">
        <v>15</v>
      </c>
      <c r="P70" s="29">
        <v>13</v>
      </c>
      <c r="Q70" s="29">
        <v>4</v>
      </c>
      <c r="R70" s="29">
        <v>1</v>
      </c>
      <c r="S70" s="29">
        <v>1</v>
      </c>
      <c r="T70" s="29">
        <v>2</v>
      </c>
      <c r="U70" s="30">
        <v>6</v>
      </c>
      <c r="V70" s="30">
        <v>6.6</v>
      </c>
      <c r="W70" s="30">
        <v>44.92</v>
      </c>
      <c r="X70" s="30">
        <v>54.8</v>
      </c>
      <c r="Z70" s="30">
        <v>6.22</v>
      </c>
      <c r="AA70" s="30">
        <v>19.36</v>
      </c>
      <c r="AB70" s="30">
        <v>18.809999999999999</v>
      </c>
      <c r="AD70" s="30">
        <v>9.8800000000000008</v>
      </c>
      <c r="AE70" s="30">
        <v>0.53</v>
      </c>
      <c r="AG70" s="30">
        <v>100</v>
      </c>
      <c r="AH70" s="30" t="s">
        <v>162</v>
      </c>
      <c r="AI70" s="30" t="s">
        <v>163</v>
      </c>
    </row>
    <row r="71" spans="1:35" ht="15" customHeight="1" x14ac:dyDescent="0.2">
      <c r="A71" s="27" t="s">
        <v>366</v>
      </c>
      <c r="B71" s="27" t="s">
        <v>156</v>
      </c>
      <c r="C71" s="27" t="s">
        <v>157</v>
      </c>
      <c r="D71" s="27" t="s">
        <v>367</v>
      </c>
      <c r="E71" s="28">
        <v>45604</v>
      </c>
      <c r="F71" s="28">
        <v>45639</v>
      </c>
      <c r="G71" s="27" t="s">
        <v>159</v>
      </c>
      <c r="H71" s="27" t="s">
        <v>234</v>
      </c>
      <c r="I71" s="27" t="s">
        <v>27</v>
      </c>
      <c r="J71" s="27" t="s">
        <v>161</v>
      </c>
      <c r="K71" s="28">
        <v>45566</v>
      </c>
      <c r="L71" s="28">
        <v>45596</v>
      </c>
      <c r="M71" s="29">
        <v>135</v>
      </c>
      <c r="N71" s="29">
        <v>54</v>
      </c>
      <c r="O71" s="29">
        <v>39</v>
      </c>
      <c r="P71" s="29">
        <v>42</v>
      </c>
      <c r="Q71" s="29">
        <v>0</v>
      </c>
      <c r="R71" s="29">
        <v>0</v>
      </c>
      <c r="S71" s="29">
        <v>0</v>
      </c>
      <c r="T71" s="29">
        <v>0</v>
      </c>
      <c r="U71" s="35">
        <v>6</v>
      </c>
      <c r="V71" s="30">
        <v>6.6</v>
      </c>
      <c r="W71" s="30">
        <v>65.61</v>
      </c>
      <c r="X71" s="30">
        <v>80.040000000000006</v>
      </c>
      <c r="Z71" s="30">
        <v>20.07</v>
      </c>
      <c r="AA71" s="30">
        <v>20.55</v>
      </c>
      <c r="AB71" s="30">
        <v>23.3</v>
      </c>
      <c r="AD71" s="30">
        <v>14.43</v>
      </c>
      <c r="AE71" s="30">
        <v>1.69</v>
      </c>
      <c r="AG71" s="30">
        <v>100</v>
      </c>
      <c r="AH71" s="30" t="s">
        <v>162</v>
      </c>
      <c r="AI71" s="30" t="s">
        <v>163</v>
      </c>
    </row>
    <row r="72" spans="1:35" ht="15" customHeight="1" x14ac:dyDescent="0.2">
      <c r="A72" s="27" t="s">
        <v>308</v>
      </c>
      <c r="B72" s="27" t="s">
        <v>156</v>
      </c>
      <c r="C72" s="27" t="s">
        <v>157</v>
      </c>
      <c r="D72" s="27" t="s">
        <v>309</v>
      </c>
      <c r="E72" s="28">
        <v>45632</v>
      </c>
      <c r="F72" s="28">
        <v>45667</v>
      </c>
      <c r="G72" s="27" t="s">
        <v>159</v>
      </c>
      <c r="H72" s="27" t="s">
        <v>234</v>
      </c>
      <c r="I72" s="27" t="s">
        <v>27</v>
      </c>
      <c r="J72" s="27" t="s">
        <v>161</v>
      </c>
      <c r="K72" s="28">
        <v>45597</v>
      </c>
      <c r="L72" s="28">
        <v>45626</v>
      </c>
      <c r="M72" s="29">
        <v>222</v>
      </c>
      <c r="N72" s="29">
        <v>91</v>
      </c>
      <c r="O72" s="29">
        <v>63</v>
      </c>
      <c r="P72" s="29">
        <v>68</v>
      </c>
      <c r="Q72" s="29">
        <v>11</v>
      </c>
      <c r="R72" s="29">
        <v>6</v>
      </c>
      <c r="S72" s="29">
        <v>3</v>
      </c>
      <c r="T72" s="29">
        <v>2</v>
      </c>
      <c r="U72" s="30">
        <v>6</v>
      </c>
      <c r="V72" s="30">
        <v>6.6</v>
      </c>
      <c r="W72" s="30">
        <v>88.85</v>
      </c>
      <c r="X72" s="30">
        <v>108.4</v>
      </c>
      <c r="Z72" s="30">
        <v>36.909999999999997</v>
      </c>
      <c r="AA72" s="30">
        <v>21.67</v>
      </c>
      <c r="AB72" s="30">
        <v>27.49</v>
      </c>
      <c r="AD72" s="30">
        <v>19.55</v>
      </c>
      <c r="AE72" s="30">
        <v>2.78</v>
      </c>
      <c r="AG72" s="30">
        <v>100</v>
      </c>
      <c r="AH72" s="30" t="s">
        <v>162</v>
      </c>
      <c r="AI72" s="30" t="s">
        <v>163</v>
      </c>
    </row>
    <row r="73" spans="1:35" ht="15" customHeight="1" x14ac:dyDescent="0.2">
      <c r="A73" s="27" t="s">
        <v>232</v>
      </c>
      <c r="B73" s="27" t="s">
        <v>156</v>
      </c>
      <c r="C73" s="27" t="s">
        <v>157</v>
      </c>
      <c r="D73" s="27" t="s">
        <v>233</v>
      </c>
      <c r="E73" s="28">
        <v>45665</v>
      </c>
      <c r="F73" s="28">
        <v>45700</v>
      </c>
      <c r="G73" s="27" t="s">
        <v>159</v>
      </c>
      <c r="H73" s="27" t="s">
        <v>234</v>
      </c>
      <c r="I73" s="27" t="s">
        <v>27</v>
      </c>
      <c r="J73" s="27" t="s">
        <v>161</v>
      </c>
      <c r="K73" s="28">
        <v>45627</v>
      </c>
      <c r="L73" s="28">
        <v>45657</v>
      </c>
      <c r="M73" s="29">
        <v>210</v>
      </c>
      <c r="N73" s="29">
        <v>88</v>
      </c>
      <c r="O73" s="29">
        <v>60</v>
      </c>
      <c r="P73" s="29">
        <v>62</v>
      </c>
      <c r="Q73" s="29">
        <v>23</v>
      </c>
      <c r="R73" s="29">
        <v>13</v>
      </c>
      <c r="S73" s="29">
        <v>6</v>
      </c>
      <c r="T73" s="29">
        <v>4</v>
      </c>
      <c r="U73" s="30">
        <v>6</v>
      </c>
      <c r="V73" s="30">
        <v>6.6</v>
      </c>
      <c r="W73" s="30">
        <v>88.88</v>
      </c>
      <c r="X73" s="30">
        <v>108.43</v>
      </c>
      <c r="Z73" s="30">
        <v>37.82</v>
      </c>
      <c r="AA73" s="30">
        <v>21.52</v>
      </c>
      <c r="AB73" s="30">
        <v>26.91</v>
      </c>
      <c r="AD73" s="30">
        <v>19.55</v>
      </c>
      <c r="AE73" s="30">
        <v>2.63</v>
      </c>
      <c r="AG73" s="30">
        <v>100</v>
      </c>
      <c r="AH73" s="30" t="s">
        <v>162</v>
      </c>
      <c r="AI73" s="30" t="s">
        <v>163</v>
      </c>
    </row>
    <row r="74" spans="1:35" ht="15" customHeight="1" x14ac:dyDescent="0.2">
      <c r="A74" s="27" t="s">
        <v>838</v>
      </c>
      <c r="B74" s="27" t="s">
        <v>839</v>
      </c>
      <c r="C74" s="27" t="s">
        <v>840</v>
      </c>
      <c r="D74" s="27" t="s">
        <v>841</v>
      </c>
      <c r="E74" s="28">
        <v>45365</v>
      </c>
      <c r="F74" s="28">
        <v>45397</v>
      </c>
      <c r="G74" s="27" t="s">
        <v>159</v>
      </c>
      <c r="H74" s="27" t="s">
        <v>842</v>
      </c>
      <c r="I74" s="27" t="s">
        <v>66</v>
      </c>
      <c r="J74" s="27" t="s">
        <v>843</v>
      </c>
      <c r="K74" s="28">
        <v>45292</v>
      </c>
      <c r="L74" s="28">
        <v>45322</v>
      </c>
      <c r="M74" s="29">
        <v>3053</v>
      </c>
      <c r="N74" s="29">
        <v>1246</v>
      </c>
      <c r="O74" s="29">
        <v>686</v>
      </c>
      <c r="P74" s="29">
        <v>1121</v>
      </c>
      <c r="Q74" s="29">
        <v>524</v>
      </c>
      <c r="R74" s="29">
        <v>167</v>
      </c>
      <c r="S74" s="29">
        <v>158</v>
      </c>
      <c r="T74" s="29">
        <v>199</v>
      </c>
      <c r="U74" s="30">
        <v>62.5</v>
      </c>
      <c r="V74" s="30">
        <v>62.5</v>
      </c>
      <c r="W74" s="30">
        <v>778.71</v>
      </c>
      <c r="X74" s="30">
        <v>950.03</v>
      </c>
      <c r="Z74" s="30">
        <v>481.33</v>
      </c>
      <c r="AA74" s="30">
        <v>84.6</v>
      </c>
      <c r="AB74" s="30">
        <v>159.35</v>
      </c>
      <c r="AC74" s="35">
        <v>15.27</v>
      </c>
      <c r="AD74" s="30">
        <v>38.159999999999997</v>
      </c>
      <c r="AE74" s="30">
        <v>171.32</v>
      </c>
      <c r="AG74" s="30">
        <v>100</v>
      </c>
      <c r="AH74" s="30" t="s">
        <v>162</v>
      </c>
      <c r="AI74" s="30" t="s">
        <v>844</v>
      </c>
    </row>
    <row r="75" spans="1:35" ht="15" customHeight="1" x14ac:dyDescent="0.2">
      <c r="A75" s="27" t="s">
        <v>836</v>
      </c>
      <c r="B75" s="27" t="s">
        <v>156</v>
      </c>
      <c r="C75" s="27" t="s">
        <v>157</v>
      </c>
      <c r="D75" s="27" t="s">
        <v>837</v>
      </c>
      <c r="E75" s="28">
        <v>45358</v>
      </c>
      <c r="F75" s="28">
        <v>45393</v>
      </c>
      <c r="G75" s="27" t="s">
        <v>159</v>
      </c>
      <c r="H75" s="27" t="s">
        <v>252</v>
      </c>
      <c r="I75" s="27" t="s">
        <v>66</v>
      </c>
      <c r="J75" s="27" t="s">
        <v>161</v>
      </c>
      <c r="K75" s="28">
        <v>45323</v>
      </c>
      <c r="L75" s="28">
        <v>45351</v>
      </c>
      <c r="M75" s="29">
        <v>3334</v>
      </c>
      <c r="N75" s="29">
        <v>1276</v>
      </c>
      <c r="O75" s="29">
        <v>989</v>
      </c>
      <c r="P75" s="29">
        <v>1069</v>
      </c>
      <c r="Q75" s="29">
        <v>751</v>
      </c>
      <c r="R75" s="29">
        <v>240</v>
      </c>
      <c r="S75" s="29">
        <v>319</v>
      </c>
      <c r="T75" s="29">
        <v>192</v>
      </c>
      <c r="U75" s="33"/>
      <c r="V75" s="30">
        <v>62.5</v>
      </c>
      <c r="W75" s="30">
        <v>710.61</v>
      </c>
      <c r="X75" s="30">
        <v>866.94</v>
      </c>
      <c r="Z75" s="30">
        <v>404.84</v>
      </c>
      <c r="AA75" s="30">
        <v>91.07</v>
      </c>
      <c r="AB75" s="30">
        <v>173.02</v>
      </c>
      <c r="AD75" s="30">
        <v>156.33000000000001</v>
      </c>
      <c r="AE75" s="30">
        <v>41.68</v>
      </c>
      <c r="AG75" s="30">
        <v>93</v>
      </c>
      <c r="AH75" s="30" t="s">
        <v>177</v>
      </c>
      <c r="AI75" s="30" t="s">
        <v>178</v>
      </c>
    </row>
    <row r="76" spans="1:35" ht="15" customHeight="1" x14ac:dyDescent="0.2">
      <c r="A76" s="27" t="s">
        <v>778</v>
      </c>
      <c r="B76" s="27" t="s">
        <v>156</v>
      </c>
      <c r="C76" s="27" t="s">
        <v>157</v>
      </c>
      <c r="D76" s="27" t="s">
        <v>779</v>
      </c>
      <c r="E76" s="28">
        <v>45390</v>
      </c>
      <c r="F76" s="28">
        <v>45425</v>
      </c>
      <c r="G76" s="27" t="s">
        <v>159</v>
      </c>
      <c r="H76" s="27" t="s">
        <v>252</v>
      </c>
      <c r="I76" s="27" t="s">
        <v>66</v>
      </c>
      <c r="J76" s="27" t="s">
        <v>161</v>
      </c>
      <c r="K76" s="28">
        <v>45352</v>
      </c>
      <c r="L76" s="28">
        <v>45382</v>
      </c>
      <c r="M76" s="29">
        <v>2410</v>
      </c>
      <c r="N76" s="29">
        <v>833</v>
      </c>
      <c r="O76" s="29">
        <v>767</v>
      </c>
      <c r="P76" s="29">
        <v>810</v>
      </c>
      <c r="Q76" s="29">
        <v>144</v>
      </c>
      <c r="R76" s="29">
        <v>2</v>
      </c>
      <c r="S76" s="29">
        <v>141</v>
      </c>
      <c r="T76" s="29">
        <v>1</v>
      </c>
      <c r="V76" s="30">
        <v>62.5</v>
      </c>
      <c r="W76" s="30">
        <v>532.53</v>
      </c>
      <c r="X76" s="30">
        <v>649.69000000000005</v>
      </c>
      <c r="Z76" s="30">
        <v>282.8</v>
      </c>
      <c r="AA76" s="30">
        <v>82.1</v>
      </c>
      <c r="AB76" s="30">
        <v>137.5</v>
      </c>
      <c r="AD76" s="30">
        <v>117.16</v>
      </c>
      <c r="AE76" s="30">
        <v>30.13</v>
      </c>
      <c r="AG76" s="30">
        <v>93</v>
      </c>
      <c r="AH76" s="30" t="s">
        <v>177</v>
      </c>
      <c r="AI76" s="30" t="s">
        <v>178</v>
      </c>
    </row>
    <row r="77" spans="1:35" ht="15" customHeight="1" x14ac:dyDescent="0.2">
      <c r="A77" s="27" t="s">
        <v>720</v>
      </c>
      <c r="B77" s="27" t="s">
        <v>156</v>
      </c>
      <c r="C77" s="27" t="s">
        <v>157</v>
      </c>
      <c r="D77" s="27" t="s">
        <v>721</v>
      </c>
      <c r="E77" s="28">
        <v>45419</v>
      </c>
      <c r="F77" s="28">
        <v>45454</v>
      </c>
      <c r="G77" s="27" t="s">
        <v>159</v>
      </c>
      <c r="H77" s="27" t="s">
        <v>252</v>
      </c>
      <c r="I77" s="27" t="s">
        <v>66</v>
      </c>
      <c r="J77" s="27" t="s">
        <v>161</v>
      </c>
      <c r="K77" s="28">
        <v>45383</v>
      </c>
      <c r="L77" s="28">
        <v>45412</v>
      </c>
      <c r="M77" s="29">
        <v>2296</v>
      </c>
      <c r="N77" s="29">
        <v>852</v>
      </c>
      <c r="O77" s="29">
        <v>560</v>
      </c>
      <c r="P77" s="29">
        <v>884</v>
      </c>
      <c r="Q77" s="29">
        <v>79</v>
      </c>
      <c r="R77" s="29">
        <v>2</v>
      </c>
      <c r="S77" s="29">
        <v>42</v>
      </c>
      <c r="T77" s="29">
        <v>35</v>
      </c>
      <c r="V77" s="30">
        <v>62.5</v>
      </c>
      <c r="W77" s="30">
        <v>494.36</v>
      </c>
      <c r="X77" s="30">
        <v>603.12</v>
      </c>
      <c r="Z77" s="30">
        <v>259.02</v>
      </c>
      <c r="AA77" s="30">
        <v>65.48</v>
      </c>
      <c r="AB77" s="30">
        <v>141.16</v>
      </c>
      <c r="AD77" s="30">
        <v>108.76</v>
      </c>
      <c r="AE77" s="30">
        <v>28.7</v>
      </c>
      <c r="AG77" s="30">
        <v>93</v>
      </c>
      <c r="AH77" s="30" t="s">
        <v>177</v>
      </c>
      <c r="AI77" s="30" t="s">
        <v>178</v>
      </c>
    </row>
    <row r="78" spans="1:35" ht="15" customHeight="1" x14ac:dyDescent="0.2">
      <c r="A78" s="27" t="s">
        <v>664</v>
      </c>
      <c r="B78" s="27" t="s">
        <v>156</v>
      </c>
      <c r="C78" s="27" t="s">
        <v>157</v>
      </c>
      <c r="D78" s="27" t="s">
        <v>665</v>
      </c>
      <c r="E78" s="28">
        <v>45449</v>
      </c>
      <c r="F78" s="28">
        <v>45484</v>
      </c>
      <c r="G78" s="27" t="s">
        <v>159</v>
      </c>
      <c r="H78" s="27" t="s">
        <v>252</v>
      </c>
      <c r="I78" s="27" t="s">
        <v>66</v>
      </c>
      <c r="J78" s="27" t="s">
        <v>161</v>
      </c>
      <c r="K78" s="28">
        <v>45413</v>
      </c>
      <c r="L78" s="28">
        <v>45443</v>
      </c>
      <c r="M78" s="29">
        <v>2119</v>
      </c>
      <c r="N78" s="29">
        <v>876</v>
      </c>
      <c r="O78" s="29">
        <v>476</v>
      </c>
      <c r="P78" s="29">
        <v>767</v>
      </c>
      <c r="Q78" s="29">
        <v>12</v>
      </c>
      <c r="R78" s="29">
        <v>6</v>
      </c>
      <c r="S78" s="29">
        <v>3</v>
      </c>
      <c r="T78" s="29">
        <v>3</v>
      </c>
      <c r="U78" s="33"/>
      <c r="V78" s="30">
        <v>62.5</v>
      </c>
      <c r="W78" s="30">
        <v>482.73</v>
      </c>
      <c r="X78" s="30">
        <v>588.92999999999995</v>
      </c>
      <c r="Z78" s="30">
        <v>257.66000000000003</v>
      </c>
      <c r="AA78" s="30">
        <v>67.23</v>
      </c>
      <c r="AB78" s="30">
        <v>131.35</v>
      </c>
      <c r="AD78" s="30">
        <v>106.2</v>
      </c>
      <c r="AE78" s="30">
        <v>26.49</v>
      </c>
      <c r="AG78" s="30">
        <v>93</v>
      </c>
      <c r="AH78" s="30" t="s">
        <v>177</v>
      </c>
      <c r="AI78" s="30" t="s">
        <v>178</v>
      </c>
    </row>
    <row r="79" spans="1:35" ht="15" customHeight="1" x14ac:dyDescent="0.2">
      <c r="A79" s="27" t="s">
        <v>556</v>
      </c>
      <c r="B79" s="27" t="s">
        <v>156</v>
      </c>
      <c r="C79" s="27" t="s">
        <v>157</v>
      </c>
      <c r="D79" s="27" t="s">
        <v>557</v>
      </c>
      <c r="E79" s="28">
        <v>45483</v>
      </c>
      <c r="F79" s="28">
        <v>45518</v>
      </c>
      <c r="G79" s="27" t="s">
        <v>159</v>
      </c>
      <c r="H79" s="27" t="s">
        <v>252</v>
      </c>
      <c r="I79" s="27" t="s">
        <v>66</v>
      </c>
      <c r="J79" s="27" t="s">
        <v>161</v>
      </c>
      <c r="K79" s="28">
        <v>45444</v>
      </c>
      <c r="L79" s="28">
        <v>45473</v>
      </c>
      <c r="M79" s="29">
        <v>3136</v>
      </c>
      <c r="N79" s="29">
        <v>1077</v>
      </c>
      <c r="O79" s="29">
        <v>637</v>
      </c>
      <c r="P79" s="29">
        <v>1422</v>
      </c>
      <c r="Q79" s="29">
        <v>492</v>
      </c>
      <c r="R79" s="29">
        <v>160</v>
      </c>
      <c r="S79" s="29">
        <v>26</v>
      </c>
      <c r="T79" s="29">
        <v>306</v>
      </c>
      <c r="U79" s="33"/>
      <c r="V79" s="30">
        <v>62.5</v>
      </c>
      <c r="W79" s="30">
        <v>790.39</v>
      </c>
      <c r="X79" s="30">
        <v>964.28</v>
      </c>
      <c r="Z79" s="30">
        <v>418.68</v>
      </c>
      <c r="AA79" s="30">
        <v>117.8</v>
      </c>
      <c r="AB79" s="30">
        <v>214.71</v>
      </c>
      <c r="AD79" s="30">
        <v>173.89</v>
      </c>
      <c r="AE79" s="30">
        <v>39.200000000000003</v>
      </c>
      <c r="AG79" s="30">
        <v>93</v>
      </c>
      <c r="AH79" s="30" t="s">
        <v>177</v>
      </c>
      <c r="AI79" s="30" t="s">
        <v>178</v>
      </c>
    </row>
    <row r="80" spans="1:35" ht="15" customHeight="1" x14ac:dyDescent="0.2">
      <c r="A80" s="27" t="s">
        <v>548</v>
      </c>
      <c r="B80" s="27" t="s">
        <v>156</v>
      </c>
      <c r="C80" s="27" t="s">
        <v>157</v>
      </c>
      <c r="D80" s="27" t="s">
        <v>549</v>
      </c>
      <c r="E80" s="28">
        <v>45511</v>
      </c>
      <c r="F80" s="28">
        <v>45546</v>
      </c>
      <c r="G80" s="27" t="s">
        <v>159</v>
      </c>
      <c r="H80" s="27" t="s">
        <v>252</v>
      </c>
      <c r="I80" s="27" t="s">
        <v>66</v>
      </c>
      <c r="J80" s="27" t="s">
        <v>161</v>
      </c>
      <c r="K80" s="28">
        <v>45474</v>
      </c>
      <c r="L80" s="28">
        <v>45504</v>
      </c>
      <c r="M80" s="29">
        <v>8127</v>
      </c>
      <c r="N80" s="29">
        <v>3186</v>
      </c>
      <c r="O80" s="29">
        <v>1693</v>
      </c>
      <c r="P80" s="29">
        <v>3248</v>
      </c>
      <c r="Q80" s="29">
        <v>3931</v>
      </c>
      <c r="R80" s="29">
        <v>1581</v>
      </c>
      <c r="S80" s="29">
        <v>760</v>
      </c>
      <c r="T80" s="29">
        <v>1590</v>
      </c>
      <c r="U80" s="33"/>
      <c r="V80" s="30">
        <v>62.5</v>
      </c>
      <c r="W80" s="30">
        <v>2122.79</v>
      </c>
      <c r="X80" s="30">
        <v>2589.8000000000002</v>
      </c>
      <c r="Z80" s="30">
        <v>1235.48</v>
      </c>
      <c r="AA80" s="30">
        <v>265.35000000000002</v>
      </c>
      <c r="AB80" s="30">
        <v>520.37</v>
      </c>
      <c r="AD80" s="30">
        <v>467.01</v>
      </c>
      <c r="AE80" s="30">
        <v>101.59</v>
      </c>
      <c r="AG80" s="30">
        <v>93</v>
      </c>
      <c r="AH80" s="30" t="s">
        <v>177</v>
      </c>
      <c r="AI80" s="30" t="s">
        <v>178</v>
      </c>
    </row>
    <row r="81" spans="1:35" ht="15" customHeight="1" x14ac:dyDescent="0.2">
      <c r="A81" s="27" t="s">
        <v>438</v>
      </c>
      <c r="B81" s="27" t="s">
        <v>156</v>
      </c>
      <c r="C81" s="27" t="s">
        <v>157</v>
      </c>
      <c r="D81" s="27" t="s">
        <v>439</v>
      </c>
      <c r="E81" s="28">
        <v>45542</v>
      </c>
      <c r="F81" s="28">
        <v>45579</v>
      </c>
      <c r="G81" s="27" t="s">
        <v>159</v>
      </c>
      <c r="H81" s="27" t="s">
        <v>252</v>
      </c>
      <c r="I81" s="27" t="s">
        <v>66</v>
      </c>
      <c r="J81" s="27" t="s">
        <v>161</v>
      </c>
      <c r="K81" s="28">
        <v>45505</v>
      </c>
      <c r="L81" s="28">
        <v>45535</v>
      </c>
      <c r="M81" s="29">
        <v>4830</v>
      </c>
      <c r="N81" s="29">
        <v>1664</v>
      </c>
      <c r="O81" s="29">
        <v>673</v>
      </c>
      <c r="P81" s="29">
        <v>2493</v>
      </c>
      <c r="Q81" s="29">
        <v>1768</v>
      </c>
      <c r="R81" s="29">
        <v>573</v>
      </c>
      <c r="S81" s="29">
        <v>100</v>
      </c>
      <c r="T81" s="29">
        <v>1095</v>
      </c>
      <c r="U81" s="33"/>
      <c r="V81" s="30">
        <v>62.5</v>
      </c>
      <c r="W81" s="30">
        <v>1241.7</v>
      </c>
      <c r="X81" s="30">
        <v>1514.87</v>
      </c>
      <c r="Z81" s="30">
        <v>748.27</v>
      </c>
      <c r="AA81" s="30">
        <v>138.28</v>
      </c>
      <c r="AB81" s="30">
        <v>294.77</v>
      </c>
      <c r="AD81" s="30">
        <v>273.17</v>
      </c>
      <c r="AE81" s="30">
        <v>60.38</v>
      </c>
      <c r="AG81" s="30">
        <v>93</v>
      </c>
      <c r="AH81" s="30" t="s">
        <v>177</v>
      </c>
      <c r="AI81" s="30" t="s">
        <v>178</v>
      </c>
    </row>
    <row r="82" spans="1:35" ht="15" customHeight="1" x14ac:dyDescent="0.2">
      <c r="A82" s="27" t="s">
        <v>432</v>
      </c>
      <c r="B82" s="27" t="s">
        <v>156</v>
      </c>
      <c r="C82" s="27" t="s">
        <v>157</v>
      </c>
      <c r="D82" s="27" t="s">
        <v>433</v>
      </c>
      <c r="E82" s="28">
        <v>45571</v>
      </c>
      <c r="F82" s="28">
        <v>45607</v>
      </c>
      <c r="G82" s="27" t="s">
        <v>159</v>
      </c>
      <c r="H82" s="27" t="s">
        <v>252</v>
      </c>
      <c r="I82" s="27" t="s">
        <v>66</v>
      </c>
      <c r="J82" s="27" t="s">
        <v>161</v>
      </c>
      <c r="K82" s="28">
        <v>45536</v>
      </c>
      <c r="L82" s="28">
        <v>45565</v>
      </c>
      <c r="M82" s="29">
        <v>3075</v>
      </c>
      <c r="N82" s="29">
        <v>1121</v>
      </c>
      <c r="O82" s="29">
        <v>538</v>
      </c>
      <c r="P82" s="29">
        <v>1416</v>
      </c>
      <c r="Q82" s="29">
        <v>711</v>
      </c>
      <c r="R82" s="29">
        <v>222</v>
      </c>
      <c r="S82" s="29">
        <v>39</v>
      </c>
      <c r="T82" s="29">
        <v>450</v>
      </c>
      <c r="U82" s="33"/>
      <c r="V82" s="30">
        <v>62.5</v>
      </c>
      <c r="W82" s="30">
        <v>806.91</v>
      </c>
      <c r="X82" s="30">
        <v>984.43</v>
      </c>
      <c r="Z82" s="30">
        <v>443.14</v>
      </c>
      <c r="AA82" s="30">
        <v>115.38</v>
      </c>
      <c r="AB82" s="30">
        <v>209.95</v>
      </c>
      <c r="AD82" s="30">
        <v>177.52</v>
      </c>
      <c r="AE82" s="30">
        <v>38.44</v>
      </c>
      <c r="AG82" s="30">
        <v>93</v>
      </c>
      <c r="AH82" s="30" t="s">
        <v>177</v>
      </c>
      <c r="AI82" s="30" t="s">
        <v>178</v>
      </c>
    </row>
    <row r="83" spans="1:35" ht="15" customHeight="1" x14ac:dyDescent="0.2">
      <c r="A83" s="27" t="s">
        <v>378</v>
      </c>
      <c r="B83" s="27" t="s">
        <v>156</v>
      </c>
      <c r="C83" s="27" t="s">
        <v>157</v>
      </c>
      <c r="D83" s="27" t="s">
        <v>379</v>
      </c>
      <c r="E83" s="28">
        <v>45604</v>
      </c>
      <c r="F83" s="28">
        <v>45639</v>
      </c>
      <c r="G83" s="27" t="s">
        <v>159</v>
      </c>
      <c r="H83" s="27" t="s">
        <v>252</v>
      </c>
      <c r="I83" s="27" t="s">
        <v>66</v>
      </c>
      <c r="J83" s="27" t="s">
        <v>161</v>
      </c>
      <c r="K83" s="28">
        <v>45566</v>
      </c>
      <c r="L83" s="28">
        <v>45596</v>
      </c>
      <c r="M83" s="29">
        <v>2509</v>
      </c>
      <c r="N83" s="29">
        <v>1207</v>
      </c>
      <c r="O83" s="29">
        <v>562</v>
      </c>
      <c r="P83" s="29">
        <v>740</v>
      </c>
      <c r="Q83" s="29">
        <v>9</v>
      </c>
      <c r="R83" s="29">
        <v>3</v>
      </c>
      <c r="S83" s="29">
        <v>4</v>
      </c>
      <c r="T83" s="29">
        <v>2</v>
      </c>
      <c r="U83" s="33"/>
      <c r="V83" s="30">
        <v>62.5</v>
      </c>
      <c r="W83" s="30">
        <v>636.19000000000005</v>
      </c>
      <c r="X83" s="30">
        <v>776.15</v>
      </c>
      <c r="Z83" s="30">
        <v>374.4</v>
      </c>
      <c r="AA83" s="30">
        <v>76.569999999999993</v>
      </c>
      <c r="AB83" s="30">
        <v>153.86000000000001</v>
      </c>
      <c r="AD83" s="30">
        <v>139.96</v>
      </c>
      <c r="AE83" s="30">
        <v>31.36</v>
      </c>
      <c r="AG83" s="30">
        <v>93</v>
      </c>
      <c r="AH83" s="30" t="s">
        <v>177</v>
      </c>
      <c r="AI83" s="30" t="s">
        <v>178</v>
      </c>
    </row>
    <row r="84" spans="1:35" ht="15" customHeight="1" x14ac:dyDescent="0.2">
      <c r="A84" s="27" t="s">
        <v>320</v>
      </c>
      <c r="B84" s="27" t="s">
        <v>156</v>
      </c>
      <c r="C84" s="27" t="s">
        <v>157</v>
      </c>
      <c r="D84" s="27" t="s">
        <v>321</v>
      </c>
      <c r="E84" s="28">
        <v>45632</v>
      </c>
      <c r="F84" s="28">
        <v>45667</v>
      </c>
      <c r="G84" s="27" t="s">
        <v>159</v>
      </c>
      <c r="H84" s="27" t="s">
        <v>252</v>
      </c>
      <c r="I84" s="27" t="s">
        <v>66</v>
      </c>
      <c r="J84" s="27" t="s">
        <v>161</v>
      </c>
      <c r="K84" s="28">
        <v>45597</v>
      </c>
      <c r="L84" s="28">
        <v>45626</v>
      </c>
      <c r="M84" s="29">
        <v>3139</v>
      </c>
      <c r="N84" s="29">
        <v>1153</v>
      </c>
      <c r="O84" s="29">
        <v>830</v>
      </c>
      <c r="P84" s="29">
        <v>1156</v>
      </c>
      <c r="Q84" s="29">
        <v>753</v>
      </c>
      <c r="R84" s="29">
        <v>197</v>
      </c>
      <c r="S84" s="29">
        <v>221</v>
      </c>
      <c r="T84" s="29">
        <v>335</v>
      </c>
      <c r="U84" s="33"/>
      <c r="V84" s="30">
        <v>62.5</v>
      </c>
      <c r="W84" s="30">
        <v>842.06</v>
      </c>
      <c r="X84" s="30">
        <v>1027.31</v>
      </c>
      <c r="Z84" s="30">
        <v>516.66999999999996</v>
      </c>
      <c r="AA84" s="30">
        <v>93.7</v>
      </c>
      <c r="AB84" s="30">
        <v>192.45</v>
      </c>
      <c r="AD84" s="30">
        <v>185.25</v>
      </c>
      <c r="AE84" s="30">
        <v>39.24</v>
      </c>
      <c r="AG84" s="30">
        <v>93</v>
      </c>
      <c r="AH84" s="30" t="s">
        <v>177</v>
      </c>
      <c r="AI84" s="30" t="s">
        <v>178</v>
      </c>
    </row>
    <row r="85" spans="1:35" ht="15" customHeight="1" x14ac:dyDescent="0.2">
      <c r="A85" s="27" t="s">
        <v>250</v>
      </c>
      <c r="B85" s="27" t="s">
        <v>156</v>
      </c>
      <c r="C85" s="27" t="s">
        <v>157</v>
      </c>
      <c r="D85" s="27" t="s">
        <v>251</v>
      </c>
      <c r="E85" s="28">
        <v>45665</v>
      </c>
      <c r="F85" s="28">
        <v>45700</v>
      </c>
      <c r="G85" s="27" t="s">
        <v>159</v>
      </c>
      <c r="H85" s="27" t="s">
        <v>252</v>
      </c>
      <c r="I85" s="27" t="s">
        <v>66</v>
      </c>
      <c r="J85" s="27" t="s">
        <v>161</v>
      </c>
      <c r="K85" s="28">
        <v>45627</v>
      </c>
      <c r="L85" s="28">
        <v>45657</v>
      </c>
      <c r="M85" s="29">
        <v>3051</v>
      </c>
      <c r="N85" s="29">
        <v>1282</v>
      </c>
      <c r="O85" s="29">
        <v>722</v>
      </c>
      <c r="P85" s="29">
        <v>1047</v>
      </c>
      <c r="Q85" s="29">
        <v>381</v>
      </c>
      <c r="R85" s="29">
        <v>194</v>
      </c>
      <c r="S85" s="29">
        <v>133</v>
      </c>
      <c r="T85" s="29">
        <v>54</v>
      </c>
      <c r="U85" s="33"/>
      <c r="V85" s="30">
        <v>62.5</v>
      </c>
      <c r="W85" s="30">
        <v>884.11</v>
      </c>
      <c r="X85" s="30">
        <v>1078.6099999999999</v>
      </c>
      <c r="Z85" s="30">
        <v>547.6</v>
      </c>
      <c r="AA85" s="30">
        <v>102.17</v>
      </c>
      <c r="AB85" s="30">
        <v>196.2</v>
      </c>
      <c r="AD85" s="30">
        <v>194.5</v>
      </c>
      <c r="AE85" s="30">
        <v>38.14</v>
      </c>
      <c r="AG85" s="30">
        <v>93</v>
      </c>
      <c r="AH85" s="30" t="s">
        <v>177</v>
      </c>
      <c r="AI85" s="30" t="s">
        <v>178</v>
      </c>
    </row>
    <row r="86" spans="1:35" ht="15" customHeight="1" x14ac:dyDescent="0.2">
      <c r="A86" s="27" t="s">
        <v>919</v>
      </c>
      <c r="B86" s="27" t="s">
        <v>839</v>
      </c>
      <c r="C86" s="27" t="s">
        <v>840</v>
      </c>
      <c r="D86" s="27" t="s">
        <v>920</v>
      </c>
      <c r="E86" s="28">
        <v>45349</v>
      </c>
      <c r="F86" s="28">
        <v>45379</v>
      </c>
      <c r="G86" s="27" t="s">
        <v>159</v>
      </c>
      <c r="H86" s="27" t="s">
        <v>921</v>
      </c>
      <c r="I86" s="27" t="s">
        <v>56</v>
      </c>
      <c r="J86" s="27" t="s">
        <v>843</v>
      </c>
      <c r="K86" s="28">
        <v>45292</v>
      </c>
      <c r="L86" s="28">
        <v>45322</v>
      </c>
      <c r="M86" s="29">
        <v>68</v>
      </c>
      <c r="N86" s="29">
        <v>14</v>
      </c>
      <c r="O86" s="29">
        <v>28</v>
      </c>
      <c r="P86" s="29">
        <v>26</v>
      </c>
      <c r="Q86" s="29">
        <v>44</v>
      </c>
      <c r="R86" s="29">
        <v>14</v>
      </c>
      <c r="S86" s="29">
        <v>16</v>
      </c>
      <c r="T86" s="29">
        <v>14</v>
      </c>
      <c r="U86" s="35">
        <v>6</v>
      </c>
      <c r="V86" s="30">
        <v>6.6</v>
      </c>
      <c r="W86" s="30">
        <v>48.74</v>
      </c>
      <c r="X86" s="30">
        <v>59.46</v>
      </c>
      <c r="Z86" s="30">
        <v>10.63</v>
      </c>
      <c r="AA86" s="30">
        <v>19.690000000000001</v>
      </c>
      <c r="AB86" s="30">
        <v>17.23</v>
      </c>
      <c r="AC86" s="35">
        <v>0.34</v>
      </c>
      <c r="AD86" s="30">
        <v>0.85</v>
      </c>
      <c r="AE86" s="30">
        <v>10.72</v>
      </c>
      <c r="AG86" s="30">
        <v>100</v>
      </c>
      <c r="AH86" s="30" t="s">
        <v>162</v>
      </c>
      <c r="AI86" s="30" t="s">
        <v>851</v>
      </c>
    </row>
    <row r="87" spans="1:35" ht="15" customHeight="1" x14ac:dyDescent="0.2">
      <c r="A87" s="27" t="s">
        <v>802</v>
      </c>
      <c r="B87" s="27" t="s">
        <v>156</v>
      </c>
      <c r="C87" s="27" t="s">
        <v>157</v>
      </c>
      <c r="D87" s="27" t="s">
        <v>803</v>
      </c>
      <c r="E87" s="28">
        <v>45358</v>
      </c>
      <c r="F87" s="28">
        <v>45393</v>
      </c>
      <c r="G87" s="27" t="s">
        <v>159</v>
      </c>
      <c r="H87" s="27" t="s">
        <v>196</v>
      </c>
      <c r="I87" s="27" t="s">
        <v>56</v>
      </c>
      <c r="J87" s="27" t="s">
        <v>161</v>
      </c>
      <c r="K87" s="28">
        <v>45323</v>
      </c>
      <c r="L87" s="28">
        <v>45351</v>
      </c>
      <c r="M87" s="29">
        <v>63</v>
      </c>
      <c r="N87" s="29">
        <v>14</v>
      </c>
      <c r="O87" s="29">
        <v>31</v>
      </c>
      <c r="P87" s="29">
        <v>18</v>
      </c>
      <c r="Q87" s="29">
        <v>37</v>
      </c>
      <c r="R87" s="29">
        <v>9</v>
      </c>
      <c r="S87" s="29">
        <v>18</v>
      </c>
      <c r="T87" s="29">
        <v>10</v>
      </c>
      <c r="U87" s="30">
        <v>6</v>
      </c>
      <c r="V87" s="30">
        <v>6.6</v>
      </c>
      <c r="W87" s="30">
        <v>45.07</v>
      </c>
      <c r="X87" s="30">
        <v>54.99</v>
      </c>
      <c r="Z87" s="30">
        <v>7.62</v>
      </c>
      <c r="AA87" s="30">
        <v>19.63</v>
      </c>
      <c r="AB87" s="30">
        <v>17.03</v>
      </c>
      <c r="AD87" s="30">
        <v>9.92</v>
      </c>
      <c r="AE87" s="30">
        <v>0.79</v>
      </c>
      <c r="AG87" s="30">
        <v>100</v>
      </c>
      <c r="AH87" s="30" t="s">
        <v>162</v>
      </c>
      <c r="AI87" s="30" t="s">
        <v>163</v>
      </c>
    </row>
    <row r="88" spans="1:35" ht="15" customHeight="1" x14ac:dyDescent="0.2">
      <c r="A88" s="27" t="s">
        <v>754</v>
      </c>
      <c r="B88" s="27" t="s">
        <v>156</v>
      </c>
      <c r="C88" s="27" t="s">
        <v>157</v>
      </c>
      <c r="D88" s="27" t="s">
        <v>755</v>
      </c>
      <c r="E88" s="28">
        <v>45390</v>
      </c>
      <c r="F88" s="28">
        <v>45425</v>
      </c>
      <c r="G88" s="27" t="s">
        <v>159</v>
      </c>
      <c r="H88" s="27" t="s">
        <v>196</v>
      </c>
      <c r="I88" s="27" t="s">
        <v>56</v>
      </c>
      <c r="J88" s="27" t="s">
        <v>161</v>
      </c>
      <c r="K88" s="28">
        <v>45352</v>
      </c>
      <c r="L88" s="28">
        <v>45382</v>
      </c>
      <c r="M88" s="29">
        <v>37</v>
      </c>
      <c r="N88" s="29">
        <v>6</v>
      </c>
      <c r="O88" s="29">
        <v>17</v>
      </c>
      <c r="P88" s="29">
        <v>14</v>
      </c>
      <c r="Q88" s="29">
        <v>29</v>
      </c>
      <c r="R88" s="29">
        <v>7</v>
      </c>
      <c r="S88" s="29">
        <v>11</v>
      </c>
      <c r="T88" s="29">
        <v>11</v>
      </c>
      <c r="U88" s="30">
        <v>6</v>
      </c>
      <c r="V88" s="30">
        <v>6.6</v>
      </c>
      <c r="W88" s="30">
        <v>40.08</v>
      </c>
      <c r="X88" s="30">
        <v>48.9</v>
      </c>
      <c r="Z88" s="30">
        <v>4.3600000000000003</v>
      </c>
      <c r="AA88" s="30">
        <v>19.3</v>
      </c>
      <c r="AB88" s="30">
        <v>15.96</v>
      </c>
      <c r="AD88" s="30">
        <v>8.82</v>
      </c>
      <c r="AE88" s="30">
        <v>0.46</v>
      </c>
      <c r="AG88" s="30">
        <v>100</v>
      </c>
      <c r="AH88" s="30" t="s">
        <v>162</v>
      </c>
      <c r="AI88" s="30" t="s">
        <v>163</v>
      </c>
    </row>
    <row r="89" spans="1:35" ht="15" customHeight="1" x14ac:dyDescent="0.2">
      <c r="A89" s="27" t="s">
        <v>668</v>
      </c>
      <c r="B89" s="27" t="s">
        <v>156</v>
      </c>
      <c r="C89" s="27" t="s">
        <v>157</v>
      </c>
      <c r="D89" s="27" t="s">
        <v>669</v>
      </c>
      <c r="E89" s="28">
        <v>45424</v>
      </c>
      <c r="F89" s="28">
        <v>45460</v>
      </c>
      <c r="G89" s="27" t="s">
        <v>159</v>
      </c>
      <c r="H89" s="27" t="s">
        <v>196</v>
      </c>
      <c r="I89" s="27" t="s">
        <v>56</v>
      </c>
      <c r="J89" s="27" t="s">
        <v>161</v>
      </c>
      <c r="K89" s="28">
        <v>45383</v>
      </c>
      <c r="L89" s="28">
        <v>45412</v>
      </c>
      <c r="M89" s="29">
        <v>26</v>
      </c>
      <c r="N89" s="29">
        <v>6</v>
      </c>
      <c r="O89" s="29">
        <v>11</v>
      </c>
      <c r="P89" s="29">
        <v>9</v>
      </c>
      <c r="Q89" s="29">
        <v>0</v>
      </c>
      <c r="R89" s="29">
        <v>0</v>
      </c>
      <c r="S89" s="29">
        <v>0</v>
      </c>
      <c r="T89" s="29">
        <v>0</v>
      </c>
      <c r="U89" s="35">
        <v>6</v>
      </c>
      <c r="V89" s="30">
        <v>6.6</v>
      </c>
      <c r="W89" s="30">
        <v>40.57</v>
      </c>
      <c r="X89" s="30">
        <v>49.5</v>
      </c>
      <c r="Z89" s="30">
        <v>3.05</v>
      </c>
      <c r="AA89" s="30">
        <v>19.149999999999999</v>
      </c>
      <c r="AB89" s="30">
        <v>18.04</v>
      </c>
      <c r="AD89" s="30">
        <v>8.93</v>
      </c>
      <c r="AE89" s="30">
        <v>0.33</v>
      </c>
      <c r="AG89" s="30">
        <v>100</v>
      </c>
      <c r="AH89" s="30" t="s">
        <v>162</v>
      </c>
      <c r="AI89" s="30" t="s">
        <v>163</v>
      </c>
    </row>
    <row r="90" spans="1:35" ht="15" customHeight="1" x14ac:dyDescent="0.2">
      <c r="A90" s="27" t="s">
        <v>628</v>
      </c>
      <c r="B90" s="27" t="s">
        <v>156</v>
      </c>
      <c r="C90" s="27" t="s">
        <v>157</v>
      </c>
      <c r="D90" s="27" t="s">
        <v>629</v>
      </c>
      <c r="E90" s="28">
        <v>45449</v>
      </c>
      <c r="F90" s="28">
        <v>45484</v>
      </c>
      <c r="G90" s="27" t="s">
        <v>159</v>
      </c>
      <c r="H90" s="27" t="s">
        <v>196</v>
      </c>
      <c r="I90" s="27" t="s">
        <v>56</v>
      </c>
      <c r="J90" s="27" t="s">
        <v>161</v>
      </c>
      <c r="K90" s="28">
        <v>45383</v>
      </c>
      <c r="L90" s="28">
        <v>45414</v>
      </c>
      <c r="M90" s="29">
        <v>60</v>
      </c>
      <c r="N90" s="29">
        <v>13</v>
      </c>
      <c r="O90" s="29">
        <v>26</v>
      </c>
      <c r="P90" s="29">
        <v>21</v>
      </c>
      <c r="Q90" s="29">
        <v>26</v>
      </c>
      <c r="R90" s="29">
        <v>8</v>
      </c>
      <c r="S90" s="29">
        <v>7</v>
      </c>
      <c r="T90" s="29">
        <v>11</v>
      </c>
      <c r="U90" s="35">
        <v>6</v>
      </c>
      <c r="V90" s="30">
        <v>6.6</v>
      </c>
      <c r="W90" s="30">
        <v>42.33</v>
      </c>
      <c r="X90" s="30">
        <v>51.64</v>
      </c>
      <c r="Z90" s="30">
        <v>4.22</v>
      </c>
      <c r="AA90" s="30">
        <v>19.27</v>
      </c>
      <c r="AB90" s="30">
        <v>18.420000000000002</v>
      </c>
      <c r="AD90" s="30">
        <v>9.31</v>
      </c>
      <c r="AE90" s="30">
        <v>0.36</v>
      </c>
      <c r="AG90" s="30">
        <v>100</v>
      </c>
      <c r="AH90" s="30" t="s">
        <v>162</v>
      </c>
      <c r="AI90" s="30" t="s">
        <v>163</v>
      </c>
    </row>
    <row r="91" spans="1:35" ht="15" customHeight="1" x14ac:dyDescent="0.2">
      <c r="A91" s="27" t="s">
        <v>583</v>
      </c>
      <c r="B91" s="27" t="s">
        <v>156</v>
      </c>
      <c r="C91" s="27" t="s">
        <v>157</v>
      </c>
      <c r="D91" s="27" t="s">
        <v>584</v>
      </c>
      <c r="E91" s="28">
        <v>45478</v>
      </c>
      <c r="F91" s="28">
        <v>45513</v>
      </c>
      <c r="G91" s="27" t="s">
        <v>159</v>
      </c>
      <c r="H91" s="27" t="s">
        <v>196</v>
      </c>
      <c r="I91" s="27" t="s">
        <v>56</v>
      </c>
      <c r="J91" s="27" t="s">
        <v>161</v>
      </c>
      <c r="K91" s="28">
        <v>45444</v>
      </c>
      <c r="L91" s="28">
        <v>45473</v>
      </c>
      <c r="M91" s="29">
        <v>39</v>
      </c>
      <c r="N91" s="29">
        <v>12</v>
      </c>
      <c r="O91" s="29">
        <v>13</v>
      </c>
      <c r="P91" s="29">
        <v>14</v>
      </c>
      <c r="Q91" s="29">
        <v>16</v>
      </c>
      <c r="R91" s="29">
        <v>5</v>
      </c>
      <c r="S91" s="29">
        <v>4</v>
      </c>
      <c r="T91" s="29">
        <v>7</v>
      </c>
      <c r="U91" s="30">
        <v>6</v>
      </c>
      <c r="V91" s="30">
        <v>6.6</v>
      </c>
      <c r="W91" s="30">
        <v>43.65</v>
      </c>
      <c r="X91" s="30">
        <v>53.25</v>
      </c>
      <c r="Z91" s="30">
        <v>5.17</v>
      </c>
      <c r="AA91" s="30">
        <v>19.32</v>
      </c>
      <c r="AB91" s="30">
        <v>18.670000000000002</v>
      </c>
      <c r="AD91" s="30">
        <v>9.6</v>
      </c>
      <c r="AE91" s="30">
        <v>0.49</v>
      </c>
      <c r="AG91" s="30">
        <v>100</v>
      </c>
      <c r="AH91" s="30" t="s">
        <v>162</v>
      </c>
      <c r="AI91" s="30" t="s">
        <v>163</v>
      </c>
    </row>
    <row r="92" spans="1:35" ht="15" customHeight="1" x14ac:dyDescent="0.2">
      <c r="A92" s="27" t="s">
        <v>520</v>
      </c>
      <c r="B92" s="27" t="s">
        <v>156</v>
      </c>
      <c r="C92" s="27" t="s">
        <v>157</v>
      </c>
      <c r="D92" s="27" t="s">
        <v>521</v>
      </c>
      <c r="E92" s="28">
        <v>45511</v>
      </c>
      <c r="F92" s="28">
        <v>45546</v>
      </c>
      <c r="G92" s="27" t="s">
        <v>159</v>
      </c>
      <c r="H92" s="27" t="s">
        <v>196</v>
      </c>
      <c r="I92" s="27" t="s">
        <v>56</v>
      </c>
      <c r="J92" s="27" t="s">
        <v>161</v>
      </c>
      <c r="K92" s="28">
        <v>45474</v>
      </c>
      <c r="L92" s="28">
        <v>45504</v>
      </c>
      <c r="M92" s="29">
        <v>44</v>
      </c>
      <c r="N92" s="29">
        <v>13</v>
      </c>
      <c r="O92" s="29">
        <v>15</v>
      </c>
      <c r="P92" s="29">
        <v>16</v>
      </c>
      <c r="Q92" s="29">
        <v>18</v>
      </c>
      <c r="R92" s="29">
        <v>7</v>
      </c>
      <c r="S92" s="29">
        <v>4</v>
      </c>
      <c r="T92" s="29">
        <v>7</v>
      </c>
      <c r="U92" s="30">
        <v>6</v>
      </c>
      <c r="V92" s="30">
        <v>6.6</v>
      </c>
      <c r="W92" s="30">
        <v>45.8</v>
      </c>
      <c r="X92" s="30">
        <v>55.88</v>
      </c>
      <c r="Z92" s="30">
        <v>6.95</v>
      </c>
      <c r="AA92" s="30">
        <v>19.38</v>
      </c>
      <c r="AB92" s="30">
        <v>18.920000000000002</v>
      </c>
      <c r="AD92" s="30">
        <v>10.08</v>
      </c>
      <c r="AE92" s="30">
        <v>0.55000000000000004</v>
      </c>
      <c r="AG92" s="30">
        <v>100</v>
      </c>
      <c r="AH92" s="30" t="s">
        <v>162</v>
      </c>
      <c r="AI92" s="30" t="s">
        <v>163</v>
      </c>
    </row>
    <row r="93" spans="1:35" ht="15" customHeight="1" x14ac:dyDescent="0.2">
      <c r="A93" s="27" t="s">
        <v>460</v>
      </c>
      <c r="B93" s="27" t="s">
        <v>156</v>
      </c>
      <c r="C93" s="27" t="s">
        <v>157</v>
      </c>
      <c r="D93" s="27" t="s">
        <v>461</v>
      </c>
      <c r="E93" s="28">
        <v>45541</v>
      </c>
      <c r="F93" s="28">
        <v>45576</v>
      </c>
      <c r="G93" s="27" t="s">
        <v>159</v>
      </c>
      <c r="H93" s="27" t="s">
        <v>196</v>
      </c>
      <c r="I93" s="27" t="s">
        <v>56</v>
      </c>
      <c r="J93" s="27" t="s">
        <v>161</v>
      </c>
      <c r="K93" s="28">
        <v>45505</v>
      </c>
      <c r="L93" s="28">
        <v>45535</v>
      </c>
      <c r="M93" s="29">
        <v>200</v>
      </c>
      <c r="N93" s="29">
        <v>54</v>
      </c>
      <c r="O93" s="29">
        <v>70</v>
      </c>
      <c r="P93" s="29">
        <v>76</v>
      </c>
      <c r="Q93" s="29">
        <v>89</v>
      </c>
      <c r="R93" s="29">
        <v>29</v>
      </c>
      <c r="S93" s="29">
        <v>22</v>
      </c>
      <c r="T93" s="29">
        <v>38</v>
      </c>
      <c r="U93" s="30">
        <v>6</v>
      </c>
      <c r="V93" s="30">
        <v>6.6</v>
      </c>
      <c r="W93" s="30">
        <v>49.05</v>
      </c>
      <c r="X93" s="30">
        <v>59.84</v>
      </c>
      <c r="Z93" s="30">
        <v>9.23</v>
      </c>
      <c r="AA93" s="30">
        <v>19.55</v>
      </c>
      <c r="AB93" s="30">
        <v>19.54</v>
      </c>
      <c r="AD93" s="30">
        <v>10.79</v>
      </c>
      <c r="AE93" s="30">
        <v>0.71</v>
      </c>
      <c r="AG93" s="30">
        <v>100</v>
      </c>
      <c r="AH93" s="30" t="s">
        <v>162</v>
      </c>
      <c r="AI93" s="30" t="s">
        <v>163</v>
      </c>
    </row>
    <row r="94" spans="1:35" ht="15" customHeight="1" x14ac:dyDescent="0.2">
      <c r="A94" s="27" t="s">
        <v>400</v>
      </c>
      <c r="B94" s="27" t="s">
        <v>156</v>
      </c>
      <c r="C94" s="27" t="s">
        <v>157</v>
      </c>
      <c r="D94" s="27" t="s">
        <v>401</v>
      </c>
      <c r="E94" s="28">
        <v>45571</v>
      </c>
      <c r="F94" s="28">
        <v>45607</v>
      </c>
      <c r="G94" s="27" t="s">
        <v>159</v>
      </c>
      <c r="H94" s="27" t="s">
        <v>196</v>
      </c>
      <c r="I94" s="27" t="s">
        <v>56</v>
      </c>
      <c r="J94" s="27" t="s">
        <v>161</v>
      </c>
      <c r="K94" s="28">
        <v>45536</v>
      </c>
      <c r="L94" s="28">
        <v>45565</v>
      </c>
      <c r="M94" s="29">
        <v>54</v>
      </c>
      <c r="N94" s="29">
        <v>11</v>
      </c>
      <c r="O94" s="29">
        <v>20</v>
      </c>
      <c r="P94" s="29">
        <v>23</v>
      </c>
      <c r="Q94" s="29">
        <v>16</v>
      </c>
      <c r="R94" s="29">
        <v>4</v>
      </c>
      <c r="S94" s="29">
        <v>5</v>
      </c>
      <c r="T94" s="29">
        <v>7</v>
      </c>
      <c r="U94" s="30">
        <v>6</v>
      </c>
      <c r="V94" s="30">
        <v>6.6</v>
      </c>
      <c r="W94" s="30">
        <v>47.47</v>
      </c>
      <c r="X94" s="30">
        <v>57.91</v>
      </c>
      <c r="Z94" s="30">
        <v>7.88</v>
      </c>
      <c r="AA94" s="30">
        <v>19.52</v>
      </c>
      <c r="AB94" s="30">
        <v>19.39</v>
      </c>
      <c r="AD94" s="30">
        <v>10.44</v>
      </c>
      <c r="AE94" s="30">
        <v>0.68</v>
      </c>
      <c r="AG94" s="30">
        <v>100</v>
      </c>
      <c r="AH94" s="30" t="s">
        <v>162</v>
      </c>
      <c r="AI94" s="30" t="s">
        <v>163</v>
      </c>
    </row>
    <row r="95" spans="1:35" ht="15" customHeight="1" x14ac:dyDescent="0.2">
      <c r="A95" s="27" t="s">
        <v>342</v>
      </c>
      <c r="B95" s="27" t="s">
        <v>156</v>
      </c>
      <c r="C95" s="27" t="s">
        <v>157</v>
      </c>
      <c r="D95" s="27" t="s">
        <v>343</v>
      </c>
      <c r="E95" s="28">
        <v>45604</v>
      </c>
      <c r="F95" s="28">
        <v>45639</v>
      </c>
      <c r="G95" s="27" t="s">
        <v>159</v>
      </c>
      <c r="H95" s="27" t="s">
        <v>196</v>
      </c>
      <c r="I95" s="27" t="s">
        <v>56</v>
      </c>
      <c r="J95" s="27" t="s">
        <v>161</v>
      </c>
      <c r="K95" s="28">
        <v>45566</v>
      </c>
      <c r="L95" s="28">
        <v>45596</v>
      </c>
      <c r="M95" s="29">
        <v>41</v>
      </c>
      <c r="N95" s="29">
        <v>11</v>
      </c>
      <c r="O95" s="29">
        <v>17</v>
      </c>
      <c r="P95" s="29">
        <v>13</v>
      </c>
      <c r="Q95" s="29">
        <v>13</v>
      </c>
      <c r="R95" s="29">
        <v>4</v>
      </c>
      <c r="S95" s="29">
        <v>4</v>
      </c>
      <c r="T95" s="29">
        <v>5</v>
      </c>
      <c r="U95" s="35">
        <v>6</v>
      </c>
      <c r="V95" s="30">
        <v>6.6</v>
      </c>
      <c r="W95" s="30">
        <v>44.74</v>
      </c>
      <c r="X95" s="30">
        <v>54.58</v>
      </c>
      <c r="Z95" s="30">
        <v>6.11</v>
      </c>
      <c r="AA95" s="30">
        <v>19.350000000000001</v>
      </c>
      <c r="AB95" s="30">
        <v>18.77</v>
      </c>
      <c r="AD95" s="30">
        <v>9.84</v>
      </c>
      <c r="AE95" s="30">
        <v>0.51</v>
      </c>
      <c r="AG95" s="30">
        <v>100</v>
      </c>
      <c r="AH95" s="30" t="s">
        <v>162</v>
      </c>
      <c r="AI95" s="30" t="s">
        <v>163</v>
      </c>
    </row>
    <row r="96" spans="1:35" ht="15" customHeight="1" x14ac:dyDescent="0.2">
      <c r="A96" s="27" t="s">
        <v>284</v>
      </c>
      <c r="B96" s="27" t="s">
        <v>156</v>
      </c>
      <c r="C96" s="27" t="s">
        <v>157</v>
      </c>
      <c r="D96" s="27" t="s">
        <v>285</v>
      </c>
      <c r="E96" s="28">
        <v>45632</v>
      </c>
      <c r="F96" s="28">
        <v>45667</v>
      </c>
      <c r="G96" s="27" t="s">
        <v>159</v>
      </c>
      <c r="H96" s="27" t="s">
        <v>196</v>
      </c>
      <c r="I96" s="27" t="s">
        <v>56</v>
      </c>
      <c r="J96" s="27" t="s">
        <v>161</v>
      </c>
      <c r="K96" s="28">
        <v>45597</v>
      </c>
      <c r="L96" s="28">
        <v>45626</v>
      </c>
      <c r="M96" s="29">
        <v>50</v>
      </c>
      <c r="N96" s="29">
        <v>12</v>
      </c>
      <c r="O96" s="29">
        <v>16</v>
      </c>
      <c r="P96" s="29">
        <v>22</v>
      </c>
      <c r="Q96" s="29">
        <v>21</v>
      </c>
      <c r="R96" s="29">
        <v>6</v>
      </c>
      <c r="S96" s="29">
        <v>8</v>
      </c>
      <c r="T96" s="29">
        <v>7</v>
      </c>
      <c r="U96" s="35">
        <v>6</v>
      </c>
      <c r="V96" s="30">
        <v>6.6</v>
      </c>
      <c r="W96" s="30">
        <v>47.4</v>
      </c>
      <c r="X96" s="30">
        <v>57.83</v>
      </c>
      <c r="Z96" s="30">
        <v>8.11</v>
      </c>
      <c r="AA96" s="30">
        <v>19.46</v>
      </c>
      <c r="AB96" s="30">
        <v>19.2</v>
      </c>
      <c r="AD96" s="30">
        <v>10.43</v>
      </c>
      <c r="AE96" s="30">
        <v>0.63</v>
      </c>
      <c r="AG96" s="30">
        <v>100</v>
      </c>
      <c r="AH96" s="30" t="s">
        <v>162</v>
      </c>
      <c r="AI96" s="30" t="s">
        <v>163</v>
      </c>
    </row>
    <row r="97" spans="1:35" ht="15" customHeight="1" x14ac:dyDescent="0.2">
      <c r="A97" s="27" t="s">
        <v>194</v>
      </c>
      <c r="B97" s="27" t="s">
        <v>156</v>
      </c>
      <c r="C97" s="27" t="s">
        <v>157</v>
      </c>
      <c r="D97" s="27" t="s">
        <v>195</v>
      </c>
      <c r="E97" s="28">
        <v>45665</v>
      </c>
      <c r="F97" s="28">
        <v>45700</v>
      </c>
      <c r="G97" s="27" t="s">
        <v>159</v>
      </c>
      <c r="H97" s="27" t="s">
        <v>196</v>
      </c>
      <c r="I97" s="27" t="s">
        <v>56</v>
      </c>
      <c r="J97" s="27" t="s">
        <v>161</v>
      </c>
      <c r="K97" s="28">
        <v>45627</v>
      </c>
      <c r="L97" s="28">
        <v>45657</v>
      </c>
      <c r="M97" s="29">
        <v>31</v>
      </c>
      <c r="N97" s="29">
        <v>7</v>
      </c>
      <c r="O97" s="29">
        <v>11</v>
      </c>
      <c r="P97" s="29">
        <v>13</v>
      </c>
      <c r="Q97" s="29">
        <v>16</v>
      </c>
      <c r="R97" s="29">
        <v>4</v>
      </c>
      <c r="S97" s="29">
        <v>6</v>
      </c>
      <c r="T97" s="29">
        <v>6</v>
      </c>
      <c r="U97" s="35">
        <v>6</v>
      </c>
      <c r="V97" s="30">
        <v>6.6</v>
      </c>
      <c r="W97" s="30">
        <v>43.26</v>
      </c>
      <c r="X97" s="30">
        <v>52.78</v>
      </c>
      <c r="Z97" s="30">
        <v>5.37</v>
      </c>
      <c r="AA97" s="30">
        <v>19.22</v>
      </c>
      <c r="AB97" s="30">
        <v>18.28</v>
      </c>
      <c r="AD97" s="30">
        <v>9.52</v>
      </c>
      <c r="AE97" s="30">
        <v>0.39</v>
      </c>
      <c r="AG97" s="30">
        <v>100</v>
      </c>
      <c r="AH97" s="30" t="s">
        <v>162</v>
      </c>
      <c r="AI97" s="30" t="s">
        <v>163</v>
      </c>
    </row>
    <row r="98" spans="1:35" ht="15" customHeight="1" x14ac:dyDescent="0.2">
      <c r="A98" s="27" t="s">
        <v>901</v>
      </c>
      <c r="B98" s="27" t="s">
        <v>839</v>
      </c>
      <c r="C98" s="27" t="s">
        <v>840</v>
      </c>
      <c r="D98" s="27" t="s">
        <v>902</v>
      </c>
      <c r="E98" s="28">
        <v>45350</v>
      </c>
      <c r="F98" s="28">
        <v>45380</v>
      </c>
      <c r="G98" s="27" t="s">
        <v>159</v>
      </c>
      <c r="H98" s="27" t="s">
        <v>903</v>
      </c>
      <c r="I98" s="27" t="s">
        <v>12</v>
      </c>
      <c r="J98" s="27" t="s">
        <v>843</v>
      </c>
      <c r="K98" s="28">
        <v>45292</v>
      </c>
      <c r="L98" s="28">
        <v>45322</v>
      </c>
      <c r="M98" s="29">
        <v>2862</v>
      </c>
      <c r="N98" s="29">
        <v>1204</v>
      </c>
      <c r="O98" s="29">
        <v>532</v>
      </c>
      <c r="P98" s="29">
        <v>1126</v>
      </c>
      <c r="Q98" s="29">
        <v>10</v>
      </c>
      <c r="R98" s="29">
        <v>9</v>
      </c>
      <c r="S98" s="29">
        <v>0</v>
      </c>
      <c r="T98" s="29">
        <v>1</v>
      </c>
      <c r="U98" s="30">
        <v>40</v>
      </c>
      <c r="V98" s="30">
        <v>40</v>
      </c>
      <c r="W98" s="30">
        <v>706.14</v>
      </c>
      <c r="X98" s="30">
        <v>861.49</v>
      </c>
      <c r="Z98" s="30">
        <v>450.09</v>
      </c>
      <c r="AA98" s="30">
        <v>69.239999999999995</v>
      </c>
      <c r="AB98" s="30">
        <v>136.72</v>
      </c>
      <c r="AC98" s="35">
        <v>14.31</v>
      </c>
      <c r="AD98" s="30">
        <v>35.78</v>
      </c>
      <c r="AE98" s="30">
        <v>155.35</v>
      </c>
      <c r="AG98" s="30">
        <v>100</v>
      </c>
      <c r="AH98" s="30" t="s">
        <v>162</v>
      </c>
      <c r="AI98" s="30" t="s">
        <v>851</v>
      </c>
    </row>
    <row r="99" spans="1:35" ht="15" customHeight="1" x14ac:dyDescent="0.2">
      <c r="A99" s="27" t="s">
        <v>790</v>
      </c>
      <c r="B99" s="27" t="s">
        <v>156</v>
      </c>
      <c r="C99" s="27" t="s">
        <v>157</v>
      </c>
      <c r="D99" s="27" t="s">
        <v>791</v>
      </c>
      <c r="E99" s="28">
        <v>45358</v>
      </c>
      <c r="F99" s="28">
        <v>45393</v>
      </c>
      <c r="G99" s="27" t="s">
        <v>159</v>
      </c>
      <c r="H99" s="27" t="s">
        <v>176</v>
      </c>
      <c r="I99" s="27" t="s">
        <v>12</v>
      </c>
      <c r="J99" s="27" t="s">
        <v>161</v>
      </c>
      <c r="K99" s="28">
        <v>45323</v>
      </c>
      <c r="L99" s="28">
        <v>45351</v>
      </c>
      <c r="M99" s="29">
        <v>2688</v>
      </c>
      <c r="N99" s="29">
        <v>1087</v>
      </c>
      <c r="O99" s="29">
        <v>587</v>
      </c>
      <c r="P99" s="29">
        <v>1014</v>
      </c>
      <c r="Q99" s="29">
        <v>13</v>
      </c>
      <c r="R99" s="29">
        <v>11</v>
      </c>
      <c r="S99" s="29">
        <v>1</v>
      </c>
      <c r="T99" s="29">
        <v>1</v>
      </c>
      <c r="U99" s="33"/>
      <c r="V99" s="30">
        <v>40</v>
      </c>
      <c r="W99" s="30">
        <v>551.04</v>
      </c>
      <c r="X99" s="30">
        <v>672.27</v>
      </c>
      <c r="Z99" s="30">
        <v>322.74</v>
      </c>
      <c r="AA99" s="30">
        <v>65.48</v>
      </c>
      <c r="AB99" s="30">
        <v>129.22</v>
      </c>
      <c r="AD99" s="30">
        <v>121.23</v>
      </c>
      <c r="AE99" s="30">
        <v>33.6</v>
      </c>
      <c r="AG99" s="30">
        <v>93</v>
      </c>
      <c r="AH99" s="30" t="s">
        <v>177</v>
      </c>
      <c r="AI99" s="30" t="s">
        <v>178</v>
      </c>
    </row>
    <row r="100" spans="1:35" ht="15" customHeight="1" x14ac:dyDescent="0.2">
      <c r="A100" s="27" t="s">
        <v>742</v>
      </c>
      <c r="B100" s="27" t="s">
        <v>156</v>
      </c>
      <c r="C100" s="27" t="s">
        <v>157</v>
      </c>
      <c r="D100" s="27" t="s">
        <v>743</v>
      </c>
      <c r="E100" s="28">
        <v>45390</v>
      </c>
      <c r="F100" s="28">
        <v>45425</v>
      </c>
      <c r="G100" s="27" t="s">
        <v>159</v>
      </c>
      <c r="H100" s="27" t="s">
        <v>176</v>
      </c>
      <c r="I100" s="27" t="s">
        <v>12</v>
      </c>
      <c r="J100" s="27" t="s">
        <v>161</v>
      </c>
      <c r="K100" s="28">
        <v>45352</v>
      </c>
      <c r="L100" s="28">
        <v>45382</v>
      </c>
      <c r="M100" s="29">
        <v>2487</v>
      </c>
      <c r="N100" s="29">
        <v>911</v>
      </c>
      <c r="O100" s="29">
        <v>561</v>
      </c>
      <c r="P100" s="29">
        <v>1015</v>
      </c>
      <c r="Q100" s="29">
        <v>10</v>
      </c>
      <c r="R100" s="29">
        <v>9</v>
      </c>
      <c r="S100" s="29">
        <v>0</v>
      </c>
      <c r="T100" s="29">
        <v>1</v>
      </c>
      <c r="V100" s="30">
        <v>40</v>
      </c>
      <c r="W100" s="30">
        <v>493.24</v>
      </c>
      <c r="X100" s="30">
        <v>601.75</v>
      </c>
      <c r="Z100" s="30">
        <v>289.35000000000002</v>
      </c>
      <c r="AA100" s="30">
        <v>56.99</v>
      </c>
      <c r="AB100" s="30">
        <v>115.81</v>
      </c>
      <c r="AD100" s="30">
        <v>108.51</v>
      </c>
      <c r="AE100" s="30">
        <v>31.09</v>
      </c>
      <c r="AG100" s="30">
        <v>93</v>
      </c>
      <c r="AH100" s="30" t="s">
        <v>177</v>
      </c>
      <c r="AI100" s="30" t="s">
        <v>178</v>
      </c>
    </row>
    <row r="101" spans="1:35" ht="15" customHeight="1" x14ac:dyDescent="0.2">
      <c r="A101" s="27" t="s">
        <v>678</v>
      </c>
      <c r="B101" s="27" t="s">
        <v>156</v>
      </c>
      <c r="C101" s="27" t="s">
        <v>157</v>
      </c>
      <c r="D101" s="27" t="s">
        <v>679</v>
      </c>
      <c r="E101" s="28">
        <v>45419</v>
      </c>
      <c r="F101" s="28">
        <v>45454</v>
      </c>
      <c r="G101" s="27" t="s">
        <v>159</v>
      </c>
      <c r="H101" s="27" t="s">
        <v>176</v>
      </c>
      <c r="I101" s="27" t="s">
        <v>12</v>
      </c>
      <c r="J101" s="27" t="s">
        <v>161</v>
      </c>
      <c r="K101" s="28">
        <v>45383</v>
      </c>
      <c r="L101" s="28">
        <v>45392</v>
      </c>
      <c r="M101" s="29">
        <v>5963</v>
      </c>
      <c r="N101" s="29">
        <v>2313</v>
      </c>
      <c r="O101" s="29">
        <v>1284</v>
      </c>
      <c r="P101" s="29">
        <v>2366</v>
      </c>
      <c r="Q101" s="29">
        <v>28</v>
      </c>
      <c r="R101" s="29">
        <v>24</v>
      </c>
      <c r="S101" s="29">
        <v>1</v>
      </c>
      <c r="T101" s="29">
        <v>3</v>
      </c>
      <c r="U101" s="33"/>
      <c r="V101" s="30">
        <v>40</v>
      </c>
      <c r="W101" s="30">
        <v>471.53</v>
      </c>
      <c r="X101" s="30">
        <v>575.27</v>
      </c>
      <c r="Z101" s="30">
        <v>240.75</v>
      </c>
      <c r="AA101" s="30">
        <v>69.77</v>
      </c>
      <c r="AB101" s="30">
        <v>134.06</v>
      </c>
      <c r="AD101" s="30">
        <v>103.74</v>
      </c>
      <c r="AE101" s="30">
        <v>9.14</v>
      </c>
      <c r="AG101" s="30">
        <v>93</v>
      </c>
      <c r="AH101" s="30" t="s">
        <v>177</v>
      </c>
      <c r="AI101" s="30" t="s">
        <v>178</v>
      </c>
    </row>
    <row r="102" spans="1:35" ht="15" customHeight="1" x14ac:dyDescent="0.2">
      <c r="A102" s="27" t="s">
        <v>616</v>
      </c>
      <c r="B102" s="27" t="s">
        <v>156</v>
      </c>
      <c r="C102" s="27" t="s">
        <v>157</v>
      </c>
      <c r="D102" s="27" t="s">
        <v>617</v>
      </c>
      <c r="E102" s="28">
        <v>45449</v>
      </c>
      <c r="F102" s="28">
        <v>45484</v>
      </c>
      <c r="G102" s="27" t="s">
        <v>159</v>
      </c>
      <c r="H102" s="27" t="s">
        <v>176</v>
      </c>
      <c r="I102" s="27" t="s">
        <v>12</v>
      </c>
      <c r="J102" s="27" t="s">
        <v>161</v>
      </c>
      <c r="K102" s="28">
        <v>45413</v>
      </c>
      <c r="L102" s="28">
        <v>45443</v>
      </c>
      <c r="M102" s="29">
        <v>70</v>
      </c>
      <c r="N102" s="29">
        <v>32</v>
      </c>
      <c r="O102" s="29">
        <v>13</v>
      </c>
      <c r="P102" s="29">
        <v>25</v>
      </c>
      <c r="Q102" s="29">
        <v>0</v>
      </c>
      <c r="R102" s="29">
        <v>0</v>
      </c>
      <c r="S102" s="29">
        <v>0</v>
      </c>
      <c r="T102" s="29">
        <v>0</v>
      </c>
      <c r="U102" s="33"/>
      <c r="V102" s="30">
        <v>40</v>
      </c>
      <c r="W102" s="30">
        <v>399.84</v>
      </c>
      <c r="X102" s="30">
        <v>487.8</v>
      </c>
      <c r="Z102" s="30">
        <v>211.63</v>
      </c>
      <c r="AA102" s="30">
        <v>57.9</v>
      </c>
      <c r="AB102" s="30">
        <v>108.43</v>
      </c>
      <c r="AD102" s="30">
        <v>87.96</v>
      </c>
      <c r="AE102" s="30">
        <v>21.88</v>
      </c>
      <c r="AG102" s="30">
        <v>93</v>
      </c>
      <c r="AH102" s="30" t="s">
        <v>177</v>
      </c>
      <c r="AI102" s="30" t="s">
        <v>178</v>
      </c>
    </row>
    <row r="103" spans="1:35" ht="15" customHeight="1" x14ac:dyDescent="0.2">
      <c r="A103" s="27" t="s">
        <v>558</v>
      </c>
      <c r="B103" s="27" t="s">
        <v>156</v>
      </c>
      <c r="C103" s="27" t="s">
        <v>157</v>
      </c>
      <c r="D103" s="27" t="s">
        <v>559</v>
      </c>
      <c r="E103" s="28">
        <v>45482</v>
      </c>
      <c r="F103" s="28">
        <v>45517</v>
      </c>
      <c r="G103" s="27" t="s">
        <v>159</v>
      </c>
      <c r="H103" s="27" t="s">
        <v>176</v>
      </c>
      <c r="I103" s="27" t="s">
        <v>12</v>
      </c>
      <c r="J103" s="27" t="s">
        <v>161</v>
      </c>
      <c r="K103" s="28">
        <v>45444</v>
      </c>
      <c r="L103" s="28">
        <v>45473</v>
      </c>
      <c r="M103" s="29">
        <v>99</v>
      </c>
      <c r="N103" s="29">
        <v>36</v>
      </c>
      <c r="O103" s="29">
        <v>23</v>
      </c>
      <c r="P103" s="29">
        <v>40</v>
      </c>
      <c r="Q103" s="29">
        <v>16</v>
      </c>
      <c r="R103" s="29">
        <v>5</v>
      </c>
      <c r="S103" s="29">
        <v>4</v>
      </c>
      <c r="T103" s="29">
        <v>7</v>
      </c>
      <c r="U103" s="33"/>
      <c r="V103" s="30">
        <v>40</v>
      </c>
      <c r="W103" s="30">
        <v>581.34</v>
      </c>
      <c r="X103" s="30">
        <v>709.23</v>
      </c>
      <c r="Z103" s="30">
        <v>330.55</v>
      </c>
      <c r="AA103" s="30">
        <v>71.11</v>
      </c>
      <c r="AB103" s="30">
        <v>148.74</v>
      </c>
      <c r="AD103" s="30">
        <v>127.89</v>
      </c>
      <c r="AE103" s="30">
        <v>30.94</v>
      </c>
      <c r="AG103" s="30">
        <v>93</v>
      </c>
      <c r="AH103" s="30" t="s">
        <v>177</v>
      </c>
      <c r="AI103" s="30" t="s">
        <v>178</v>
      </c>
    </row>
    <row r="104" spans="1:35" ht="15" customHeight="1" x14ac:dyDescent="0.2">
      <c r="A104" s="27" t="s">
        <v>510</v>
      </c>
      <c r="B104" s="27" t="s">
        <v>156</v>
      </c>
      <c r="C104" s="27" t="s">
        <v>157</v>
      </c>
      <c r="D104" s="27" t="s">
        <v>511</v>
      </c>
      <c r="E104" s="28">
        <v>45511</v>
      </c>
      <c r="F104" s="28">
        <v>45546</v>
      </c>
      <c r="G104" s="27" t="s">
        <v>159</v>
      </c>
      <c r="H104" s="27" t="s">
        <v>176</v>
      </c>
      <c r="I104" s="27" t="s">
        <v>12</v>
      </c>
      <c r="J104" s="27" t="s">
        <v>161</v>
      </c>
      <c r="K104" s="28">
        <v>45474</v>
      </c>
      <c r="L104" s="28">
        <v>45504</v>
      </c>
      <c r="M104" s="29">
        <v>218</v>
      </c>
      <c r="N104" s="29">
        <v>84</v>
      </c>
      <c r="O104" s="29">
        <v>50</v>
      </c>
      <c r="P104" s="29">
        <v>84</v>
      </c>
      <c r="Q104" s="29">
        <v>69</v>
      </c>
      <c r="R104" s="29">
        <v>27</v>
      </c>
      <c r="S104" s="29">
        <v>15</v>
      </c>
      <c r="T104" s="29">
        <v>27</v>
      </c>
      <c r="V104" s="30">
        <v>40</v>
      </c>
      <c r="W104" s="30">
        <v>1314.77</v>
      </c>
      <c r="X104" s="30">
        <v>1604.02</v>
      </c>
      <c r="Z104" s="30">
        <v>837.35</v>
      </c>
      <c r="AA104" s="30">
        <v>112.83</v>
      </c>
      <c r="AB104" s="30">
        <v>296.45999999999998</v>
      </c>
      <c r="AD104" s="30">
        <v>289.25</v>
      </c>
      <c r="AE104" s="30">
        <v>68.13</v>
      </c>
      <c r="AG104" s="30">
        <v>93</v>
      </c>
      <c r="AH104" s="30" t="s">
        <v>177</v>
      </c>
      <c r="AI104" s="30" t="s">
        <v>178</v>
      </c>
    </row>
    <row r="105" spans="1:35" ht="15" customHeight="1" x14ac:dyDescent="0.2">
      <c r="A105" s="27" t="s">
        <v>448</v>
      </c>
      <c r="B105" s="27" t="s">
        <v>156</v>
      </c>
      <c r="C105" s="27" t="s">
        <v>157</v>
      </c>
      <c r="D105" s="27" t="s">
        <v>449</v>
      </c>
      <c r="E105" s="28">
        <v>45541</v>
      </c>
      <c r="F105" s="28">
        <v>45576</v>
      </c>
      <c r="G105" s="27" t="s">
        <v>159</v>
      </c>
      <c r="H105" s="27" t="s">
        <v>176</v>
      </c>
      <c r="I105" s="27" t="s">
        <v>12</v>
      </c>
      <c r="J105" s="27" t="s">
        <v>161</v>
      </c>
      <c r="K105" s="28">
        <v>45505</v>
      </c>
      <c r="L105" s="28">
        <v>45535</v>
      </c>
      <c r="M105" s="29">
        <v>169</v>
      </c>
      <c r="N105" s="29">
        <v>77</v>
      </c>
      <c r="O105" s="29">
        <v>35</v>
      </c>
      <c r="P105" s="29">
        <v>57</v>
      </c>
      <c r="Q105" s="29">
        <v>35</v>
      </c>
      <c r="R105" s="29">
        <v>25</v>
      </c>
      <c r="S105" s="29">
        <v>6</v>
      </c>
      <c r="T105" s="29">
        <v>4</v>
      </c>
      <c r="V105" s="30">
        <v>40</v>
      </c>
      <c r="W105" s="30">
        <v>1044.31</v>
      </c>
      <c r="X105" s="30">
        <v>1274.06</v>
      </c>
      <c r="Z105" s="30">
        <v>663.69</v>
      </c>
      <c r="AA105" s="30">
        <v>93.55</v>
      </c>
      <c r="AB105" s="30">
        <v>234.26</v>
      </c>
      <c r="AD105" s="30">
        <v>229.75</v>
      </c>
      <c r="AE105" s="30">
        <v>52.81</v>
      </c>
      <c r="AG105" s="30">
        <v>93</v>
      </c>
      <c r="AH105" s="30" t="s">
        <v>177</v>
      </c>
      <c r="AI105" s="30" t="s">
        <v>178</v>
      </c>
    </row>
    <row r="106" spans="1:35" ht="15" customHeight="1" x14ac:dyDescent="0.2">
      <c r="A106" s="27" t="s">
        <v>388</v>
      </c>
      <c r="B106" s="27" t="s">
        <v>156</v>
      </c>
      <c r="C106" s="27" t="s">
        <v>157</v>
      </c>
      <c r="D106" s="27" t="s">
        <v>389</v>
      </c>
      <c r="E106" s="28">
        <v>45571</v>
      </c>
      <c r="F106" s="28">
        <v>45607</v>
      </c>
      <c r="G106" s="27" t="s">
        <v>159</v>
      </c>
      <c r="H106" s="27" t="s">
        <v>176</v>
      </c>
      <c r="I106" s="27" t="s">
        <v>12</v>
      </c>
      <c r="J106" s="27" t="s">
        <v>161</v>
      </c>
      <c r="K106" s="28">
        <v>45536</v>
      </c>
      <c r="L106" s="28">
        <v>45565</v>
      </c>
      <c r="M106" s="29">
        <v>106</v>
      </c>
      <c r="N106" s="29">
        <v>48</v>
      </c>
      <c r="O106" s="29">
        <v>21</v>
      </c>
      <c r="P106" s="29">
        <v>37</v>
      </c>
      <c r="Q106" s="29">
        <v>10</v>
      </c>
      <c r="R106" s="29">
        <v>8</v>
      </c>
      <c r="S106" s="29">
        <v>1</v>
      </c>
      <c r="T106" s="29">
        <v>1</v>
      </c>
      <c r="U106" s="33"/>
      <c r="V106" s="30">
        <v>40</v>
      </c>
      <c r="W106" s="30">
        <v>656.72</v>
      </c>
      <c r="X106" s="30">
        <v>801.2</v>
      </c>
      <c r="Z106" s="30">
        <v>388.03</v>
      </c>
      <c r="AA106" s="30">
        <v>75.94</v>
      </c>
      <c r="AB106" s="30">
        <v>159.62</v>
      </c>
      <c r="AD106" s="30">
        <v>144.47999999999999</v>
      </c>
      <c r="AE106" s="30">
        <v>33.130000000000003</v>
      </c>
      <c r="AG106" s="30">
        <v>93</v>
      </c>
      <c r="AH106" s="30" t="s">
        <v>177</v>
      </c>
      <c r="AI106" s="30" t="s">
        <v>178</v>
      </c>
    </row>
    <row r="107" spans="1:35" ht="15" customHeight="1" x14ac:dyDescent="0.2">
      <c r="A107" s="27" t="s">
        <v>330</v>
      </c>
      <c r="B107" s="27" t="s">
        <v>156</v>
      </c>
      <c r="C107" s="27" t="s">
        <v>157</v>
      </c>
      <c r="D107" s="27" t="s">
        <v>331</v>
      </c>
      <c r="E107" s="28">
        <v>45604</v>
      </c>
      <c r="F107" s="28">
        <v>45639</v>
      </c>
      <c r="G107" s="27" t="s">
        <v>159</v>
      </c>
      <c r="H107" s="27" t="s">
        <v>176</v>
      </c>
      <c r="I107" s="27" t="s">
        <v>12</v>
      </c>
      <c r="J107" s="27" t="s">
        <v>161</v>
      </c>
      <c r="K107" s="28">
        <v>45566</v>
      </c>
      <c r="L107" s="28">
        <v>45596</v>
      </c>
      <c r="M107" s="29">
        <v>93</v>
      </c>
      <c r="N107" s="29">
        <v>49</v>
      </c>
      <c r="O107" s="29">
        <v>16</v>
      </c>
      <c r="P107" s="29">
        <v>28</v>
      </c>
      <c r="Q107" s="29">
        <v>1</v>
      </c>
      <c r="R107" s="29">
        <v>1</v>
      </c>
      <c r="S107" s="29">
        <v>0</v>
      </c>
      <c r="T107" s="29">
        <v>0</v>
      </c>
      <c r="U107" s="33"/>
      <c r="V107" s="30">
        <v>40</v>
      </c>
      <c r="W107" s="30">
        <v>580.29999999999995</v>
      </c>
      <c r="X107" s="30">
        <v>707.97</v>
      </c>
      <c r="Z107" s="30">
        <v>346.32</v>
      </c>
      <c r="AA107" s="30">
        <v>67.05</v>
      </c>
      <c r="AB107" s="30">
        <v>137.87</v>
      </c>
      <c r="AD107" s="30">
        <v>127.67</v>
      </c>
      <c r="AE107" s="30">
        <v>29.06</v>
      </c>
      <c r="AG107" s="30">
        <v>93</v>
      </c>
      <c r="AH107" s="30" t="s">
        <v>177</v>
      </c>
      <c r="AI107" s="30" t="s">
        <v>178</v>
      </c>
    </row>
    <row r="108" spans="1:35" ht="15" customHeight="1" x14ac:dyDescent="0.2">
      <c r="A108" s="27" t="s">
        <v>272</v>
      </c>
      <c r="B108" s="27" t="s">
        <v>156</v>
      </c>
      <c r="C108" s="27" t="s">
        <v>157</v>
      </c>
      <c r="D108" s="27" t="s">
        <v>273</v>
      </c>
      <c r="E108" s="28">
        <v>45632</v>
      </c>
      <c r="F108" s="28">
        <v>45667</v>
      </c>
      <c r="G108" s="27" t="s">
        <v>159</v>
      </c>
      <c r="H108" s="27" t="s">
        <v>176</v>
      </c>
      <c r="I108" s="27" t="s">
        <v>12</v>
      </c>
      <c r="J108" s="27" t="s">
        <v>161</v>
      </c>
      <c r="K108" s="28">
        <v>45597</v>
      </c>
      <c r="L108" s="28">
        <v>45626</v>
      </c>
      <c r="M108" s="29">
        <v>100</v>
      </c>
      <c r="N108" s="29">
        <v>38</v>
      </c>
      <c r="O108" s="29">
        <v>23</v>
      </c>
      <c r="P108" s="29">
        <v>39</v>
      </c>
      <c r="Q108" s="29">
        <v>0</v>
      </c>
      <c r="R108" s="29">
        <v>0</v>
      </c>
      <c r="S108" s="29">
        <v>0</v>
      </c>
      <c r="T108" s="29">
        <v>0</v>
      </c>
      <c r="U108" s="33"/>
      <c r="V108" s="30">
        <v>40</v>
      </c>
      <c r="W108" s="30">
        <v>636.66999999999996</v>
      </c>
      <c r="X108" s="30">
        <v>776.74</v>
      </c>
      <c r="Z108" s="30">
        <v>410.7</v>
      </c>
      <c r="AA108" s="30">
        <v>58.33</v>
      </c>
      <c r="AB108" s="30">
        <v>136.38999999999999</v>
      </c>
      <c r="AD108" s="30">
        <v>140.07</v>
      </c>
      <c r="AE108" s="30">
        <v>31.25</v>
      </c>
      <c r="AG108" s="30">
        <v>93</v>
      </c>
      <c r="AH108" s="30" t="s">
        <v>177</v>
      </c>
      <c r="AI108" s="30" t="s">
        <v>178</v>
      </c>
    </row>
    <row r="109" spans="1:35" ht="15" customHeight="1" x14ac:dyDescent="0.2">
      <c r="A109" s="27" t="s">
        <v>174</v>
      </c>
      <c r="B109" s="27" t="s">
        <v>156</v>
      </c>
      <c r="C109" s="27" t="s">
        <v>157</v>
      </c>
      <c r="D109" s="27" t="s">
        <v>175</v>
      </c>
      <c r="E109" s="28">
        <v>45665</v>
      </c>
      <c r="F109" s="28">
        <v>45700</v>
      </c>
      <c r="G109" s="27" t="s">
        <v>159</v>
      </c>
      <c r="H109" s="27" t="s">
        <v>176</v>
      </c>
      <c r="I109" s="27" t="s">
        <v>12</v>
      </c>
      <c r="J109" s="27" t="s">
        <v>161</v>
      </c>
      <c r="K109" s="28">
        <v>45627</v>
      </c>
      <c r="L109" s="28">
        <v>45657</v>
      </c>
      <c r="M109" s="29">
        <v>120</v>
      </c>
      <c r="N109" s="29">
        <v>42</v>
      </c>
      <c r="O109" s="29">
        <v>25</v>
      </c>
      <c r="P109" s="29">
        <v>53</v>
      </c>
      <c r="Q109" s="29">
        <v>1</v>
      </c>
      <c r="R109" s="29">
        <v>1</v>
      </c>
      <c r="S109" s="29">
        <v>0</v>
      </c>
      <c r="T109" s="29">
        <v>0</v>
      </c>
      <c r="U109" s="33"/>
      <c r="V109" s="30">
        <v>40</v>
      </c>
      <c r="W109" s="30">
        <v>786.68</v>
      </c>
      <c r="X109" s="30">
        <v>959.75</v>
      </c>
      <c r="Z109" s="30">
        <v>522.72</v>
      </c>
      <c r="AA109" s="30">
        <v>65.84</v>
      </c>
      <c r="AB109" s="30">
        <v>160.62</v>
      </c>
      <c r="AD109" s="30">
        <v>173.07</v>
      </c>
      <c r="AE109" s="30">
        <v>37.5</v>
      </c>
      <c r="AG109" s="30">
        <v>93</v>
      </c>
      <c r="AH109" s="30" t="s">
        <v>177</v>
      </c>
      <c r="AI109" s="30" t="s">
        <v>178</v>
      </c>
    </row>
    <row r="110" spans="1:35" ht="15" customHeight="1" x14ac:dyDescent="0.2">
      <c r="A110" s="27" t="s">
        <v>852</v>
      </c>
      <c r="B110" s="27" t="s">
        <v>839</v>
      </c>
      <c r="C110" s="27" t="s">
        <v>840</v>
      </c>
      <c r="D110" s="27" t="s">
        <v>853</v>
      </c>
      <c r="E110" s="28">
        <v>45350</v>
      </c>
      <c r="F110" s="28">
        <v>45380</v>
      </c>
      <c r="G110" s="27" t="s">
        <v>159</v>
      </c>
      <c r="H110" s="27" t="s">
        <v>854</v>
      </c>
      <c r="I110" s="27" t="s">
        <v>8</v>
      </c>
      <c r="J110" s="27" t="s">
        <v>843</v>
      </c>
      <c r="K110" s="28">
        <v>45292</v>
      </c>
      <c r="L110" s="28">
        <v>45322</v>
      </c>
      <c r="M110" s="29">
        <v>0</v>
      </c>
      <c r="N110" s="29">
        <v>0</v>
      </c>
      <c r="O110" s="29">
        <v>0</v>
      </c>
      <c r="P110" s="29">
        <v>0</v>
      </c>
      <c r="Q110" s="29">
        <v>0</v>
      </c>
      <c r="R110" s="29">
        <v>0</v>
      </c>
      <c r="S110" s="29">
        <v>0</v>
      </c>
      <c r="T110" s="29">
        <v>0</v>
      </c>
      <c r="U110" s="30">
        <v>15</v>
      </c>
      <c r="V110" s="30">
        <v>16.5</v>
      </c>
      <c r="W110" s="30">
        <v>77.23</v>
      </c>
      <c r="X110" s="30">
        <v>94.22</v>
      </c>
      <c r="Z110" s="30">
        <v>0.01</v>
      </c>
      <c r="AA110" s="30">
        <v>43.62</v>
      </c>
      <c r="AB110" s="30">
        <v>33.6</v>
      </c>
      <c r="AD110" s="30">
        <v>16.989999999999998</v>
      </c>
      <c r="AE110" s="30">
        <v>16.989999999999998</v>
      </c>
      <c r="AG110" s="30">
        <v>100</v>
      </c>
      <c r="AH110" s="30" t="s">
        <v>162</v>
      </c>
      <c r="AI110" s="30" t="s">
        <v>855</v>
      </c>
    </row>
    <row r="111" spans="1:35" ht="15" customHeight="1" x14ac:dyDescent="0.2">
      <c r="A111" s="27" t="s">
        <v>806</v>
      </c>
      <c r="B111" s="27" t="s">
        <v>156</v>
      </c>
      <c r="C111" s="27" t="s">
        <v>157</v>
      </c>
      <c r="D111" s="27" t="s">
        <v>807</v>
      </c>
      <c r="E111" s="28">
        <v>45358</v>
      </c>
      <c r="F111" s="28">
        <v>45393</v>
      </c>
      <c r="G111" s="27" t="s">
        <v>159</v>
      </c>
      <c r="H111" s="27" t="s">
        <v>202</v>
      </c>
      <c r="I111" s="27" t="s">
        <v>8</v>
      </c>
      <c r="J111" s="27" t="s">
        <v>161</v>
      </c>
      <c r="K111" s="28">
        <v>45323</v>
      </c>
      <c r="L111" s="28">
        <v>45351</v>
      </c>
      <c r="M111" s="29">
        <v>0</v>
      </c>
      <c r="N111" s="29">
        <v>0</v>
      </c>
      <c r="O111" s="29">
        <v>0</v>
      </c>
      <c r="P111" s="29">
        <v>0</v>
      </c>
      <c r="Q111" s="29">
        <v>0</v>
      </c>
      <c r="R111" s="29">
        <v>0</v>
      </c>
      <c r="S111" s="29">
        <v>0</v>
      </c>
      <c r="T111" s="29">
        <v>0</v>
      </c>
      <c r="U111" s="30">
        <v>15</v>
      </c>
      <c r="V111" s="30">
        <v>16.5</v>
      </c>
      <c r="W111" s="30">
        <v>77.22</v>
      </c>
      <c r="X111" s="30">
        <v>94.21</v>
      </c>
      <c r="Z111" s="30">
        <v>77.22</v>
      </c>
      <c r="AA111" s="30">
        <v>43.62</v>
      </c>
      <c r="AB111" s="30">
        <v>33.6</v>
      </c>
      <c r="AD111" s="30">
        <v>16.989999999999998</v>
      </c>
      <c r="AE111" s="30">
        <v>16.989999999999998</v>
      </c>
      <c r="AG111" s="30">
        <v>100</v>
      </c>
      <c r="AH111" s="30" t="s">
        <v>162</v>
      </c>
      <c r="AI111" s="30" t="s">
        <v>163</v>
      </c>
    </row>
    <row r="112" spans="1:35" ht="15" customHeight="1" x14ac:dyDescent="0.2">
      <c r="A112" s="27" t="s">
        <v>726</v>
      </c>
      <c r="B112" s="27" t="s">
        <v>156</v>
      </c>
      <c r="C112" s="27" t="s">
        <v>157</v>
      </c>
      <c r="D112" s="27" t="s">
        <v>727</v>
      </c>
      <c r="E112" s="28">
        <v>45394</v>
      </c>
      <c r="F112" s="28">
        <v>45429</v>
      </c>
      <c r="G112" s="27" t="s">
        <v>159</v>
      </c>
      <c r="H112" s="27" t="s">
        <v>202</v>
      </c>
      <c r="I112" s="27" t="s">
        <v>8</v>
      </c>
      <c r="J112" s="27" t="s">
        <v>161</v>
      </c>
      <c r="K112" s="28">
        <v>45352</v>
      </c>
      <c r="L112" s="28">
        <v>45382</v>
      </c>
      <c r="M112" s="29">
        <v>0</v>
      </c>
      <c r="N112" s="29">
        <v>0</v>
      </c>
      <c r="O112" s="29">
        <v>0</v>
      </c>
      <c r="P112" s="29">
        <v>0</v>
      </c>
      <c r="Q112" s="29">
        <v>0</v>
      </c>
      <c r="R112" s="29">
        <v>0</v>
      </c>
      <c r="S112" s="29">
        <v>0</v>
      </c>
      <c r="T112" s="29">
        <v>0</v>
      </c>
      <c r="U112" s="30">
        <v>15</v>
      </c>
      <c r="V112" s="30">
        <v>16.5</v>
      </c>
      <c r="W112" s="30">
        <v>77.22</v>
      </c>
      <c r="X112" s="30">
        <v>94.21</v>
      </c>
      <c r="Z112" s="30">
        <v>77.22</v>
      </c>
      <c r="AA112" s="30">
        <v>43.62</v>
      </c>
      <c r="AB112" s="30">
        <v>33.6</v>
      </c>
      <c r="AD112" s="30">
        <v>16.989999999999998</v>
      </c>
      <c r="AE112" s="30">
        <v>16.989999999999998</v>
      </c>
      <c r="AG112" s="30">
        <v>100</v>
      </c>
      <c r="AH112" s="30" t="s">
        <v>162</v>
      </c>
      <c r="AI112" s="30" t="s">
        <v>163</v>
      </c>
    </row>
    <row r="113" spans="1:35" ht="15" customHeight="1" x14ac:dyDescent="0.2">
      <c r="A113" s="27" t="s">
        <v>690</v>
      </c>
      <c r="B113" s="27" t="s">
        <v>156</v>
      </c>
      <c r="C113" s="27" t="s">
        <v>157</v>
      </c>
      <c r="D113" s="27" t="s">
        <v>691</v>
      </c>
      <c r="E113" s="28">
        <v>45419</v>
      </c>
      <c r="F113" s="28">
        <v>45454</v>
      </c>
      <c r="G113" s="27" t="s">
        <v>159</v>
      </c>
      <c r="H113" s="27" t="s">
        <v>202</v>
      </c>
      <c r="I113" s="27" t="s">
        <v>8</v>
      </c>
      <c r="J113" s="27" t="s">
        <v>161</v>
      </c>
      <c r="K113" s="28">
        <v>45391</v>
      </c>
      <c r="L113" s="28">
        <v>45412</v>
      </c>
      <c r="M113" s="29">
        <v>2</v>
      </c>
      <c r="N113" s="29">
        <v>0</v>
      </c>
      <c r="O113" s="29">
        <v>0</v>
      </c>
      <c r="P113" s="29">
        <v>2</v>
      </c>
      <c r="Q113" s="29">
        <v>0</v>
      </c>
      <c r="R113" s="29">
        <v>0</v>
      </c>
      <c r="S113" s="29">
        <v>0</v>
      </c>
      <c r="T113" s="29">
        <v>0</v>
      </c>
      <c r="U113" s="35">
        <v>15</v>
      </c>
      <c r="V113" s="30">
        <v>16.5</v>
      </c>
      <c r="W113" s="30">
        <v>83.09</v>
      </c>
      <c r="X113" s="30">
        <v>101.37</v>
      </c>
      <c r="Z113" s="30">
        <v>0.19</v>
      </c>
      <c r="AA113" s="30">
        <v>43.65</v>
      </c>
      <c r="AB113" s="30">
        <v>39.22</v>
      </c>
      <c r="AD113" s="30">
        <v>18.28</v>
      </c>
      <c r="AE113" s="30">
        <v>0.03</v>
      </c>
      <c r="AG113" s="30">
        <v>100</v>
      </c>
      <c r="AH113" s="30" t="s">
        <v>162</v>
      </c>
      <c r="AI113" s="30" t="s">
        <v>163</v>
      </c>
    </row>
    <row r="114" spans="1:35" ht="15" customHeight="1" x14ac:dyDescent="0.2">
      <c r="A114" s="27" t="s">
        <v>632</v>
      </c>
      <c r="B114" s="27" t="s">
        <v>156</v>
      </c>
      <c r="C114" s="27" t="s">
        <v>157</v>
      </c>
      <c r="D114" s="27" t="s">
        <v>633</v>
      </c>
      <c r="E114" s="28">
        <v>45449</v>
      </c>
      <c r="F114" s="28">
        <v>45484</v>
      </c>
      <c r="G114" s="27" t="s">
        <v>159</v>
      </c>
      <c r="H114" s="27" t="s">
        <v>202</v>
      </c>
      <c r="I114" s="27" t="s">
        <v>8</v>
      </c>
      <c r="J114" s="27" t="s">
        <v>161</v>
      </c>
      <c r="K114" s="28">
        <v>45413</v>
      </c>
      <c r="L114" s="28">
        <v>45443</v>
      </c>
      <c r="M114" s="29">
        <v>0</v>
      </c>
      <c r="N114" s="29">
        <v>0</v>
      </c>
      <c r="O114" s="29">
        <v>0</v>
      </c>
      <c r="P114" s="29">
        <v>0</v>
      </c>
      <c r="Q114" s="29">
        <v>0</v>
      </c>
      <c r="R114" s="29">
        <v>0</v>
      </c>
      <c r="S114" s="29">
        <v>0</v>
      </c>
      <c r="T114" s="29">
        <v>0</v>
      </c>
      <c r="U114" s="30">
        <v>15</v>
      </c>
      <c r="V114" s="30">
        <v>16.5</v>
      </c>
      <c r="W114" s="30">
        <v>82.76</v>
      </c>
      <c r="X114" s="30">
        <v>100.97</v>
      </c>
      <c r="Z114" s="30">
        <v>82.76</v>
      </c>
      <c r="AA114" s="30">
        <v>43.62</v>
      </c>
      <c r="AB114" s="30">
        <v>39.14</v>
      </c>
      <c r="AD114" s="30">
        <v>18.21</v>
      </c>
      <c r="AE114" s="30">
        <v>18.21</v>
      </c>
      <c r="AG114" s="30">
        <v>100</v>
      </c>
      <c r="AH114" s="30" t="s">
        <v>162</v>
      </c>
      <c r="AI114" s="30" t="s">
        <v>163</v>
      </c>
    </row>
    <row r="115" spans="1:35" ht="15" customHeight="1" x14ac:dyDescent="0.2">
      <c r="A115" s="27" t="s">
        <v>585</v>
      </c>
      <c r="B115" s="27" t="s">
        <v>156</v>
      </c>
      <c r="C115" s="27" t="s">
        <v>157</v>
      </c>
      <c r="D115" s="27" t="s">
        <v>586</v>
      </c>
      <c r="E115" s="28">
        <v>45478</v>
      </c>
      <c r="F115" s="28">
        <v>45513</v>
      </c>
      <c r="G115" s="27" t="s">
        <v>159</v>
      </c>
      <c r="H115" s="27" t="s">
        <v>202</v>
      </c>
      <c r="I115" s="27" t="s">
        <v>8</v>
      </c>
      <c r="J115" s="27" t="s">
        <v>161</v>
      </c>
      <c r="K115" s="28">
        <v>45444</v>
      </c>
      <c r="L115" s="28">
        <v>45473</v>
      </c>
      <c r="M115" s="29">
        <v>0</v>
      </c>
      <c r="N115" s="29">
        <v>0</v>
      </c>
      <c r="O115" s="29">
        <v>0</v>
      </c>
      <c r="P115" s="29">
        <v>0</v>
      </c>
      <c r="Q115" s="29">
        <v>0</v>
      </c>
      <c r="R115" s="29">
        <v>0</v>
      </c>
      <c r="S115" s="29">
        <v>0</v>
      </c>
      <c r="T115" s="29">
        <v>0</v>
      </c>
      <c r="U115" s="30">
        <v>15</v>
      </c>
      <c r="V115" s="30">
        <v>16.5</v>
      </c>
      <c r="W115" s="30">
        <v>82.76</v>
      </c>
      <c r="X115" s="30">
        <v>100.97</v>
      </c>
      <c r="Z115" s="30">
        <v>82.76</v>
      </c>
      <c r="AA115" s="30">
        <v>43.62</v>
      </c>
      <c r="AB115" s="30">
        <v>39.14</v>
      </c>
      <c r="AD115" s="30">
        <v>18.21</v>
      </c>
      <c r="AE115" s="30">
        <v>18.21</v>
      </c>
      <c r="AG115" s="30">
        <v>100</v>
      </c>
      <c r="AH115" s="30" t="s">
        <v>162</v>
      </c>
      <c r="AI115" s="30" t="s">
        <v>163</v>
      </c>
    </row>
    <row r="116" spans="1:35" ht="15" customHeight="1" x14ac:dyDescent="0.2">
      <c r="A116" s="27" t="s">
        <v>524</v>
      </c>
      <c r="B116" s="27" t="s">
        <v>156</v>
      </c>
      <c r="C116" s="27" t="s">
        <v>157</v>
      </c>
      <c r="D116" s="27" t="s">
        <v>525</v>
      </c>
      <c r="E116" s="28">
        <v>45511</v>
      </c>
      <c r="F116" s="28">
        <v>45546</v>
      </c>
      <c r="G116" s="27" t="s">
        <v>159</v>
      </c>
      <c r="H116" s="27" t="s">
        <v>202</v>
      </c>
      <c r="I116" s="27" t="s">
        <v>8</v>
      </c>
      <c r="J116" s="27" t="s">
        <v>161</v>
      </c>
      <c r="K116" s="28">
        <v>45474</v>
      </c>
      <c r="L116" s="28">
        <v>45504</v>
      </c>
      <c r="M116" s="29">
        <v>0</v>
      </c>
      <c r="N116" s="29">
        <v>0</v>
      </c>
      <c r="O116" s="29">
        <v>0</v>
      </c>
      <c r="P116" s="29">
        <v>0</v>
      </c>
      <c r="Q116" s="29">
        <v>0</v>
      </c>
      <c r="R116" s="29">
        <v>0</v>
      </c>
      <c r="S116" s="29">
        <v>0</v>
      </c>
      <c r="T116" s="29">
        <v>0</v>
      </c>
      <c r="U116" s="35">
        <v>15</v>
      </c>
      <c r="V116" s="30">
        <v>16.5</v>
      </c>
      <c r="W116" s="30">
        <v>82.76</v>
      </c>
      <c r="X116" s="30">
        <v>100.97</v>
      </c>
      <c r="Z116" s="30">
        <v>82.76</v>
      </c>
      <c r="AA116" s="30">
        <v>43.62</v>
      </c>
      <c r="AB116" s="30">
        <v>39.14</v>
      </c>
      <c r="AD116" s="30">
        <v>18.21</v>
      </c>
      <c r="AE116" s="30">
        <v>18.21</v>
      </c>
      <c r="AG116" s="30">
        <v>100</v>
      </c>
      <c r="AH116" s="30" t="s">
        <v>162</v>
      </c>
      <c r="AI116" s="30" t="s">
        <v>163</v>
      </c>
    </row>
    <row r="117" spans="1:35" ht="15" customHeight="1" x14ac:dyDescent="0.2">
      <c r="A117" s="27" t="s">
        <v>464</v>
      </c>
      <c r="B117" s="27" t="s">
        <v>156</v>
      </c>
      <c r="C117" s="27" t="s">
        <v>157</v>
      </c>
      <c r="D117" s="27" t="s">
        <v>465</v>
      </c>
      <c r="E117" s="28">
        <v>45541</v>
      </c>
      <c r="F117" s="28">
        <v>45576</v>
      </c>
      <c r="G117" s="27" t="s">
        <v>159</v>
      </c>
      <c r="H117" s="27" t="s">
        <v>202</v>
      </c>
      <c r="I117" s="27" t="s">
        <v>8</v>
      </c>
      <c r="J117" s="27" t="s">
        <v>161</v>
      </c>
      <c r="K117" s="28">
        <v>45505</v>
      </c>
      <c r="L117" s="28">
        <v>45535</v>
      </c>
      <c r="M117" s="29">
        <v>2</v>
      </c>
      <c r="N117" s="29">
        <v>0</v>
      </c>
      <c r="O117" s="29">
        <v>0</v>
      </c>
      <c r="P117" s="29">
        <v>2</v>
      </c>
      <c r="Q117" s="29">
        <v>0</v>
      </c>
      <c r="R117" s="29">
        <v>0</v>
      </c>
      <c r="S117" s="29">
        <v>0</v>
      </c>
      <c r="T117" s="29">
        <v>0</v>
      </c>
      <c r="U117" s="35">
        <v>15</v>
      </c>
      <c r="V117" s="30">
        <v>16.5</v>
      </c>
      <c r="W117" s="30">
        <v>82.76</v>
      </c>
      <c r="X117" s="30">
        <v>100.97</v>
      </c>
      <c r="Z117" s="30">
        <v>82.76</v>
      </c>
      <c r="AA117" s="30">
        <v>43.62</v>
      </c>
      <c r="AB117" s="30">
        <v>39.14</v>
      </c>
      <c r="AD117" s="30">
        <v>18.21</v>
      </c>
      <c r="AE117" s="30">
        <v>18.21</v>
      </c>
      <c r="AG117" s="30">
        <v>100</v>
      </c>
      <c r="AH117" s="30" t="s">
        <v>162</v>
      </c>
      <c r="AI117" s="30" t="s">
        <v>163</v>
      </c>
    </row>
    <row r="118" spans="1:35" ht="15" customHeight="1" x14ac:dyDescent="0.2">
      <c r="A118" s="27" t="s">
        <v>380</v>
      </c>
      <c r="B118" s="27" t="s">
        <v>156</v>
      </c>
      <c r="C118" s="27" t="s">
        <v>157</v>
      </c>
      <c r="D118" s="27" t="s">
        <v>381</v>
      </c>
      <c r="E118" s="28">
        <v>45572</v>
      </c>
      <c r="F118" s="28">
        <v>45607</v>
      </c>
      <c r="G118" s="27" t="s">
        <v>159</v>
      </c>
      <c r="H118" s="27" t="s">
        <v>202</v>
      </c>
      <c r="I118" s="27" t="s">
        <v>8</v>
      </c>
      <c r="J118" s="27" t="s">
        <v>161</v>
      </c>
      <c r="K118" s="28">
        <v>45536</v>
      </c>
      <c r="L118" s="28">
        <v>45565</v>
      </c>
      <c r="M118" s="29">
        <v>0</v>
      </c>
      <c r="N118" s="29">
        <v>0</v>
      </c>
      <c r="O118" s="29">
        <v>0</v>
      </c>
      <c r="P118" s="29">
        <v>0</v>
      </c>
      <c r="Q118" s="29">
        <v>0</v>
      </c>
      <c r="R118" s="29">
        <v>0</v>
      </c>
      <c r="S118" s="29">
        <v>0</v>
      </c>
      <c r="T118" s="29">
        <v>0</v>
      </c>
      <c r="U118" s="35">
        <v>15</v>
      </c>
      <c r="V118" s="30">
        <v>16.5</v>
      </c>
      <c r="W118" s="30">
        <v>82.76</v>
      </c>
      <c r="X118" s="30">
        <v>100.97</v>
      </c>
      <c r="Z118" s="30">
        <v>82.76</v>
      </c>
      <c r="AA118" s="30">
        <v>43.62</v>
      </c>
      <c r="AB118" s="30">
        <v>39.14</v>
      </c>
      <c r="AD118" s="30">
        <v>18.21</v>
      </c>
      <c r="AE118" s="30">
        <v>18.21</v>
      </c>
      <c r="AG118" s="30">
        <v>100</v>
      </c>
      <c r="AH118" s="30" t="s">
        <v>162</v>
      </c>
      <c r="AI118" s="30" t="s">
        <v>163</v>
      </c>
    </row>
    <row r="119" spans="1:35" ht="15" customHeight="1" x14ac:dyDescent="0.2">
      <c r="A119" s="27" t="s">
        <v>346</v>
      </c>
      <c r="B119" s="27" t="s">
        <v>156</v>
      </c>
      <c r="C119" s="27" t="s">
        <v>157</v>
      </c>
      <c r="D119" s="27" t="s">
        <v>347</v>
      </c>
      <c r="E119" s="28">
        <v>45604</v>
      </c>
      <c r="F119" s="28">
        <v>45639</v>
      </c>
      <c r="G119" s="27" t="s">
        <v>159</v>
      </c>
      <c r="H119" s="27" t="s">
        <v>202</v>
      </c>
      <c r="I119" s="27" t="s">
        <v>8</v>
      </c>
      <c r="J119" s="27" t="s">
        <v>161</v>
      </c>
      <c r="K119" s="28">
        <v>45566</v>
      </c>
      <c r="L119" s="28">
        <v>45596</v>
      </c>
      <c r="M119" s="29">
        <v>0</v>
      </c>
      <c r="N119" s="29">
        <v>0</v>
      </c>
      <c r="O119" s="29">
        <v>0</v>
      </c>
      <c r="P119" s="29">
        <v>0</v>
      </c>
      <c r="Q119" s="29">
        <v>0</v>
      </c>
      <c r="R119" s="29">
        <v>0</v>
      </c>
      <c r="S119" s="29">
        <v>0</v>
      </c>
      <c r="T119" s="29">
        <v>0</v>
      </c>
      <c r="U119" s="35">
        <v>15</v>
      </c>
      <c r="V119" s="30">
        <v>16.5</v>
      </c>
      <c r="W119" s="30">
        <v>82.76</v>
      </c>
      <c r="X119" s="30">
        <v>100.97</v>
      </c>
      <c r="Z119" s="30">
        <v>82.76</v>
      </c>
      <c r="AA119" s="30">
        <v>43.62</v>
      </c>
      <c r="AB119" s="30">
        <v>39.14</v>
      </c>
      <c r="AD119" s="30">
        <v>18.21</v>
      </c>
      <c r="AE119" s="30">
        <v>18.21</v>
      </c>
      <c r="AG119" s="30">
        <v>100</v>
      </c>
      <c r="AH119" s="30" t="s">
        <v>162</v>
      </c>
      <c r="AI119" s="30" t="s">
        <v>163</v>
      </c>
    </row>
    <row r="120" spans="1:35" ht="15" customHeight="1" x14ac:dyDescent="0.2">
      <c r="A120" s="27" t="s">
        <v>288</v>
      </c>
      <c r="B120" s="27" t="s">
        <v>156</v>
      </c>
      <c r="C120" s="27" t="s">
        <v>157</v>
      </c>
      <c r="D120" s="27" t="s">
        <v>289</v>
      </c>
      <c r="E120" s="28">
        <v>45632</v>
      </c>
      <c r="F120" s="28">
        <v>45667</v>
      </c>
      <c r="G120" s="27" t="s">
        <v>159</v>
      </c>
      <c r="H120" s="27" t="s">
        <v>202</v>
      </c>
      <c r="I120" s="27" t="s">
        <v>8</v>
      </c>
      <c r="J120" s="27" t="s">
        <v>161</v>
      </c>
      <c r="K120" s="28">
        <v>45597</v>
      </c>
      <c r="L120" s="28">
        <v>45626</v>
      </c>
      <c r="M120" s="29">
        <v>0</v>
      </c>
      <c r="N120" s="29">
        <v>0</v>
      </c>
      <c r="O120" s="29">
        <v>0</v>
      </c>
      <c r="P120" s="29">
        <v>0</v>
      </c>
      <c r="Q120" s="29">
        <v>0</v>
      </c>
      <c r="R120" s="29">
        <v>0</v>
      </c>
      <c r="S120" s="29">
        <v>0</v>
      </c>
      <c r="T120" s="29">
        <v>0</v>
      </c>
      <c r="U120" s="35">
        <v>15</v>
      </c>
      <c r="V120" s="30">
        <v>16.5</v>
      </c>
      <c r="W120" s="30">
        <v>82.76</v>
      </c>
      <c r="X120" s="30">
        <v>100.97</v>
      </c>
      <c r="Z120" s="30">
        <v>82.76</v>
      </c>
      <c r="AA120" s="30">
        <v>43.62</v>
      </c>
      <c r="AB120" s="30">
        <v>39.14</v>
      </c>
      <c r="AD120" s="30">
        <v>18.21</v>
      </c>
      <c r="AE120" s="30">
        <v>18.21</v>
      </c>
      <c r="AG120" s="30">
        <v>100</v>
      </c>
      <c r="AH120" s="30" t="s">
        <v>162</v>
      </c>
      <c r="AI120" s="30" t="s">
        <v>163</v>
      </c>
    </row>
    <row r="121" spans="1:35" ht="15" customHeight="1" x14ac:dyDescent="0.2">
      <c r="A121" s="27" t="s">
        <v>200</v>
      </c>
      <c r="B121" s="27" t="s">
        <v>156</v>
      </c>
      <c r="C121" s="27" t="s">
        <v>157</v>
      </c>
      <c r="D121" s="27" t="s">
        <v>201</v>
      </c>
      <c r="E121" s="28">
        <v>45665</v>
      </c>
      <c r="F121" s="28">
        <v>45700</v>
      </c>
      <c r="G121" s="27" t="s">
        <v>159</v>
      </c>
      <c r="H121" s="27" t="s">
        <v>202</v>
      </c>
      <c r="I121" s="27" t="s">
        <v>8</v>
      </c>
      <c r="J121" s="27" t="s">
        <v>161</v>
      </c>
      <c r="K121" s="28">
        <v>45627</v>
      </c>
      <c r="L121" s="28">
        <v>45657</v>
      </c>
      <c r="M121" s="29">
        <v>0</v>
      </c>
      <c r="N121" s="29">
        <v>0</v>
      </c>
      <c r="O121" s="29">
        <v>0</v>
      </c>
      <c r="P121" s="29">
        <v>0</v>
      </c>
      <c r="Q121" s="29">
        <v>0</v>
      </c>
      <c r="R121" s="29">
        <v>0</v>
      </c>
      <c r="S121" s="29">
        <v>0</v>
      </c>
      <c r="T121" s="29">
        <v>0</v>
      </c>
      <c r="U121" s="30">
        <v>15</v>
      </c>
      <c r="V121" s="30">
        <v>16.5</v>
      </c>
      <c r="W121" s="30">
        <v>82.76</v>
      </c>
      <c r="X121" s="30">
        <v>100.97</v>
      </c>
      <c r="Z121" s="30">
        <v>82.76</v>
      </c>
      <c r="AA121" s="30">
        <v>43.62</v>
      </c>
      <c r="AB121" s="30">
        <v>39.14</v>
      </c>
      <c r="AD121" s="30">
        <v>18.21</v>
      </c>
      <c r="AE121" s="30">
        <v>18.21</v>
      </c>
      <c r="AG121" s="30">
        <v>100</v>
      </c>
      <c r="AH121" s="30" t="s">
        <v>162</v>
      </c>
      <c r="AI121" s="30" t="s">
        <v>163</v>
      </c>
    </row>
    <row r="122" spans="1:35" ht="15" customHeight="1" x14ac:dyDescent="0.2">
      <c r="A122" s="27" t="s">
        <v>868</v>
      </c>
      <c r="B122" s="27" t="s">
        <v>839</v>
      </c>
      <c r="C122" s="27" t="s">
        <v>840</v>
      </c>
      <c r="D122" s="27" t="s">
        <v>869</v>
      </c>
      <c r="E122" s="28">
        <v>45350</v>
      </c>
      <c r="F122" s="28">
        <v>45380</v>
      </c>
      <c r="G122" s="27" t="s">
        <v>159</v>
      </c>
      <c r="H122" s="27" t="s">
        <v>870</v>
      </c>
      <c r="I122" s="27" t="s">
        <v>75</v>
      </c>
      <c r="J122" s="27" t="s">
        <v>843</v>
      </c>
      <c r="K122" s="28">
        <v>45292</v>
      </c>
      <c r="L122" s="28">
        <v>45322</v>
      </c>
      <c r="M122" s="29">
        <v>15</v>
      </c>
      <c r="N122" s="29">
        <v>5</v>
      </c>
      <c r="O122" s="29">
        <v>3</v>
      </c>
      <c r="P122" s="29">
        <v>7</v>
      </c>
      <c r="Q122" s="29">
        <v>10</v>
      </c>
      <c r="R122" s="29">
        <v>3</v>
      </c>
      <c r="S122" s="29">
        <v>2</v>
      </c>
      <c r="T122" s="29">
        <v>5</v>
      </c>
      <c r="U122" s="30">
        <v>15</v>
      </c>
      <c r="V122" s="30">
        <v>16.5</v>
      </c>
      <c r="W122" s="30">
        <v>80.67</v>
      </c>
      <c r="X122" s="30">
        <v>98.42</v>
      </c>
      <c r="Z122" s="30">
        <v>2.35</v>
      </c>
      <c r="AA122" s="30">
        <v>43.83</v>
      </c>
      <c r="AB122" s="30">
        <v>34.22</v>
      </c>
      <c r="AC122" s="35">
        <v>0.08</v>
      </c>
      <c r="AD122" s="30">
        <v>0.19</v>
      </c>
      <c r="AE122" s="30">
        <v>17.75</v>
      </c>
      <c r="AG122" s="30">
        <v>100</v>
      </c>
      <c r="AH122" s="30" t="s">
        <v>162</v>
      </c>
      <c r="AI122" s="30" t="s">
        <v>851</v>
      </c>
    </row>
    <row r="123" spans="1:35" ht="15" customHeight="1" x14ac:dyDescent="0.2">
      <c r="A123" s="27" t="s">
        <v>820</v>
      </c>
      <c r="B123" s="27" t="s">
        <v>156</v>
      </c>
      <c r="C123" s="27" t="s">
        <v>157</v>
      </c>
      <c r="D123" s="27" t="s">
        <v>821</v>
      </c>
      <c r="E123" s="28">
        <v>45358</v>
      </c>
      <c r="F123" s="28">
        <v>45393</v>
      </c>
      <c r="G123" s="27" t="s">
        <v>159</v>
      </c>
      <c r="H123" s="27" t="s">
        <v>225</v>
      </c>
      <c r="I123" s="27" t="s">
        <v>75</v>
      </c>
      <c r="J123" s="27" t="s">
        <v>161</v>
      </c>
      <c r="K123" s="28">
        <v>45323</v>
      </c>
      <c r="L123" s="28">
        <v>45351</v>
      </c>
      <c r="M123" s="29">
        <v>5</v>
      </c>
      <c r="N123" s="29">
        <v>2</v>
      </c>
      <c r="O123" s="29">
        <v>1</v>
      </c>
      <c r="P123" s="29">
        <v>2</v>
      </c>
      <c r="Q123" s="29">
        <v>5</v>
      </c>
      <c r="R123" s="29">
        <v>1</v>
      </c>
      <c r="S123" s="29">
        <v>2</v>
      </c>
      <c r="T123" s="29">
        <v>2</v>
      </c>
      <c r="U123" s="30">
        <v>15</v>
      </c>
      <c r="V123" s="30">
        <v>16.5</v>
      </c>
      <c r="W123" s="30">
        <v>78.09</v>
      </c>
      <c r="X123" s="30">
        <v>95.27</v>
      </c>
      <c r="Z123" s="30">
        <v>0.54</v>
      </c>
      <c r="AA123" s="30">
        <v>43.69</v>
      </c>
      <c r="AB123" s="30">
        <v>33.799999999999997</v>
      </c>
      <c r="AD123" s="30">
        <v>17.18</v>
      </c>
      <c r="AE123" s="30">
        <v>0.06</v>
      </c>
      <c r="AG123" s="30">
        <v>100</v>
      </c>
      <c r="AH123" s="30" t="s">
        <v>162</v>
      </c>
      <c r="AI123" s="30" t="s">
        <v>163</v>
      </c>
    </row>
    <row r="124" spans="1:35" ht="15" customHeight="1" x14ac:dyDescent="0.2">
      <c r="A124" s="27" t="s">
        <v>768</v>
      </c>
      <c r="B124" s="27" t="s">
        <v>156</v>
      </c>
      <c r="C124" s="27" t="s">
        <v>157</v>
      </c>
      <c r="D124" s="27" t="s">
        <v>769</v>
      </c>
      <c r="E124" s="28">
        <v>45390</v>
      </c>
      <c r="F124" s="28">
        <v>45425</v>
      </c>
      <c r="G124" s="27" t="s">
        <v>159</v>
      </c>
      <c r="H124" s="27" t="s">
        <v>225</v>
      </c>
      <c r="I124" s="27" t="s">
        <v>75</v>
      </c>
      <c r="J124" s="27" t="s">
        <v>161</v>
      </c>
      <c r="K124" s="28">
        <v>45352</v>
      </c>
      <c r="L124" s="28">
        <v>45382</v>
      </c>
      <c r="M124" s="29">
        <v>5</v>
      </c>
      <c r="N124" s="29">
        <v>1</v>
      </c>
      <c r="O124" s="29">
        <v>2</v>
      </c>
      <c r="P124" s="29">
        <v>2</v>
      </c>
      <c r="Q124" s="29">
        <v>7</v>
      </c>
      <c r="R124" s="29">
        <v>3</v>
      </c>
      <c r="S124" s="29">
        <v>1</v>
      </c>
      <c r="T124" s="29">
        <v>3</v>
      </c>
      <c r="U124" s="30">
        <v>15</v>
      </c>
      <c r="V124" s="30">
        <v>16.5</v>
      </c>
      <c r="W124" s="30">
        <v>78.08</v>
      </c>
      <c r="X124" s="30">
        <v>95.26</v>
      </c>
      <c r="Z124" s="30">
        <v>0.53</v>
      </c>
      <c r="AA124" s="30">
        <v>43.69</v>
      </c>
      <c r="AB124" s="30">
        <v>33.799999999999997</v>
      </c>
      <c r="AD124" s="30">
        <v>17.18</v>
      </c>
      <c r="AE124" s="30">
        <v>0.06</v>
      </c>
      <c r="AG124" s="30">
        <v>100</v>
      </c>
      <c r="AH124" s="30" t="s">
        <v>162</v>
      </c>
      <c r="AI124" s="30" t="s">
        <v>163</v>
      </c>
    </row>
    <row r="125" spans="1:35" ht="15" customHeight="1" x14ac:dyDescent="0.2">
      <c r="A125" s="27" t="s">
        <v>704</v>
      </c>
      <c r="B125" s="27" t="s">
        <v>156</v>
      </c>
      <c r="C125" s="27" t="s">
        <v>157</v>
      </c>
      <c r="D125" s="27" t="s">
        <v>705</v>
      </c>
      <c r="E125" s="28">
        <v>45419</v>
      </c>
      <c r="F125" s="28">
        <v>45454</v>
      </c>
      <c r="G125" s="27" t="s">
        <v>159</v>
      </c>
      <c r="H125" s="27" t="s">
        <v>225</v>
      </c>
      <c r="I125" s="27" t="s">
        <v>75</v>
      </c>
      <c r="J125" s="27" t="s">
        <v>161</v>
      </c>
      <c r="K125" s="28">
        <v>45383</v>
      </c>
      <c r="L125" s="28">
        <v>45412</v>
      </c>
      <c r="M125" s="29">
        <v>89</v>
      </c>
      <c r="N125" s="29">
        <v>35</v>
      </c>
      <c r="O125" s="29">
        <v>20</v>
      </c>
      <c r="P125" s="29">
        <v>34</v>
      </c>
      <c r="Q125" s="29">
        <v>29</v>
      </c>
      <c r="R125" s="29">
        <v>9</v>
      </c>
      <c r="S125" s="29">
        <v>7</v>
      </c>
      <c r="T125" s="29">
        <v>13</v>
      </c>
      <c r="U125" s="35">
        <v>15</v>
      </c>
      <c r="V125" s="30">
        <v>16.5</v>
      </c>
      <c r="W125" s="30">
        <v>99.33</v>
      </c>
      <c r="X125" s="30">
        <v>121.18</v>
      </c>
      <c r="Z125" s="30">
        <v>10.02</v>
      </c>
      <c r="AA125" s="30">
        <v>44.77</v>
      </c>
      <c r="AB125" s="30">
        <v>43.43</v>
      </c>
      <c r="AD125" s="30">
        <v>21.85</v>
      </c>
      <c r="AE125" s="30">
        <v>1.1100000000000001</v>
      </c>
      <c r="AG125" s="30">
        <v>100</v>
      </c>
      <c r="AH125" s="30" t="s">
        <v>162</v>
      </c>
      <c r="AI125" s="30" t="s">
        <v>163</v>
      </c>
    </row>
    <row r="126" spans="1:35" ht="15" customHeight="1" x14ac:dyDescent="0.2">
      <c r="A126" s="27" t="s">
        <v>646</v>
      </c>
      <c r="B126" s="27" t="s">
        <v>156</v>
      </c>
      <c r="C126" s="27" t="s">
        <v>157</v>
      </c>
      <c r="D126" s="27" t="s">
        <v>647</v>
      </c>
      <c r="E126" s="28">
        <v>45449</v>
      </c>
      <c r="F126" s="28">
        <v>45484</v>
      </c>
      <c r="G126" s="27" t="s">
        <v>159</v>
      </c>
      <c r="H126" s="27" t="s">
        <v>225</v>
      </c>
      <c r="I126" s="27" t="s">
        <v>75</v>
      </c>
      <c r="J126" s="27" t="s">
        <v>161</v>
      </c>
      <c r="K126" s="28">
        <v>45413</v>
      </c>
      <c r="L126" s="28">
        <v>45417</v>
      </c>
      <c r="M126" s="29">
        <v>137</v>
      </c>
      <c r="N126" s="29">
        <v>42</v>
      </c>
      <c r="O126" s="29">
        <v>43</v>
      </c>
      <c r="P126" s="29">
        <v>52</v>
      </c>
      <c r="Q126" s="29">
        <v>60</v>
      </c>
      <c r="R126" s="29">
        <v>18</v>
      </c>
      <c r="S126" s="29">
        <v>21</v>
      </c>
      <c r="T126" s="29">
        <v>21</v>
      </c>
      <c r="U126" s="35">
        <v>15</v>
      </c>
      <c r="V126" s="30">
        <v>16.5</v>
      </c>
      <c r="W126" s="30">
        <v>109.46</v>
      </c>
      <c r="X126" s="30">
        <v>133.54</v>
      </c>
      <c r="Z126" s="30">
        <v>16.61</v>
      </c>
      <c r="AA126" s="30">
        <v>45.4</v>
      </c>
      <c r="AB126" s="30">
        <v>45.73</v>
      </c>
      <c r="AD126" s="30">
        <v>24.08</v>
      </c>
      <c r="AE126" s="30">
        <v>0.28000000000000003</v>
      </c>
      <c r="AG126" s="30">
        <v>100</v>
      </c>
      <c r="AH126" s="30" t="s">
        <v>162</v>
      </c>
      <c r="AI126" s="30" t="s">
        <v>163</v>
      </c>
    </row>
    <row r="127" spans="1:35" ht="15" customHeight="1" x14ac:dyDescent="0.2">
      <c r="A127" s="27" t="s">
        <v>594</v>
      </c>
      <c r="B127" s="27" t="s">
        <v>156</v>
      </c>
      <c r="C127" s="27" t="s">
        <v>157</v>
      </c>
      <c r="D127" s="27" t="s">
        <v>595</v>
      </c>
      <c r="E127" s="28">
        <v>45478</v>
      </c>
      <c r="F127" s="28">
        <v>45513</v>
      </c>
      <c r="G127" s="27" t="s">
        <v>159</v>
      </c>
      <c r="H127" s="27" t="s">
        <v>225</v>
      </c>
      <c r="I127" s="27" t="s">
        <v>75</v>
      </c>
      <c r="J127" s="27" t="s">
        <v>161</v>
      </c>
      <c r="K127" s="28">
        <v>45444</v>
      </c>
      <c r="L127" s="28">
        <v>45473</v>
      </c>
      <c r="M127" s="29">
        <v>166</v>
      </c>
      <c r="N127" s="29">
        <v>44</v>
      </c>
      <c r="O127" s="29">
        <v>64</v>
      </c>
      <c r="P127" s="29">
        <v>58</v>
      </c>
      <c r="Q127" s="29">
        <v>80</v>
      </c>
      <c r="R127" s="29">
        <v>21</v>
      </c>
      <c r="S127" s="29">
        <v>32</v>
      </c>
      <c r="T127" s="29">
        <v>27</v>
      </c>
      <c r="U127" s="35">
        <v>15</v>
      </c>
      <c r="V127" s="30">
        <v>16.5</v>
      </c>
      <c r="W127" s="30">
        <v>117.49</v>
      </c>
      <c r="X127" s="30">
        <v>143.34</v>
      </c>
      <c r="Z127" s="30">
        <v>22.52</v>
      </c>
      <c r="AA127" s="30">
        <v>45.75</v>
      </c>
      <c r="AB127" s="30">
        <v>47.14</v>
      </c>
      <c r="AD127" s="30">
        <v>25.85</v>
      </c>
      <c r="AE127" s="30">
        <v>2.08</v>
      </c>
      <c r="AG127" s="30">
        <v>100</v>
      </c>
      <c r="AH127" s="30" t="s">
        <v>162</v>
      </c>
      <c r="AI127" s="30" t="s">
        <v>163</v>
      </c>
    </row>
    <row r="128" spans="1:35" ht="15" customHeight="1" x14ac:dyDescent="0.2">
      <c r="A128" s="27" t="s">
        <v>502</v>
      </c>
      <c r="B128" s="27" t="s">
        <v>156</v>
      </c>
      <c r="C128" s="27" t="s">
        <v>157</v>
      </c>
      <c r="D128" s="27" t="s">
        <v>503</v>
      </c>
      <c r="E128" s="28">
        <v>45513</v>
      </c>
      <c r="F128" s="28">
        <v>45548</v>
      </c>
      <c r="G128" s="27" t="s">
        <v>159</v>
      </c>
      <c r="H128" s="27" t="s">
        <v>225</v>
      </c>
      <c r="I128" s="27" t="s">
        <v>75</v>
      </c>
      <c r="J128" s="27" t="s">
        <v>161</v>
      </c>
      <c r="K128" s="28">
        <v>45474</v>
      </c>
      <c r="L128" s="28">
        <v>45504</v>
      </c>
      <c r="M128" s="29">
        <v>204</v>
      </c>
      <c r="N128" s="29">
        <v>58</v>
      </c>
      <c r="O128" s="29">
        <v>92</v>
      </c>
      <c r="P128" s="29">
        <v>54</v>
      </c>
      <c r="Q128" s="29">
        <v>122</v>
      </c>
      <c r="R128" s="29">
        <v>37</v>
      </c>
      <c r="S128" s="29">
        <v>53</v>
      </c>
      <c r="T128" s="29">
        <v>32</v>
      </c>
      <c r="U128" s="30">
        <v>15</v>
      </c>
      <c r="V128" s="30">
        <v>16.5</v>
      </c>
      <c r="W128" s="30">
        <v>130.25</v>
      </c>
      <c r="X128" s="30">
        <v>158.91</v>
      </c>
      <c r="Z128" s="30">
        <v>32.479999999999997</v>
      </c>
      <c r="AA128" s="30">
        <v>46.24</v>
      </c>
      <c r="AB128" s="30">
        <v>48.98</v>
      </c>
      <c r="AD128" s="30">
        <v>28.66</v>
      </c>
      <c r="AE128" s="30">
        <v>2.5499999999999998</v>
      </c>
      <c r="AG128" s="30">
        <v>100</v>
      </c>
      <c r="AH128" s="30" t="s">
        <v>162</v>
      </c>
      <c r="AI128" s="30" t="s">
        <v>163</v>
      </c>
    </row>
    <row r="129" spans="1:35" ht="15" customHeight="1" x14ac:dyDescent="0.2">
      <c r="A129" s="27" t="s">
        <v>476</v>
      </c>
      <c r="B129" s="27" t="s">
        <v>156</v>
      </c>
      <c r="C129" s="27" t="s">
        <v>157</v>
      </c>
      <c r="D129" s="27" t="s">
        <v>477</v>
      </c>
      <c r="E129" s="28">
        <v>45541</v>
      </c>
      <c r="F129" s="28">
        <v>45576</v>
      </c>
      <c r="G129" s="27" t="s">
        <v>159</v>
      </c>
      <c r="H129" s="27" t="s">
        <v>225</v>
      </c>
      <c r="I129" s="27" t="s">
        <v>75</v>
      </c>
      <c r="J129" s="27" t="s">
        <v>161</v>
      </c>
      <c r="K129" s="28">
        <v>45505</v>
      </c>
      <c r="L129" s="28">
        <v>45535</v>
      </c>
      <c r="M129" s="29">
        <v>745</v>
      </c>
      <c r="N129" s="29">
        <v>201</v>
      </c>
      <c r="O129" s="29">
        <v>323</v>
      </c>
      <c r="P129" s="29">
        <v>221</v>
      </c>
      <c r="Q129" s="29">
        <v>421</v>
      </c>
      <c r="R129" s="29">
        <v>113</v>
      </c>
      <c r="S129" s="29">
        <v>191</v>
      </c>
      <c r="T129" s="29">
        <v>117</v>
      </c>
      <c r="U129" s="30">
        <v>15</v>
      </c>
      <c r="V129" s="30">
        <v>16.5</v>
      </c>
      <c r="W129" s="30">
        <v>139.97999999999999</v>
      </c>
      <c r="X129" s="30">
        <v>170.78</v>
      </c>
      <c r="Z129" s="30">
        <v>39.54</v>
      </c>
      <c r="AA129" s="30">
        <v>46.68</v>
      </c>
      <c r="AB129" s="30">
        <v>50.62</v>
      </c>
      <c r="AD129" s="30">
        <v>30.8</v>
      </c>
      <c r="AE129" s="30">
        <v>2.98</v>
      </c>
      <c r="AG129" s="30">
        <v>100</v>
      </c>
      <c r="AH129" s="30" t="s">
        <v>162</v>
      </c>
      <c r="AI129" s="30" t="s">
        <v>163</v>
      </c>
    </row>
    <row r="130" spans="1:35" ht="15" customHeight="1" x14ac:dyDescent="0.2">
      <c r="A130" s="27" t="s">
        <v>414</v>
      </c>
      <c r="B130" s="27" t="s">
        <v>156</v>
      </c>
      <c r="C130" s="27" t="s">
        <v>157</v>
      </c>
      <c r="D130" s="27" t="s">
        <v>415</v>
      </c>
      <c r="E130" s="28">
        <v>45571</v>
      </c>
      <c r="F130" s="28">
        <v>45607</v>
      </c>
      <c r="G130" s="27" t="s">
        <v>159</v>
      </c>
      <c r="H130" s="27" t="s">
        <v>225</v>
      </c>
      <c r="I130" s="27" t="s">
        <v>75</v>
      </c>
      <c r="J130" s="27" t="s">
        <v>161</v>
      </c>
      <c r="K130" s="28">
        <v>45536</v>
      </c>
      <c r="L130" s="28">
        <v>45565</v>
      </c>
      <c r="M130" s="29">
        <v>159</v>
      </c>
      <c r="N130" s="29">
        <v>48</v>
      </c>
      <c r="O130" s="29">
        <v>56</v>
      </c>
      <c r="P130" s="29">
        <v>55</v>
      </c>
      <c r="Q130" s="29">
        <v>78</v>
      </c>
      <c r="R130" s="29">
        <v>24</v>
      </c>
      <c r="S130" s="29">
        <v>29</v>
      </c>
      <c r="T130" s="29">
        <v>25</v>
      </c>
      <c r="U130" s="35">
        <v>15</v>
      </c>
      <c r="V130" s="30">
        <v>16.5</v>
      </c>
      <c r="W130" s="30">
        <v>118.12</v>
      </c>
      <c r="X130" s="30">
        <v>144.11000000000001</v>
      </c>
      <c r="Z130" s="30">
        <v>23.66</v>
      </c>
      <c r="AA130" s="30">
        <v>45.66</v>
      </c>
      <c r="AB130" s="30">
        <v>46.81</v>
      </c>
      <c r="AD130" s="30">
        <v>25.99</v>
      </c>
      <c r="AE130" s="30">
        <v>1.99</v>
      </c>
      <c r="AG130" s="30">
        <v>100</v>
      </c>
      <c r="AH130" s="30" t="s">
        <v>162</v>
      </c>
      <c r="AI130" s="30" t="s">
        <v>163</v>
      </c>
    </row>
    <row r="131" spans="1:35" ht="15" customHeight="1" x14ac:dyDescent="0.2">
      <c r="A131" s="27" t="s">
        <v>360</v>
      </c>
      <c r="B131" s="27" t="s">
        <v>156</v>
      </c>
      <c r="C131" s="27" t="s">
        <v>157</v>
      </c>
      <c r="D131" s="27" t="s">
        <v>361</v>
      </c>
      <c r="E131" s="28">
        <v>45604</v>
      </c>
      <c r="F131" s="28">
        <v>45639</v>
      </c>
      <c r="G131" s="27" t="s">
        <v>159</v>
      </c>
      <c r="H131" s="27" t="s">
        <v>225</v>
      </c>
      <c r="I131" s="27" t="s">
        <v>75</v>
      </c>
      <c r="J131" s="27" t="s">
        <v>161</v>
      </c>
      <c r="K131" s="28">
        <v>45566</v>
      </c>
      <c r="L131" s="28">
        <v>45596</v>
      </c>
      <c r="M131" s="29">
        <v>214</v>
      </c>
      <c r="N131" s="29">
        <v>82</v>
      </c>
      <c r="O131" s="29">
        <v>68</v>
      </c>
      <c r="P131" s="29">
        <v>64</v>
      </c>
      <c r="Q131" s="29">
        <v>86</v>
      </c>
      <c r="R131" s="29">
        <v>36</v>
      </c>
      <c r="S131" s="29">
        <v>30</v>
      </c>
      <c r="T131" s="29">
        <v>20</v>
      </c>
      <c r="U131" s="30">
        <v>15</v>
      </c>
      <c r="V131" s="30">
        <v>16.5</v>
      </c>
      <c r="W131" s="30">
        <v>130.41999999999999</v>
      </c>
      <c r="X131" s="30">
        <v>159.11000000000001</v>
      </c>
      <c r="Z131" s="30">
        <v>31.92</v>
      </c>
      <c r="AA131" s="30">
        <v>46.37</v>
      </c>
      <c r="AB131" s="30">
        <v>49.45</v>
      </c>
      <c r="AD131" s="30">
        <v>28.69</v>
      </c>
      <c r="AE131" s="30">
        <v>2.68</v>
      </c>
      <c r="AG131" s="30">
        <v>100</v>
      </c>
      <c r="AH131" s="30" t="s">
        <v>162</v>
      </c>
      <c r="AI131" s="30" t="s">
        <v>163</v>
      </c>
    </row>
    <row r="132" spans="1:35" ht="15" customHeight="1" x14ac:dyDescent="0.2">
      <c r="A132" s="27" t="s">
        <v>302</v>
      </c>
      <c r="B132" s="27" t="s">
        <v>156</v>
      </c>
      <c r="C132" s="27" t="s">
        <v>157</v>
      </c>
      <c r="D132" s="27" t="s">
        <v>303</v>
      </c>
      <c r="E132" s="28">
        <v>45632</v>
      </c>
      <c r="F132" s="28">
        <v>45667</v>
      </c>
      <c r="G132" s="27" t="s">
        <v>159</v>
      </c>
      <c r="H132" s="27" t="s">
        <v>225</v>
      </c>
      <c r="I132" s="27" t="s">
        <v>75</v>
      </c>
      <c r="J132" s="27" t="s">
        <v>161</v>
      </c>
      <c r="K132" s="28">
        <v>45597</v>
      </c>
      <c r="L132" s="28">
        <v>45626</v>
      </c>
      <c r="M132" s="29">
        <v>138</v>
      </c>
      <c r="N132" s="29">
        <v>49</v>
      </c>
      <c r="O132" s="29">
        <v>37</v>
      </c>
      <c r="P132" s="29">
        <v>52</v>
      </c>
      <c r="Q132" s="29">
        <v>43</v>
      </c>
      <c r="R132" s="29">
        <v>19</v>
      </c>
      <c r="S132" s="29">
        <v>9</v>
      </c>
      <c r="T132" s="29">
        <v>15</v>
      </c>
      <c r="U132" s="30">
        <v>15</v>
      </c>
      <c r="V132" s="30">
        <v>16.5</v>
      </c>
      <c r="W132" s="30">
        <v>115.62</v>
      </c>
      <c r="X132" s="30">
        <v>141.06</v>
      </c>
      <c r="Z132" s="30">
        <v>22.71</v>
      </c>
      <c r="AA132" s="30">
        <v>45.39</v>
      </c>
      <c r="AB132" s="30">
        <v>45.79</v>
      </c>
      <c r="AD132" s="30">
        <v>25.44</v>
      </c>
      <c r="AE132" s="30">
        <v>1.73</v>
      </c>
      <c r="AG132" s="30">
        <v>100</v>
      </c>
      <c r="AH132" s="30" t="s">
        <v>162</v>
      </c>
      <c r="AI132" s="30" t="s">
        <v>163</v>
      </c>
    </row>
    <row r="133" spans="1:35" ht="15" customHeight="1" x14ac:dyDescent="0.2">
      <c r="A133" s="27" t="s">
        <v>223</v>
      </c>
      <c r="B133" s="27" t="s">
        <v>156</v>
      </c>
      <c r="C133" s="27" t="s">
        <v>157</v>
      </c>
      <c r="D133" s="27" t="s">
        <v>224</v>
      </c>
      <c r="E133" s="28">
        <v>45665</v>
      </c>
      <c r="F133" s="28">
        <v>45700</v>
      </c>
      <c r="G133" s="27" t="s">
        <v>159</v>
      </c>
      <c r="H133" s="27" t="s">
        <v>225</v>
      </c>
      <c r="I133" s="27" t="s">
        <v>75</v>
      </c>
      <c r="J133" s="27" t="s">
        <v>161</v>
      </c>
      <c r="K133" s="28">
        <v>45627</v>
      </c>
      <c r="L133" s="28">
        <v>45657</v>
      </c>
      <c r="M133" s="29">
        <v>4</v>
      </c>
      <c r="N133" s="29">
        <v>1</v>
      </c>
      <c r="O133" s="29">
        <v>1</v>
      </c>
      <c r="P133" s="29">
        <v>2</v>
      </c>
      <c r="Q133" s="29">
        <v>5</v>
      </c>
      <c r="R133" s="29">
        <v>1</v>
      </c>
      <c r="S133" s="29">
        <v>1</v>
      </c>
      <c r="T133" s="29">
        <v>3</v>
      </c>
      <c r="U133" s="30">
        <v>15</v>
      </c>
      <c r="V133" s="30">
        <v>16.5</v>
      </c>
      <c r="W133" s="30">
        <v>83.67</v>
      </c>
      <c r="X133" s="30">
        <v>102.08</v>
      </c>
      <c r="Z133" s="30">
        <v>0.62</v>
      </c>
      <c r="AA133" s="30">
        <v>43.67</v>
      </c>
      <c r="AB133" s="30">
        <v>39.33</v>
      </c>
      <c r="AD133" s="30">
        <v>18.41</v>
      </c>
      <c r="AE133" s="30">
        <v>0.05</v>
      </c>
      <c r="AG133" s="30">
        <v>100</v>
      </c>
      <c r="AH133" s="30" t="s">
        <v>162</v>
      </c>
      <c r="AI133" s="30" t="s">
        <v>163</v>
      </c>
    </row>
    <row r="134" spans="1:35" ht="15" customHeight="1" x14ac:dyDescent="0.2">
      <c r="A134" s="27" t="s">
        <v>845</v>
      </c>
      <c r="B134" s="27" t="s">
        <v>839</v>
      </c>
      <c r="C134" s="27" t="s">
        <v>840</v>
      </c>
      <c r="D134" s="27" t="s">
        <v>846</v>
      </c>
      <c r="E134" s="28">
        <v>45365</v>
      </c>
      <c r="F134" s="28">
        <v>45397</v>
      </c>
      <c r="G134" s="27" t="s">
        <v>159</v>
      </c>
      <c r="H134" s="27" t="s">
        <v>847</v>
      </c>
      <c r="I134" s="27" t="s">
        <v>81</v>
      </c>
      <c r="J134" s="27" t="s">
        <v>843</v>
      </c>
      <c r="K134" s="28">
        <v>45292</v>
      </c>
      <c r="L134" s="28">
        <v>45322</v>
      </c>
      <c r="M134" s="29">
        <v>3622</v>
      </c>
      <c r="N134" s="29">
        <v>1553</v>
      </c>
      <c r="O134" s="29">
        <v>1044</v>
      </c>
      <c r="P134" s="29">
        <v>1025</v>
      </c>
      <c r="Q134" s="29">
        <v>1527</v>
      </c>
      <c r="R134" s="29">
        <v>733</v>
      </c>
      <c r="S134" s="29">
        <v>326</v>
      </c>
      <c r="T134" s="29">
        <v>468</v>
      </c>
      <c r="U134" s="30">
        <v>100</v>
      </c>
      <c r="V134" s="30">
        <v>100</v>
      </c>
      <c r="W134" s="30">
        <v>1161.01</v>
      </c>
      <c r="X134" s="30">
        <v>1416.43</v>
      </c>
      <c r="Z134" s="30">
        <v>576.78</v>
      </c>
      <c r="AA134" s="30">
        <v>232.46</v>
      </c>
      <c r="AB134" s="30">
        <v>288.38</v>
      </c>
      <c r="AC134" s="35">
        <v>18.11</v>
      </c>
      <c r="AD134" s="30">
        <v>45.28</v>
      </c>
      <c r="AE134" s="30">
        <v>255.42</v>
      </c>
      <c r="AG134" s="30">
        <v>100</v>
      </c>
      <c r="AH134" s="30" t="s">
        <v>162</v>
      </c>
      <c r="AI134" s="30" t="s">
        <v>844</v>
      </c>
    </row>
    <row r="135" spans="1:35" ht="15" customHeight="1" x14ac:dyDescent="0.2">
      <c r="A135" s="27" t="s">
        <v>780</v>
      </c>
      <c r="B135" s="27" t="s">
        <v>156</v>
      </c>
      <c r="C135" s="27" t="s">
        <v>157</v>
      </c>
      <c r="D135" s="27" t="s">
        <v>781</v>
      </c>
      <c r="E135" s="28">
        <v>45360</v>
      </c>
      <c r="F135" s="28">
        <v>45397</v>
      </c>
      <c r="G135" s="27" t="s">
        <v>159</v>
      </c>
      <c r="H135" s="27" t="s">
        <v>249</v>
      </c>
      <c r="I135" s="27" t="s">
        <v>81</v>
      </c>
      <c r="J135" s="27" t="s">
        <v>161</v>
      </c>
      <c r="K135" s="28">
        <v>45323</v>
      </c>
      <c r="L135" s="28">
        <v>45351</v>
      </c>
      <c r="M135" s="29">
        <v>2977</v>
      </c>
      <c r="N135" s="29">
        <v>1181</v>
      </c>
      <c r="O135" s="29">
        <v>1036</v>
      </c>
      <c r="P135" s="29">
        <v>760</v>
      </c>
      <c r="Q135" s="29">
        <v>1061</v>
      </c>
      <c r="R135" s="29">
        <v>488</v>
      </c>
      <c r="S135" s="29">
        <v>256</v>
      </c>
      <c r="T135" s="29">
        <v>317</v>
      </c>
      <c r="V135" s="30">
        <v>100</v>
      </c>
      <c r="W135" s="30">
        <v>881.05</v>
      </c>
      <c r="X135" s="30">
        <v>1074.8800000000001</v>
      </c>
      <c r="Z135" s="30">
        <v>363.33</v>
      </c>
      <c r="AA135" s="30">
        <v>220.87</v>
      </c>
      <c r="AB135" s="30">
        <v>259.64</v>
      </c>
      <c r="AD135" s="30">
        <v>193.83</v>
      </c>
      <c r="AE135" s="30">
        <v>37.21</v>
      </c>
      <c r="AG135" s="30">
        <v>93</v>
      </c>
      <c r="AH135" s="30" t="s">
        <v>177</v>
      </c>
      <c r="AI135" s="30" t="s">
        <v>178</v>
      </c>
    </row>
    <row r="136" spans="1:35" ht="15" customHeight="1" x14ac:dyDescent="0.2">
      <c r="A136" s="27" t="s">
        <v>776</v>
      </c>
      <c r="B136" s="27" t="s">
        <v>156</v>
      </c>
      <c r="C136" s="27" t="s">
        <v>157</v>
      </c>
      <c r="D136" s="27" t="s">
        <v>777</v>
      </c>
      <c r="E136" s="28">
        <v>45390</v>
      </c>
      <c r="F136" s="28">
        <v>45425</v>
      </c>
      <c r="G136" s="27" t="s">
        <v>159</v>
      </c>
      <c r="H136" s="27" t="s">
        <v>249</v>
      </c>
      <c r="I136" s="27" t="s">
        <v>81</v>
      </c>
      <c r="J136" s="27" t="s">
        <v>161</v>
      </c>
      <c r="K136" s="28">
        <v>45352</v>
      </c>
      <c r="L136" s="28">
        <v>45382</v>
      </c>
      <c r="M136" s="29">
        <v>2881</v>
      </c>
      <c r="N136" s="29">
        <v>944</v>
      </c>
      <c r="O136" s="29">
        <v>1187</v>
      </c>
      <c r="P136" s="29">
        <v>750</v>
      </c>
      <c r="Q136" s="29">
        <v>883</v>
      </c>
      <c r="R136" s="29">
        <v>357</v>
      </c>
      <c r="S136" s="29">
        <v>239</v>
      </c>
      <c r="T136" s="29">
        <v>287</v>
      </c>
      <c r="U136" s="33"/>
      <c r="V136" s="30">
        <v>100</v>
      </c>
      <c r="W136" s="30">
        <v>864.49</v>
      </c>
      <c r="X136" s="30">
        <v>1054.68</v>
      </c>
      <c r="Z136" s="30">
        <v>340.22</v>
      </c>
      <c r="AA136" s="30">
        <v>226.13</v>
      </c>
      <c r="AB136" s="30">
        <v>262.13</v>
      </c>
      <c r="AD136" s="30">
        <v>190.19</v>
      </c>
      <c r="AE136" s="30">
        <v>36.01</v>
      </c>
      <c r="AG136" s="30">
        <v>93</v>
      </c>
      <c r="AH136" s="30" t="s">
        <v>177</v>
      </c>
      <c r="AI136" s="30" t="s">
        <v>178</v>
      </c>
    </row>
    <row r="137" spans="1:35" ht="15" customHeight="1" x14ac:dyDescent="0.2">
      <c r="A137" s="27" t="s">
        <v>718</v>
      </c>
      <c r="B137" s="27" t="s">
        <v>156</v>
      </c>
      <c r="C137" s="27" t="s">
        <v>157</v>
      </c>
      <c r="D137" s="27" t="s">
        <v>719</v>
      </c>
      <c r="E137" s="28">
        <v>45419</v>
      </c>
      <c r="F137" s="28">
        <v>45454</v>
      </c>
      <c r="G137" s="27" t="s">
        <v>159</v>
      </c>
      <c r="H137" s="27" t="s">
        <v>249</v>
      </c>
      <c r="I137" s="27" t="s">
        <v>81</v>
      </c>
      <c r="J137" s="27" t="s">
        <v>161</v>
      </c>
      <c r="K137" s="28">
        <v>45383</v>
      </c>
      <c r="L137" s="28">
        <v>45412</v>
      </c>
      <c r="M137" s="29">
        <v>1861</v>
      </c>
      <c r="N137" s="29">
        <v>619</v>
      </c>
      <c r="O137" s="29">
        <v>638</v>
      </c>
      <c r="P137" s="29">
        <v>604</v>
      </c>
      <c r="Q137" s="29">
        <v>246</v>
      </c>
      <c r="R137" s="29">
        <v>77</v>
      </c>
      <c r="S137" s="29">
        <v>61</v>
      </c>
      <c r="T137" s="29">
        <v>108</v>
      </c>
      <c r="U137" s="33"/>
      <c r="V137" s="30">
        <v>100</v>
      </c>
      <c r="W137" s="30">
        <v>706.01</v>
      </c>
      <c r="X137" s="30">
        <v>861.33</v>
      </c>
      <c r="Z137" s="30">
        <v>213.76</v>
      </c>
      <c r="AA137" s="30">
        <v>213.08</v>
      </c>
      <c r="AB137" s="30">
        <v>255.91</v>
      </c>
      <c r="AD137" s="30">
        <v>155.32</v>
      </c>
      <c r="AE137" s="30">
        <v>23.26</v>
      </c>
      <c r="AG137" s="30">
        <v>93</v>
      </c>
      <c r="AH137" s="30" t="s">
        <v>177</v>
      </c>
      <c r="AI137" s="30" t="s">
        <v>178</v>
      </c>
    </row>
    <row r="138" spans="1:35" ht="15" customHeight="1" x14ac:dyDescent="0.2">
      <c r="A138" s="27" t="s">
        <v>662</v>
      </c>
      <c r="B138" s="27" t="s">
        <v>156</v>
      </c>
      <c r="C138" s="27" t="s">
        <v>157</v>
      </c>
      <c r="D138" s="27" t="s">
        <v>663</v>
      </c>
      <c r="E138" s="28">
        <v>45449</v>
      </c>
      <c r="F138" s="28">
        <v>45484</v>
      </c>
      <c r="G138" s="27" t="s">
        <v>159</v>
      </c>
      <c r="H138" s="27" t="s">
        <v>249</v>
      </c>
      <c r="I138" s="27" t="s">
        <v>81</v>
      </c>
      <c r="J138" s="27" t="s">
        <v>161</v>
      </c>
      <c r="K138" s="28">
        <v>45413</v>
      </c>
      <c r="L138" s="28">
        <v>45443</v>
      </c>
      <c r="M138" s="29">
        <v>2127</v>
      </c>
      <c r="N138" s="29">
        <v>725</v>
      </c>
      <c r="O138" s="29">
        <v>875</v>
      </c>
      <c r="P138" s="29">
        <v>527</v>
      </c>
      <c r="Q138" s="29">
        <v>121</v>
      </c>
      <c r="R138" s="29">
        <v>28</v>
      </c>
      <c r="S138" s="29">
        <v>66</v>
      </c>
      <c r="T138" s="29">
        <v>27</v>
      </c>
      <c r="U138" s="33"/>
      <c r="V138" s="30">
        <v>100</v>
      </c>
      <c r="W138" s="30">
        <v>757.36</v>
      </c>
      <c r="X138" s="30">
        <v>923.98</v>
      </c>
      <c r="Z138" s="30">
        <v>268.25</v>
      </c>
      <c r="AA138" s="30">
        <v>204.71</v>
      </c>
      <c r="AB138" s="30">
        <v>257.81</v>
      </c>
      <c r="AD138" s="30">
        <v>166.62</v>
      </c>
      <c r="AE138" s="30">
        <v>26.59</v>
      </c>
      <c r="AG138" s="30">
        <v>93</v>
      </c>
      <c r="AH138" s="30" t="s">
        <v>177</v>
      </c>
      <c r="AI138" s="30" t="s">
        <v>178</v>
      </c>
    </row>
    <row r="139" spans="1:35" ht="15" customHeight="1" x14ac:dyDescent="0.2">
      <c r="A139" s="27" t="s">
        <v>554</v>
      </c>
      <c r="B139" s="27" t="s">
        <v>156</v>
      </c>
      <c r="C139" s="27" t="s">
        <v>157</v>
      </c>
      <c r="D139" s="27" t="s">
        <v>555</v>
      </c>
      <c r="E139" s="28">
        <v>45483</v>
      </c>
      <c r="F139" s="28">
        <v>45518</v>
      </c>
      <c r="G139" s="27" t="s">
        <v>159</v>
      </c>
      <c r="H139" s="27" t="s">
        <v>249</v>
      </c>
      <c r="I139" s="27" t="s">
        <v>81</v>
      </c>
      <c r="J139" s="27" t="s">
        <v>161</v>
      </c>
      <c r="K139" s="28">
        <v>45444</v>
      </c>
      <c r="L139" s="28">
        <v>45473</v>
      </c>
      <c r="M139" s="29">
        <v>2075</v>
      </c>
      <c r="N139" s="29">
        <v>1109</v>
      </c>
      <c r="O139" s="29">
        <v>453</v>
      </c>
      <c r="P139" s="29">
        <v>513</v>
      </c>
      <c r="Q139" s="29">
        <v>80</v>
      </c>
      <c r="R139" s="29">
        <v>25</v>
      </c>
      <c r="S139" s="29">
        <v>21</v>
      </c>
      <c r="T139" s="29">
        <v>34</v>
      </c>
      <c r="U139" s="33"/>
      <c r="V139" s="30">
        <v>100</v>
      </c>
      <c r="W139" s="30">
        <v>484.81</v>
      </c>
      <c r="X139" s="30">
        <v>591.47</v>
      </c>
      <c r="Z139" s="30">
        <v>284.10000000000002</v>
      </c>
      <c r="AA139" s="30">
        <v>53.45</v>
      </c>
      <c r="AB139" s="30">
        <v>121.32</v>
      </c>
      <c r="AD139" s="30">
        <v>106.66</v>
      </c>
      <c r="AE139" s="30">
        <v>25.94</v>
      </c>
      <c r="AG139" s="30">
        <v>93</v>
      </c>
      <c r="AH139" s="30" t="s">
        <v>177</v>
      </c>
      <c r="AI139" s="30" t="s">
        <v>178</v>
      </c>
    </row>
    <row r="140" spans="1:35" ht="15" customHeight="1" x14ac:dyDescent="0.2">
      <c r="A140" s="27" t="s">
        <v>546</v>
      </c>
      <c r="B140" s="27" t="s">
        <v>156</v>
      </c>
      <c r="C140" s="27" t="s">
        <v>157</v>
      </c>
      <c r="D140" s="27" t="s">
        <v>547</v>
      </c>
      <c r="E140" s="28">
        <v>45511</v>
      </c>
      <c r="F140" s="28">
        <v>45546</v>
      </c>
      <c r="G140" s="27" t="s">
        <v>159</v>
      </c>
      <c r="H140" s="27" t="s">
        <v>249</v>
      </c>
      <c r="I140" s="27" t="s">
        <v>81</v>
      </c>
      <c r="J140" s="27" t="s">
        <v>161</v>
      </c>
      <c r="K140" s="28">
        <v>45474</v>
      </c>
      <c r="L140" s="28">
        <v>45504</v>
      </c>
      <c r="M140" s="29">
        <v>2807</v>
      </c>
      <c r="N140" s="29">
        <v>642</v>
      </c>
      <c r="O140" s="29">
        <v>1222</v>
      </c>
      <c r="P140" s="29">
        <v>943</v>
      </c>
      <c r="Q140" s="29">
        <v>392</v>
      </c>
      <c r="R140" s="29">
        <v>82</v>
      </c>
      <c r="S140" s="29">
        <v>181</v>
      </c>
      <c r="T140" s="29">
        <v>129</v>
      </c>
      <c r="U140" s="33"/>
      <c r="V140" s="30">
        <v>100</v>
      </c>
      <c r="W140" s="30">
        <v>989.35</v>
      </c>
      <c r="X140" s="30">
        <v>1207.01</v>
      </c>
      <c r="Z140" s="30">
        <v>430.93</v>
      </c>
      <c r="AA140" s="30">
        <v>223.39</v>
      </c>
      <c r="AB140" s="30">
        <v>299.94</v>
      </c>
      <c r="AD140" s="30">
        <v>217.66</v>
      </c>
      <c r="AE140" s="30">
        <v>35.090000000000003</v>
      </c>
      <c r="AG140" s="30">
        <v>93</v>
      </c>
      <c r="AH140" s="30" t="s">
        <v>177</v>
      </c>
      <c r="AI140" s="30" t="s">
        <v>178</v>
      </c>
    </row>
    <row r="141" spans="1:35" ht="15" customHeight="1" x14ac:dyDescent="0.2">
      <c r="A141" s="27" t="s">
        <v>434</v>
      </c>
      <c r="B141" s="27" t="s">
        <v>156</v>
      </c>
      <c r="C141" s="27" t="s">
        <v>157</v>
      </c>
      <c r="D141" s="27" t="s">
        <v>435</v>
      </c>
      <c r="E141" s="28">
        <v>45546</v>
      </c>
      <c r="F141" s="28">
        <v>45581</v>
      </c>
      <c r="G141" s="27" t="s">
        <v>159</v>
      </c>
      <c r="H141" s="27" t="s">
        <v>249</v>
      </c>
      <c r="I141" s="27" t="s">
        <v>81</v>
      </c>
      <c r="J141" s="27" t="s">
        <v>161</v>
      </c>
      <c r="K141" s="28">
        <v>45505</v>
      </c>
      <c r="L141" s="28">
        <v>45535</v>
      </c>
      <c r="M141" s="29">
        <v>1804</v>
      </c>
      <c r="N141" s="29">
        <v>477</v>
      </c>
      <c r="O141" s="29">
        <v>438</v>
      </c>
      <c r="P141" s="29">
        <v>889</v>
      </c>
      <c r="Q141" s="29">
        <v>601</v>
      </c>
      <c r="R141" s="29">
        <v>118</v>
      </c>
      <c r="S141" s="29">
        <v>141</v>
      </c>
      <c r="T141" s="29">
        <v>342</v>
      </c>
      <c r="U141" s="33"/>
      <c r="V141" s="30">
        <v>100</v>
      </c>
      <c r="W141" s="30">
        <v>478.99</v>
      </c>
      <c r="X141" s="30">
        <v>584.37</v>
      </c>
      <c r="Z141" s="30">
        <v>284.7</v>
      </c>
      <c r="AA141" s="30">
        <v>57.01</v>
      </c>
      <c r="AB141" s="30">
        <v>114.73</v>
      </c>
      <c r="AD141" s="30">
        <v>105.38</v>
      </c>
      <c r="AE141" s="30">
        <v>22.55</v>
      </c>
      <c r="AG141" s="30">
        <v>93</v>
      </c>
      <c r="AH141" s="30" t="s">
        <v>177</v>
      </c>
      <c r="AI141" s="30" t="s">
        <v>178</v>
      </c>
    </row>
    <row r="142" spans="1:35" ht="15" customHeight="1" x14ac:dyDescent="0.2">
      <c r="A142" s="27" t="s">
        <v>430</v>
      </c>
      <c r="B142" s="27" t="s">
        <v>156</v>
      </c>
      <c r="C142" s="27" t="s">
        <v>157</v>
      </c>
      <c r="D142" s="27" t="s">
        <v>431</v>
      </c>
      <c r="E142" s="28">
        <v>45571</v>
      </c>
      <c r="F142" s="28">
        <v>45607</v>
      </c>
      <c r="G142" s="27" t="s">
        <v>159</v>
      </c>
      <c r="H142" s="27" t="s">
        <v>249</v>
      </c>
      <c r="I142" s="27" t="s">
        <v>81</v>
      </c>
      <c r="J142" s="27" t="s">
        <v>161</v>
      </c>
      <c r="K142" s="28">
        <v>45536</v>
      </c>
      <c r="L142" s="28">
        <v>45565</v>
      </c>
      <c r="M142" s="29">
        <v>1820</v>
      </c>
      <c r="N142" s="29">
        <v>709</v>
      </c>
      <c r="O142" s="29">
        <v>314</v>
      </c>
      <c r="P142" s="29">
        <v>797</v>
      </c>
      <c r="Q142" s="29">
        <v>602</v>
      </c>
      <c r="R142" s="29">
        <v>208</v>
      </c>
      <c r="S142" s="29">
        <v>84</v>
      </c>
      <c r="T142" s="29">
        <v>310</v>
      </c>
      <c r="U142" s="33"/>
      <c r="V142" s="30">
        <v>100</v>
      </c>
      <c r="W142" s="30">
        <v>474.84</v>
      </c>
      <c r="X142" s="30">
        <v>579.29999999999995</v>
      </c>
      <c r="Z142" s="30">
        <v>262.93</v>
      </c>
      <c r="AA142" s="30">
        <v>66.19</v>
      </c>
      <c r="AB142" s="30">
        <v>122.97</v>
      </c>
      <c r="AD142" s="30">
        <v>104.46</v>
      </c>
      <c r="AE142" s="30">
        <v>22.75</v>
      </c>
      <c r="AG142" s="30">
        <v>93</v>
      </c>
      <c r="AH142" s="30" t="s">
        <v>177</v>
      </c>
      <c r="AI142" s="30" t="s">
        <v>178</v>
      </c>
    </row>
    <row r="143" spans="1:35" ht="15" customHeight="1" x14ac:dyDescent="0.2">
      <c r="A143" s="27" t="s">
        <v>376</v>
      </c>
      <c r="B143" s="27" t="s">
        <v>156</v>
      </c>
      <c r="C143" s="27" t="s">
        <v>157</v>
      </c>
      <c r="D143" s="27" t="s">
        <v>377</v>
      </c>
      <c r="E143" s="28">
        <v>45604</v>
      </c>
      <c r="F143" s="28">
        <v>45639</v>
      </c>
      <c r="G143" s="27" t="s">
        <v>159</v>
      </c>
      <c r="H143" s="27" t="s">
        <v>249</v>
      </c>
      <c r="I143" s="27" t="s">
        <v>81</v>
      </c>
      <c r="J143" s="27" t="s">
        <v>161</v>
      </c>
      <c r="K143" s="28">
        <v>45566</v>
      </c>
      <c r="L143" s="28">
        <v>45596</v>
      </c>
      <c r="M143" s="29">
        <v>2349</v>
      </c>
      <c r="N143" s="29">
        <v>920</v>
      </c>
      <c r="O143" s="29">
        <v>718</v>
      </c>
      <c r="P143" s="29">
        <v>711</v>
      </c>
      <c r="Q143" s="29">
        <v>232</v>
      </c>
      <c r="R143" s="29">
        <v>94</v>
      </c>
      <c r="S143" s="29">
        <v>66</v>
      </c>
      <c r="T143" s="29">
        <v>72</v>
      </c>
      <c r="U143" s="33"/>
      <c r="V143" s="30">
        <v>100</v>
      </c>
      <c r="W143" s="30">
        <v>887</v>
      </c>
      <c r="X143" s="30">
        <v>1082.1400000000001</v>
      </c>
      <c r="Z143" s="30">
        <v>350.75</v>
      </c>
      <c r="AA143" s="30">
        <v>223.81</v>
      </c>
      <c r="AB143" s="30">
        <v>283.08</v>
      </c>
      <c r="AD143" s="30">
        <v>195.14</v>
      </c>
      <c r="AE143" s="30">
        <v>29.36</v>
      </c>
      <c r="AG143" s="30">
        <v>93</v>
      </c>
      <c r="AH143" s="30" t="s">
        <v>177</v>
      </c>
      <c r="AI143" s="30" t="s">
        <v>178</v>
      </c>
    </row>
    <row r="144" spans="1:35" ht="15" customHeight="1" x14ac:dyDescent="0.2">
      <c r="A144" s="27" t="s">
        <v>318</v>
      </c>
      <c r="B144" s="27" t="s">
        <v>156</v>
      </c>
      <c r="C144" s="27" t="s">
        <v>157</v>
      </c>
      <c r="D144" s="27" t="s">
        <v>319</v>
      </c>
      <c r="E144" s="28">
        <v>45632</v>
      </c>
      <c r="F144" s="28">
        <v>45667</v>
      </c>
      <c r="G144" s="27" t="s">
        <v>159</v>
      </c>
      <c r="H144" s="27" t="s">
        <v>249</v>
      </c>
      <c r="I144" s="27" t="s">
        <v>81</v>
      </c>
      <c r="J144" s="27" t="s">
        <v>161</v>
      </c>
      <c r="K144" s="28">
        <v>45597</v>
      </c>
      <c r="L144" s="28">
        <v>45626</v>
      </c>
      <c r="M144" s="29">
        <v>3001</v>
      </c>
      <c r="N144" s="29">
        <v>1124</v>
      </c>
      <c r="O144" s="29">
        <v>1006</v>
      </c>
      <c r="P144" s="29">
        <v>871</v>
      </c>
      <c r="Q144" s="29">
        <v>662</v>
      </c>
      <c r="R144" s="29">
        <v>312</v>
      </c>
      <c r="S144" s="29">
        <v>181</v>
      </c>
      <c r="T144" s="29">
        <v>169</v>
      </c>
      <c r="V144" s="30">
        <v>100</v>
      </c>
      <c r="W144" s="30">
        <v>1099.0999999999999</v>
      </c>
      <c r="X144" s="30">
        <v>1340.9</v>
      </c>
      <c r="Z144" s="30">
        <v>499.35</v>
      </c>
      <c r="AA144" s="30">
        <v>240.47</v>
      </c>
      <c r="AB144" s="30">
        <v>321.77</v>
      </c>
      <c r="AD144" s="30">
        <v>241.8</v>
      </c>
      <c r="AE144" s="30">
        <v>37.51</v>
      </c>
      <c r="AG144" s="30">
        <v>93</v>
      </c>
      <c r="AH144" s="30" t="s">
        <v>177</v>
      </c>
      <c r="AI144" s="30" t="s">
        <v>178</v>
      </c>
    </row>
    <row r="145" spans="1:35" ht="15" customHeight="1" x14ac:dyDescent="0.2">
      <c r="A145" s="27" t="s">
        <v>247</v>
      </c>
      <c r="B145" s="27" t="s">
        <v>156</v>
      </c>
      <c r="C145" s="27" t="s">
        <v>157</v>
      </c>
      <c r="D145" s="27" t="s">
        <v>248</v>
      </c>
      <c r="E145" s="28">
        <v>45665</v>
      </c>
      <c r="F145" s="28">
        <v>45700</v>
      </c>
      <c r="G145" s="27" t="s">
        <v>159</v>
      </c>
      <c r="H145" s="27" t="s">
        <v>249</v>
      </c>
      <c r="I145" s="27" t="s">
        <v>81</v>
      </c>
      <c r="J145" s="27" t="s">
        <v>161</v>
      </c>
      <c r="K145" s="28">
        <v>45627</v>
      </c>
      <c r="L145" s="28">
        <v>45657</v>
      </c>
      <c r="M145" s="29">
        <v>4270</v>
      </c>
      <c r="N145" s="29">
        <v>1484</v>
      </c>
      <c r="O145" s="29">
        <v>1421</v>
      </c>
      <c r="P145" s="29">
        <v>1365</v>
      </c>
      <c r="Q145" s="29">
        <v>1508</v>
      </c>
      <c r="R145" s="29">
        <v>708</v>
      </c>
      <c r="S145" s="29">
        <v>429</v>
      </c>
      <c r="T145" s="29">
        <v>371</v>
      </c>
      <c r="U145" s="33"/>
      <c r="V145" s="30">
        <v>100</v>
      </c>
      <c r="W145" s="30">
        <v>1458.29</v>
      </c>
      <c r="X145" s="30">
        <v>1779.11</v>
      </c>
      <c r="Z145" s="30">
        <v>760.64</v>
      </c>
      <c r="AA145" s="30">
        <v>260.52999999999997</v>
      </c>
      <c r="AB145" s="30">
        <v>383.74</v>
      </c>
      <c r="AD145" s="30">
        <v>320.82</v>
      </c>
      <c r="AE145" s="30">
        <v>53.38</v>
      </c>
      <c r="AG145" s="30">
        <v>93</v>
      </c>
      <c r="AH145" s="30" t="s">
        <v>177</v>
      </c>
      <c r="AI145" s="30" t="s">
        <v>178</v>
      </c>
    </row>
    <row r="146" spans="1:35" ht="15" customHeight="1" x14ac:dyDescent="0.2">
      <c r="A146" s="27" t="s">
        <v>877</v>
      </c>
      <c r="B146" s="27" t="s">
        <v>839</v>
      </c>
      <c r="C146" s="27" t="s">
        <v>840</v>
      </c>
      <c r="D146" s="27" t="s">
        <v>878</v>
      </c>
      <c r="E146" s="28">
        <v>45350</v>
      </c>
      <c r="F146" s="28">
        <v>45380</v>
      </c>
      <c r="G146" s="27" t="s">
        <v>159</v>
      </c>
      <c r="H146" s="27" t="s">
        <v>879</v>
      </c>
      <c r="I146" s="27" t="s">
        <v>78</v>
      </c>
      <c r="J146" s="27" t="s">
        <v>843</v>
      </c>
      <c r="K146" s="28">
        <v>45292</v>
      </c>
      <c r="L146" s="28">
        <v>45322</v>
      </c>
      <c r="M146" s="29">
        <v>2368</v>
      </c>
      <c r="N146" s="29">
        <v>1255</v>
      </c>
      <c r="O146" s="29">
        <v>444</v>
      </c>
      <c r="P146" s="29">
        <v>669</v>
      </c>
      <c r="Q146" s="29">
        <v>15</v>
      </c>
      <c r="R146" s="29">
        <v>4</v>
      </c>
      <c r="S146" s="29">
        <v>4</v>
      </c>
      <c r="T146" s="29">
        <v>7</v>
      </c>
      <c r="U146" s="30">
        <v>20</v>
      </c>
      <c r="V146" s="30">
        <v>22</v>
      </c>
      <c r="W146" s="30">
        <v>643.1</v>
      </c>
      <c r="X146" s="30">
        <v>784.58</v>
      </c>
      <c r="Z146" s="30">
        <v>378.33</v>
      </c>
      <c r="AA146" s="30">
        <v>84.95</v>
      </c>
      <c r="AB146" s="30">
        <v>138.38</v>
      </c>
      <c r="AC146" s="35">
        <v>11.84</v>
      </c>
      <c r="AD146" s="30">
        <v>29.6</v>
      </c>
      <c r="AE146" s="30">
        <v>141.47999999999999</v>
      </c>
      <c r="AG146" s="30">
        <v>100</v>
      </c>
      <c r="AH146" s="30" t="s">
        <v>162</v>
      </c>
      <c r="AI146" s="30" t="s">
        <v>851</v>
      </c>
    </row>
    <row r="147" spans="1:35" ht="15" customHeight="1" x14ac:dyDescent="0.2">
      <c r="A147" s="27" t="s">
        <v>830</v>
      </c>
      <c r="B147" s="27" t="s">
        <v>156</v>
      </c>
      <c r="C147" s="27" t="s">
        <v>157</v>
      </c>
      <c r="D147" s="27" t="s">
        <v>831</v>
      </c>
      <c r="E147" s="28">
        <v>45358</v>
      </c>
      <c r="F147" s="28">
        <v>45393</v>
      </c>
      <c r="G147" s="27" t="s">
        <v>159</v>
      </c>
      <c r="H147" s="27" t="s">
        <v>240</v>
      </c>
      <c r="I147" s="27" t="s">
        <v>78</v>
      </c>
      <c r="J147" s="27" t="s">
        <v>161</v>
      </c>
      <c r="K147" s="28">
        <v>45323</v>
      </c>
      <c r="L147" s="28">
        <v>45351</v>
      </c>
      <c r="M147" s="29">
        <v>2331</v>
      </c>
      <c r="N147" s="29">
        <v>1211</v>
      </c>
      <c r="O147" s="29">
        <v>477</v>
      </c>
      <c r="P147" s="29">
        <v>643</v>
      </c>
      <c r="Q147" s="29">
        <v>1</v>
      </c>
      <c r="R147" s="29">
        <v>1</v>
      </c>
      <c r="S147" s="29">
        <v>0</v>
      </c>
      <c r="T147" s="29">
        <v>0</v>
      </c>
      <c r="U147" s="33"/>
      <c r="V147" s="30">
        <v>22</v>
      </c>
      <c r="W147" s="30">
        <v>535.42999999999995</v>
      </c>
      <c r="X147" s="30">
        <v>653.22</v>
      </c>
      <c r="Z147" s="30">
        <v>284.93</v>
      </c>
      <c r="AA147" s="30">
        <v>84.48</v>
      </c>
      <c r="AB147" s="30">
        <v>136.88</v>
      </c>
      <c r="AD147" s="30">
        <v>117.79</v>
      </c>
      <c r="AE147" s="30">
        <v>29.14</v>
      </c>
      <c r="AG147" s="30">
        <v>93</v>
      </c>
      <c r="AH147" s="30" t="s">
        <v>177</v>
      </c>
      <c r="AI147" s="30" t="s">
        <v>178</v>
      </c>
    </row>
    <row r="148" spans="1:35" ht="15" customHeight="1" x14ac:dyDescent="0.2">
      <c r="A148" s="27" t="s">
        <v>728</v>
      </c>
      <c r="B148" s="27" t="s">
        <v>156</v>
      </c>
      <c r="C148" s="27" t="s">
        <v>157</v>
      </c>
      <c r="D148" s="27" t="s">
        <v>729</v>
      </c>
      <c r="E148" s="28">
        <v>45394</v>
      </c>
      <c r="F148" s="28">
        <v>45429</v>
      </c>
      <c r="G148" s="27" t="s">
        <v>159</v>
      </c>
      <c r="H148" s="27" t="s">
        <v>240</v>
      </c>
      <c r="I148" s="27" t="s">
        <v>78</v>
      </c>
      <c r="J148" s="27" t="s">
        <v>161</v>
      </c>
      <c r="K148" s="28">
        <v>45352</v>
      </c>
      <c r="L148" s="28">
        <v>45382</v>
      </c>
      <c r="M148" s="29">
        <v>2254</v>
      </c>
      <c r="N148" s="29">
        <v>1206</v>
      </c>
      <c r="O148" s="29">
        <v>419</v>
      </c>
      <c r="P148" s="29">
        <v>629</v>
      </c>
      <c r="Q148" s="29">
        <v>0</v>
      </c>
      <c r="R148" s="29">
        <v>0</v>
      </c>
      <c r="S148" s="29">
        <v>0</v>
      </c>
      <c r="T148" s="29">
        <v>0</v>
      </c>
      <c r="U148" s="33"/>
      <c r="V148" s="30">
        <v>22</v>
      </c>
      <c r="W148" s="30">
        <v>512.05999999999995</v>
      </c>
      <c r="X148" s="30">
        <v>624.71</v>
      </c>
      <c r="Z148" s="30">
        <v>266.67</v>
      </c>
      <c r="AA148" s="30">
        <v>83.48</v>
      </c>
      <c r="AB148" s="30">
        <v>133.72999999999999</v>
      </c>
      <c r="AD148" s="30">
        <v>112.65</v>
      </c>
      <c r="AE148" s="30">
        <v>28.18</v>
      </c>
      <c r="AG148" s="30">
        <v>93</v>
      </c>
      <c r="AH148" s="30" t="s">
        <v>177</v>
      </c>
      <c r="AI148" s="30" t="s">
        <v>178</v>
      </c>
    </row>
    <row r="149" spans="1:35" ht="15" customHeight="1" x14ac:dyDescent="0.2">
      <c r="A149" s="27" t="s">
        <v>714</v>
      </c>
      <c r="B149" s="27" t="s">
        <v>156</v>
      </c>
      <c r="C149" s="27" t="s">
        <v>157</v>
      </c>
      <c r="D149" s="27" t="s">
        <v>715</v>
      </c>
      <c r="E149" s="28">
        <v>45419</v>
      </c>
      <c r="F149" s="28">
        <v>45454</v>
      </c>
      <c r="G149" s="27" t="s">
        <v>159</v>
      </c>
      <c r="H149" s="27" t="s">
        <v>240</v>
      </c>
      <c r="I149" s="27" t="s">
        <v>78</v>
      </c>
      <c r="J149" s="27" t="s">
        <v>161</v>
      </c>
      <c r="K149" s="28">
        <v>45383</v>
      </c>
      <c r="L149" s="28">
        <v>45412</v>
      </c>
      <c r="M149" s="29">
        <v>1788</v>
      </c>
      <c r="N149" s="29">
        <v>1022</v>
      </c>
      <c r="O149" s="29">
        <v>283</v>
      </c>
      <c r="P149" s="29">
        <v>483</v>
      </c>
      <c r="Q149" s="29">
        <v>0</v>
      </c>
      <c r="R149" s="29">
        <v>0</v>
      </c>
      <c r="S149" s="29">
        <v>0</v>
      </c>
      <c r="T149" s="29">
        <v>0</v>
      </c>
      <c r="U149" s="33"/>
      <c r="V149" s="30">
        <v>22</v>
      </c>
      <c r="W149" s="30">
        <v>433.6</v>
      </c>
      <c r="X149" s="30">
        <v>528.99</v>
      </c>
      <c r="Z149" s="30">
        <v>200.15</v>
      </c>
      <c r="AA149" s="30">
        <v>77.510000000000005</v>
      </c>
      <c r="AB149" s="30">
        <v>133.59</v>
      </c>
      <c r="AD149" s="30">
        <v>95.39</v>
      </c>
      <c r="AE149" s="30">
        <v>22.35</v>
      </c>
      <c r="AG149" s="30">
        <v>93</v>
      </c>
      <c r="AH149" s="30" t="s">
        <v>177</v>
      </c>
      <c r="AI149" s="30" t="s">
        <v>178</v>
      </c>
    </row>
    <row r="150" spans="1:35" ht="15" customHeight="1" x14ac:dyDescent="0.2">
      <c r="A150" s="27" t="s">
        <v>656</v>
      </c>
      <c r="B150" s="27" t="s">
        <v>156</v>
      </c>
      <c r="C150" s="27" t="s">
        <v>157</v>
      </c>
      <c r="D150" s="27" t="s">
        <v>657</v>
      </c>
      <c r="E150" s="28">
        <v>45449</v>
      </c>
      <c r="F150" s="28">
        <v>45484</v>
      </c>
      <c r="G150" s="27" t="s">
        <v>159</v>
      </c>
      <c r="H150" s="27" t="s">
        <v>240</v>
      </c>
      <c r="I150" s="27" t="s">
        <v>78</v>
      </c>
      <c r="J150" s="27" t="s">
        <v>161</v>
      </c>
      <c r="K150" s="28">
        <v>45413</v>
      </c>
      <c r="L150" s="28">
        <v>45417</v>
      </c>
      <c r="M150" s="29">
        <v>1706</v>
      </c>
      <c r="N150" s="29">
        <v>1153</v>
      </c>
      <c r="O150" s="29">
        <v>223</v>
      </c>
      <c r="P150" s="29">
        <v>330</v>
      </c>
      <c r="Q150" s="29">
        <v>2</v>
      </c>
      <c r="R150" s="29">
        <v>0</v>
      </c>
      <c r="S150" s="29">
        <v>2</v>
      </c>
      <c r="T150" s="29">
        <v>0</v>
      </c>
      <c r="U150" s="33"/>
      <c r="V150" s="30">
        <v>22</v>
      </c>
      <c r="W150" s="30">
        <v>432.17</v>
      </c>
      <c r="X150" s="30">
        <v>527.25</v>
      </c>
      <c r="Z150" s="30">
        <v>204.67</v>
      </c>
      <c r="AA150" s="30">
        <v>76.459999999999994</v>
      </c>
      <c r="AB150" s="30">
        <v>129.71</v>
      </c>
      <c r="AD150" s="30">
        <v>95.08</v>
      </c>
      <c r="AE150" s="30">
        <v>3.33</v>
      </c>
      <c r="AG150" s="30">
        <v>93</v>
      </c>
      <c r="AH150" s="30" t="s">
        <v>177</v>
      </c>
      <c r="AI150" s="30" t="s">
        <v>178</v>
      </c>
    </row>
    <row r="151" spans="1:35" ht="15" customHeight="1" x14ac:dyDescent="0.2">
      <c r="A151" s="27" t="s">
        <v>604</v>
      </c>
      <c r="B151" s="27" t="s">
        <v>156</v>
      </c>
      <c r="C151" s="27" t="s">
        <v>157</v>
      </c>
      <c r="D151" s="27" t="s">
        <v>605</v>
      </c>
      <c r="E151" s="28">
        <v>45478</v>
      </c>
      <c r="F151" s="28">
        <v>45513</v>
      </c>
      <c r="G151" s="27" t="s">
        <v>159</v>
      </c>
      <c r="H151" s="27" t="s">
        <v>240</v>
      </c>
      <c r="I151" s="27" t="s">
        <v>78</v>
      </c>
      <c r="J151" s="27" t="s">
        <v>161</v>
      </c>
      <c r="K151" s="28">
        <v>45444</v>
      </c>
      <c r="L151" s="28">
        <v>45473</v>
      </c>
      <c r="M151" s="29">
        <v>1197</v>
      </c>
      <c r="N151" s="29">
        <v>610</v>
      </c>
      <c r="O151" s="29">
        <v>206</v>
      </c>
      <c r="P151" s="29">
        <v>381</v>
      </c>
      <c r="Q151" s="29">
        <v>0</v>
      </c>
      <c r="R151" s="29">
        <v>0</v>
      </c>
      <c r="S151" s="29">
        <v>0</v>
      </c>
      <c r="T151" s="29">
        <v>0</v>
      </c>
      <c r="U151" s="33"/>
      <c r="V151" s="30">
        <v>22</v>
      </c>
      <c r="W151" s="30">
        <v>350.22</v>
      </c>
      <c r="X151" s="30">
        <v>427.27</v>
      </c>
      <c r="Z151" s="30">
        <v>159.83000000000001</v>
      </c>
      <c r="AA151" s="30">
        <v>69.930000000000007</v>
      </c>
      <c r="AB151" s="30">
        <v>105.5</v>
      </c>
      <c r="AD151" s="30">
        <v>77.05</v>
      </c>
      <c r="AE151" s="30">
        <v>14.96</v>
      </c>
      <c r="AG151" s="30">
        <v>93</v>
      </c>
      <c r="AH151" s="30" t="s">
        <v>177</v>
      </c>
      <c r="AI151" s="30" t="s">
        <v>178</v>
      </c>
    </row>
    <row r="152" spans="1:35" ht="15" customHeight="1" x14ac:dyDescent="0.2">
      <c r="A152" s="27" t="s">
        <v>542</v>
      </c>
      <c r="B152" s="27" t="s">
        <v>156</v>
      </c>
      <c r="C152" s="27" t="s">
        <v>157</v>
      </c>
      <c r="D152" s="27" t="s">
        <v>543</v>
      </c>
      <c r="E152" s="28">
        <v>45511</v>
      </c>
      <c r="F152" s="28">
        <v>45546</v>
      </c>
      <c r="G152" s="27" t="s">
        <v>159</v>
      </c>
      <c r="H152" s="27" t="s">
        <v>240</v>
      </c>
      <c r="I152" s="27" t="s">
        <v>78</v>
      </c>
      <c r="J152" s="27" t="s">
        <v>161</v>
      </c>
      <c r="K152" s="28">
        <v>45474</v>
      </c>
      <c r="L152" s="28">
        <v>45504</v>
      </c>
      <c r="M152" s="29">
        <v>690</v>
      </c>
      <c r="N152" s="29">
        <v>235</v>
      </c>
      <c r="O152" s="29">
        <v>142</v>
      </c>
      <c r="P152" s="29">
        <v>313</v>
      </c>
      <c r="Q152" s="29">
        <v>0</v>
      </c>
      <c r="R152" s="29">
        <v>0</v>
      </c>
      <c r="S152" s="29">
        <v>0</v>
      </c>
      <c r="T152" s="29">
        <v>0</v>
      </c>
      <c r="U152" s="33"/>
      <c r="V152" s="30">
        <v>22</v>
      </c>
      <c r="W152" s="30">
        <v>265.04000000000002</v>
      </c>
      <c r="X152" s="30">
        <v>323.35000000000002</v>
      </c>
      <c r="Z152" s="30">
        <v>105.42</v>
      </c>
      <c r="AA152" s="30">
        <v>69.59</v>
      </c>
      <c r="AB152" s="30">
        <v>81.400000000000006</v>
      </c>
      <c r="AD152" s="30">
        <v>58.31</v>
      </c>
      <c r="AE152" s="30">
        <v>8.6300000000000008</v>
      </c>
      <c r="AG152" s="30">
        <v>93</v>
      </c>
      <c r="AH152" s="30" t="s">
        <v>177</v>
      </c>
      <c r="AI152" s="30" t="s">
        <v>178</v>
      </c>
    </row>
    <row r="153" spans="1:35" ht="15" customHeight="1" x14ac:dyDescent="0.2">
      <c r="A153" s="27" t="s">
        <v>486</v>
      </c>
      <c r="B153" s="27" t="s">
        <v>156</v>
      </c>
      <c r="C153" s="27" t="s">
        <v>157</v>
      </c>
      <c r="D153" s="27" t="s">
        <v>487</v>
      </c>
      <c r="E153" s="28">
        <v>45541</v>
      </c>
      <c r="F153" s="28">
        <v>45576</v>
      </c>
      <c r="G153" s="27" t="s">
        <v>159</v>
      </c>
      <c r="H153" s="27" t="s">
        <v>240</v>
      </c>
      <c r="I153" s="27" t="s">
        <v>78</v>
      </c>
      <c r="J153" s="27" t="s">
        <v>161</v>
      </c>
      <c r="K153" s="28">
        <v>45505</v>
      </c>
      <c r="L153" s="28">
        <v>45535</v>
      </c>
      <c r="M153" s="29">
        <v>651</v>
      </c>
      <c r="N153" s="29">
        <v>168</v>
      </c>
      <c r="O153" s="29">
        <v>150</v>
      </c>
      <c r="P153" s="29">
        <v>333</v>
      </c>
      <c r="Q153" s="29">
        <v>0</v>
      </c>
      <c r="R153" s="29">
        <v>0</v>
      </c>
      <c r="S153" s="29">
        <v>0</v>
      </c>
      <c r="T153" s="29">
        <v>0</v>
      </c>
      <c r="U153" s="33"/>
      <c r="V153" s="30">
        <v>22</v>
      </c>
      <c r="W153" s="30">
        <v>259.83999999999997</v>
      </c>
      <c r="X153" s="30">
        <v>317</v>
      </c>
      <c r="Z153" s="30">
        <v>102.71</v>
      </c>
      <c r="AA153" s="30">
        <v>69.44</v>
      </c>
      <c r="AB153" s="30">
        <v>79.55</v>
      </c>
      <c r="AD153" s="30">
        <v>57.16</v>
      </c>
      <c r="AE153" s="30">
        <v>8.14</v>
      </c>
      <c r="AG153" s="30">
        <v>93</v>
      </c>
      <c r="AH153" s="30" t="s">
        <v>177</v>
      </c>
      <c r="AI153" s="30" t="s">
        <v>178</v>
      </c>
    </row>
    <row r="154" spans="1:35" ht="15" customHeight="1" x14ac:dyDescent="0.2">
      <c r="A154" s="27" t="s">
        <v>424</v>
      </c>
      <c r="B154" s="27" t="s">
        <v>156</v>
      </c>
      <c r="C154" s="27" t="s">
        <v>157</v>
      </c>
      <c r="D154" s="27" t="s">
        <v>425</v>
      </c>
      <c r="E154" s="28">
        <v>45571</v>
      </c>
      <c r="F154" s="28">
        <v>45607</v>
      </c>
      <c r="G154" s="27" t="s">
        <v>159</v>
      </c>
      <c r="H154" s="27" t="s">
        <v>240</v>
      </c>
      <c r="I154" s="27" t="s">
        <v>78</v>
      </c>
      <c r="J154" s="27" t="s">
        <v>161</v>
      </c>
      <c r="K154" s="28">
        <v>45536</v>
      </c>
      <c r="L154" s="28">
        <v>45565</v>
      </c>
      <c r="M154" s="29">
        <v>1449</v>
      </c>
      <c r="N154" s="29">
        <v>850</v>
      </c>
      <c r="O154" s="29">
        <v>228</v>
      </c>
      <c r="P154" s="29">
        <v>371</v>
      </c>
      <c r="Q154" s="29">
        <v>0</v>
      </c>
      <c r="R154" s="29">
        <v>0</v>
      </c>
      <c r="S154" s="29">
        <v>0</v>
      </c>
      <c r="T154" s="29">
        <v>0</v>
      </c>
      <c r="V154" s="30">
        <v>22</v>
      </c>
      <c r="W154" s="30">
        <v>429.58</v>
      </c>
      <c r="X154" s="30">
        <v>524.09</v>
      </c>
      <c r="Z154" s="30">
        <v>213.98</v>
      </c>
      <c r="AA154" s="30">
        <v>80.010000000000005</v>
      </c>
      <c r="AB154" s="30">
        <v>117.48</v>
      </c>
      <c r="AD154" s="30">
        <v>94.51</v>
      </c>
      <c r="AE154" s="30">
        <v>18.11</v>
      </c>
      <c r="AG154" s="30">
        <v>93</v>
      </c>
      <c r="AH154" s="30" t="s">
        <v>177</v>
      </c>
      <c r="AI154" s="30" t="s">
        <v>178</v>
      </c>
    </row>
    <row r="155" spans="1:35" ht="15" customHeight="1" x14ac:dyDescent="0.2">
      <c r="A155" s="27" t="s">
        <v>370</v>
      </c>
      <c r="B155" s="27" t="s">
        <v>156</v>
      </c>
      <c r="C155" s="27" t="s">
        <v>157</v>
      </c>
      <c r="D155" s="27" t="s">
        <v>371</v>
      </c>
      <c r="E155" s="28">
        <v>45604</v>
      </c>
      <c r="F155" s="28">
        <v>45639</v>
      </c>
      <c r="G155" s="27" t="s">
        <v>159</v>
      </c>
      <c r="H155" s="27" t="s">
        <v>240</v>
      </c>
      <c r="I155" s="27" t="s">
        <v>78</v>
      </c>
      <c r="J155" s="27" t="s">
        <v>161</v>
      </c>
      <c r="K155" s="28">
        <v>45566</v>
      </c>
      <c r="L155" s="28">
        <v>45596</v>
      </c>
      <c r="M155" s="29">
        <v>2270</v>
      </c>
      <c r="N155" s="29">
        <v>1475</v>
      </c>
      <c r="O155" s="29">
        <v>338</v>
      </c>
      <c r="P155" s="29">
        <v>457</v>
      </c>
      <c r="Q155" s="29">
        <v>1</v>
      </c>
      <c r="R155" s="29">
        <v>0</v>
      </c>
      <c r="S155" s="29">
        <v>1</v>
      </c>
      <c r="T155" s="29">
        <v>0</v>
      </c>
      <c r="V155" s="30">
        <v>22</v>
      </c>
      <c r="W155" s="30">
        <v>615.54999999999995</v>
      </c>
      <c r="X155" s="30">
        <v>750.97</v>
      </c>
      <c r="Z155" s="30">
        <v>342.63</v>
      </c>
      <c r="AA155" s="30">
        <v>88.03</v>
      </c>
      <c r="AB155" s="30">
        <v>156.51</v>
      </c>
      <c r="AD155" s="30">
        <v>135.41999999999999</v>
      </c>
      <c r="AE155" s="30">
        <v>28.38</v>
      </c>
      <c r="AG155" s="30">
        <v>93</v>
      </c>
      <c r="AH155" s="30" t="s">
        <v>177</v>
      </c>
      <c r="AI155" s="30" t="s">
        <v>178</v>
      </c>
    </row>
    <row r="156" spans="1:35" ht="15" customHeight="1" x14ac:dyDescent="0.2">
      <c r="A156" s="27" t="s">
        <v>312</v>
      </c>
      <c r="B156" s="27" t="s">
        <v>156</v>
      </c>
      <c r="C156" s="27" t="s">
        <v>157</v>
      </c>
      <c r="D156" s="27" t="s">
        <v>313</v>
      </c>
      <c r="E156" s="28">
        <v>45632</v>
      </c>
      <c r="F156" s="28">
        <v>45667</v>
      </c>
      <c r="G156" s="27" t="s">
        <v>159</v>
      </c>
      <c r="H156" s="27" t="s">
        <v>240</v>
      </c>
      <c r="I156" s="27" t="s">
        <v>78</v>
      </c>
      <c r="J156" s="27" t="s">
        <v>161</v>
      </c>
      <c r="K156" s="28">
        <v>45597</v>
      </c>
      <c r="L156" s="28">
        <v>45626</v>
      </c>
      <c r="M156" s="29">
        <v>1940</v>
      </c>
      <c r="N156" s="29">
        <v>1144</v>
      </c>
      <c r="O156" s="29">
        <v>308</v>
      </c>
      <c r="P156" s="29">
        <v>488</v>
      </c>
      <c r="Q156" s="29">
        <v>6</v>
      </c>
      <c r="R156" s="29">
        <v>3</v>
      </c>
      <c r="S156" s="29">
        <v>2</v>
      </c>
      <c r="T156" s="29">
        <v>1</v>
      </c>
      <c r="V156" s="30">
        <v>22</v>
      </c>
      <c r="W156" s="30">
        <v>576.52</v>
      </c>
      <c r="X156" s="30">
        <v>703.35</v>
      </c>
      <c r="Z156" s="30">
        <v>328.25</v>
      </c>
      <c r="AA156" s="30">
        <v>83.2</v>
      </c>
      <c r="AB156" s="30">
        <v>140.82</v>
      </c>
      <c r="AD156" s="30">
        <v>126.83</v>
      </c>
      <c r="AE156" s="30">
        <v>24.25</v>
      </c>
      <c r="AG156" s="30">
        <v>93</v>
      </c>
      <c r="AH156" s="30" t="s">
        <v>177</v>
      </c>
      <c r="AI156" s="30" t="s">
        <v>178</v>
      </c>
    </row>
    <row r="157" spans="1:35" ht="15" customHeight="1" x14ac:dyDescent="0.2">
      <c r="A157" s="27" t="s">
        <v>238</v>
      </c>
      <c r="B157" s="27" t="s">
        <v>156</v>
      </c>
      <c r="C157" s="27" t="s">
        <v>157</v>
      </c>
      <c r="D157" s="27" t="s">
        <v>239</v>
      </c>
      <c r="E157" s="28">
        <v>45665</v>
      </c>
      <c r="F157" s="28">
        <v>45700</v>
      </c>
      <c r="G157" s="27" t="s">
        <v>159</v>
      </c>
      <c r="H157" s="27" t="s">
        <v>240</v>
      </c>
      <c r="I157" s="27" t="s">
        <v>78</v>
      </c>
      <c r="J157" s="27" t="s">
        <v>161</v>
      </c>
      <c r="K157" s="28">
        <v>45627</v>
      </c>
      <c r="L157" s="28">
        <v>45657</v>
      </c>
      <c r="M157" s="29">
        <v>1986</v>
      </c>
      <c r="N157" s="29">
        <v>1145</v>
      </c>
      <c r="O157" s="29">
        <v>327</v>
      </c>
      <c r="P157" s="29">
        <v>514</v>
      </c>
      <c r="Q157" s="29">
        <v>0</v>
      </c>
      <c r="R157" s="29">
        <v>0</v>
      </c>
      <c r="S157" s="29">
        <v>0</v>
      </c>
      <c r="T157" s="29">
        <v>0</v>
      </c>
      <c r="U157" s="33"/>
      <c r="V157" s="30">
        <v>22</v>
      </c>
      <c r="W157" s="30">
        <v>617.22</v>
      </c>
      <c r="X157" s="30">
        <v>753.01</v>
      </c>
      <c r="Z157" s="30">
        <v>364.27</v>
      </c>
      <c r="AA157" s="30">
        <v>85.11</v>
      </c>
      <c r="AB157" s="30">
        <v>143.01</v>
      </c>
      <c r="AD157" s="30">
        <v>135.79</v>
      </c>
      <c r="AE157" s="30">
        <v>24.83</v>
      </c>
      <c r="AG157" s="30">
        <v>93</v>
      </c>
      <c r="AH157" s="30" t="s">
        <v>177</v>
      </c>
      <c r="AI157" s="30" t="s">
        <v>178</v>
      </c>
    </row>
    <row r="158" spans="1:35" ht="15" customHeight="1" x14ac:dyDescent="0.2">
      <c r="A158" s="27" t="s">
        <v>862</v>
      </c>
      <c r="B158" s="27" t="s">
        <v>839</v>
      </c>
      <c r="C158" s="27" t="s">
        <v>840</v>
      </c>
      <c r="D158" s="27" t="s">
        <v>863</v>
      </c>
      <c r="E158" s="28">
        <v>45350</v>
      </c>
      <c r="F158" s="28">
        <v>45380</v>
      </c>
      <c r="G158" s="27" t="s">
        <v>159</v>
      </c>
      <c r="H158" s="27" t="s">
        <v>864</v>
      </c>
      <c r="I158" s="27" t="s">
        <v>34</v>
      </c>
      <c r="J158" s="27" t="s">
        <v>843</v>
      </c>
      <c r="K158" s="28">
        <v>45292</v>
      </c>
      <c r="L158" s="28">
        <v>45322</v>
      </c>
      <c r="M158" s="29">
        <v>186</v>
      </c>
      <c r="N158" s="29">
        <v>47</v>
      </c>
      <c r="O158" s="29">
        <v>54</v>
      </c>
      <c r="P158" s="29">
        <v>85</v>
      </c>
      <c r="Q158" s="29">
        <v>59</v>
      </c>
      <c r="R158" s="29">
        <v>20</v>
      </c>
      <c r="S158" s="29">
        <v>14</v>
      </c>
      <c r="T158" s="29">
        <v>25</v>
      </c>
      <c r="U158" s="30">
        <v>3</v>
      </c>
      <c r="V158" s="30">
        <v>3.3</v>
      </c>
      <c r="W158" s="30">
        <v>59.36</v>
      </c>
      <c r="X158" s="30">
        <v>72.42</v>
      </c>
      <c r="Z158" s="30">
        <v>28.88</v>
      </c>
      <c r="AA158" s="30">
        <v>12.12</v>
      </c>
      <c r="AB158" s="30">
        <v>15.1</v>
      </c>
      <c r="AC158" s="35">
        <v>0.93</v>
      </c>
      <c r="AD158" s="30">
        <v>2.33</v>
      </c>
      <c r="AE158" s="30">
        <v>13.06</v>
      </c>
      <c r="AG158" s="30">
        <v>100</v>
      </c>
      <c r="AH158" s="30" t="s">
        <v>162</v>
      </c>
      <c r="AI158" s="30" t="s">
        <v>851</v>
      </c>
    </row>
    <row r="159" spans="1:35" ht="15" customHeight="1" x14ac:dyDescent="0.2">
      <c r="A159" s="27" t="s">
        <v>804</v>
      </c>
      <c r="B159" s="27" t="s">
        <v>156</v>
      </c>
      <c r="C159" s="27" t="s">
        <v>157</v>
      </c>
      <c r="D159" s="27" t="s">
        <v>805</v>
      </c>
      <c r="E159" s="28">
        <v>45358</v>
      </c>
      <c r="F159" s="28">
        <v>45393</v>
      </c>
      <c r="G159" s="27" t="s">
        <v>159</v>
      </c>
      <c r="H159" s="27" t="s">
        <v>199</v>
      </c>
      <c r="I159" s="27" t="s">
        <v>34</v>
      </c>
      <c r="J159" s="27" t="s">
        <v>161</v>
      </c>
      <c r="K159" s="28">
        <v>45323</v>
      </c>
      <c r="L159" s="28">
        <v>45351</v>
      </c>
      <c r="M159" s="29">
        <v>128</v>
      </c>
      <c r="N159" s="29">
        <v>28</v>
      </c>
      <c r="O159" s="29">
        <v>45</v>
      </c>
      <c r="P159" s="29">
        <v>55</v>
      </c>
      <c r="Q159" s="29">
        <v>46</v>
      </c>
      <c r="R159" s="29">
        <v>16</v>
      </c>
      <c r="S159" s="29">
        <v>12</v>
      </c>
      <c r="T159" s="29">
        <v>18</v>
      </c>
      <c r="U159" s="30">
        <v>3</v>
      </c>
      <c r="V159" s="30">
        <v>3.3</v>
      </c>
      <c r="W159" s="30">
        <v>40.98</v>
      </c>
      <c r="X159" s="30">
        <v>50</v>
      </c>
      <c r="Z159" s="30">
        <v>15.31</v>
      </c>
      <c r="AA159" s="30">
        <v>11.38</v>
      </c>
      <c r="AB159" s="30">
        <v>12.69</v>
      </c>
      <c r="AD159" s="30">
        <v>9.02</v>
      </c>
      <c r="AE159" s="30">
        <v>1.6</v>
      </c>
      <c r="AG159" s="30">
        <v>100</v>
      </c>
      <c r="AH159" s="30" t="s">
        <v>162</v>
      </c>
      <c r="AI159" s="30" t="s">
        <v>163</v>
      </c>
    </row>
    <row r="160" spans="1:35" ht="15" customHeight="1" x14ac:dyDescent="0.2">
      <c r="A160" s="27" t="s">
        <v>756</v>
      </c>
      <c r="B160" s="27" t="s">
        <v>156</v>
      </c>
      <c r="C160" s="27" t="s">
        <v>157</v>
      </c>
      <c r="D160" s="27" t="s">
        <v>757</v>
      </c>
      <c r="E160" s="28">
        <v>45390</v>
      </c>
      <c r="F160" s="28">
        <v>45425</v>
      </c>
      <c r="G160" s="27" t="s">
        <v>159</v>
      </c>
      <c r="H160" s="27" t="s">
        <v>199</v>
      </c>
      <c r="I160" s="27" t="s">
        <v>34</v>
      </c>
      <c r="J160" s="27" t="s">
        <v>161</v>
      </c>
      <c r="K160" s="28">
        <v>45352</v>
      </c>
      <c r="L160" s="28">
        <v>45382</v>
      </c>
      <c r="M160" s="29">
        <v>105</v>
      </c>
      <c r="N160" s="29">
        <v>22</v>
      </c>
      <c r="O160" s="29">
        <v>36</v>
      </c>
      <c r="P160" s="29">
        <v>47</v>
      </c>
      <c r="Q160" s="29">
        <v>49</v>
      </c>
      <c r="R160" s="29">
        <v>17</v>
      </c>
      <c r="S160" s="29">
        <v>14</v>
      </c>
      <c r="T160" s="29">
        <v>18</v>
      </c>
      <c r="U160" s="30">
        <v>3</v>
      </c>
      <c r="V160" s="30">
        <v>3.3</v>
      </c>
      <c r="W160" s="30">
        <v>36.32</v>
      </c>
      <c r="X160" s="30">
        <v>44.31</v>
      </c>
      <c r="Z160" s="30">
        <v>12.19</v>
      </c>
      <c r="AA160" s="30">
        <v>11.08</v>
      </c>
      <c r="AB160" s="30">
        <v>11.74</v>
      </c>
      <c r="AD160" s="30">
        <v>7.99</v>
      </c>
      <c r="AE160" s="30">
        <v>1.31</v>
      </c>
      <c r="AG160" s="30">
        <v>100</v>
      </c>
      <c r="AH160" s="30" t="s">
        <v>162</v>
      </c>
      <c r="AI160" s="30" t="s">
        <v>163</v>
      </c>
    </row>
    <row r="161" spans="1:35" ht="15" customHeight="1" x14ac:dyDescent="0.2">
      <c r="A161" s="27" t="s">
        <v>688</v>
      </c>
      <c r="B161" s="27" t="s">
        <v>156</v>
      </c>
      <c r="C161" s="27" t="s">
        <v>157</v>
      </c>
      <c r="D161" s="27" t="s">
        <v>689</v>
      </c>
      <c r="E161" s="28">
        <v>45419</v>
      </c>
      <c r="F161" s="28">
        <v>45454</v>
      </c>
      <c r="G161" s="27" t="s">
        <v>159</v>
      </c>
      <c r="H161" s="27" t="s">
        <v>199</v>
      </c>
      <c r="I161" s="27" t="s">
        <v>34</v>
      </c>
      <c r="J161" s="27" t="s">
        <v>161</v>
      </c>
      <c r="K161" s="28">
        <v>45383</v>
      </c>
      <c r="L161" s="28">
        <v>45411</v>
      </c>
      <c r="M161" s="29">
        <v>97</v>
      </c>
      <c r="N161" s="29">
        <v>19</v>
      </c>
      <c r="O161" s="29">
        <v>32</v>
      </c>
      <c r="P161" s="29">
        <v>46</v>
      </c>
      <c r="Q161" s="29">
        <v>48</v>
      </c>
      <c r="R161" s="29">
        <v>17</v>
      </c>
      <c r="S161" s="29">
        <v>12</v>
      </c>
      <c r="T161" s="29">
        <v>19</v>
      </c>
      <c r="U161" s="30">
        <v>3</v>
      </c>
      <c r="V161" s="30">
        <v>3.3</v>
      </c>
      <c r="W161" s="30">
        <v>36.729999999999997</v>
      </c>
      <c r="X161" s="30">
        <v>44.81</v>
      </c>
      <c r="Z161" s="30">
        <v>11.19</v>
      </c>
      <c r="AA161" s="30">
        <v>10.99</v>
      </c>
      <c r="AB161" s="30">
        <v>13.33</v>
      </c>
      <c r="AD161" s="30">
        <v>8.08</v>
      </c>
      <c r="AE161" s="30">
        <v>1.21</v>
      </c>
      <c r="AG161" s="30">
        <v>100</v>
      </c>
      <c r="AH161" s="30" t="s">
        <v>162</v>
      </c>
      <c r="AI161" s="30" t="s">
        <v>163</v>
      </c>
    </row>
    <row r="162" spans="1:35" ht="15" customHeight="1" x14ac:dyDescent="0.2">
      <c r="A162" s="27" t="s">
        <v>630</v>
      </c>
      <c r="B162" s="27" t="s">
        <v>156</v>
      </c>
      <c r="C162" s="27" t="s">
        <v>157</v>
      </c>
      <c r="D162" s="27" t="s">
        <v>631</v>
      </c>
      <c r="E162" s="28">
        <v>45449</v>
      </c>
      <c r="F162" s="28">
        <v>45484</v>
      </c>
      <c r="G162" s="27" t="s">
        <v>159</v>
      </c>
      <c r="H162" s="27" t="s">
        <v>199</v>
      </c>
      <c r="I162" s="27" t="s">
        <v>34</v>
      </c>
      <c r="J162" s="27" t="s">
        <v>161</v>
      </c>
      <c r="K162" s="28">
        <v>45413</v>
      </c>
      <c r="L162" s="28">
        <v>45443</v>
      </c>
      <c r="M162" s="29">
        <v>96</v>
      </c>
      <c r="N162" s="29">
        <v>21</v>
      </c>
      <c r="O162" s="29">
        <v>33</v>
      </c>
      <c r="P162" s="29">
        <v>42</v>
      </c>
      <c r="Q162" s="29">
        <v>48</v>
      </c>
      <c r="R162" s="29">
        <v>18</v>
      </c>
      <c r="S162" s="29">
        <v>13</v>
      </c>
      <c r="T162" s="29">
        <v>17</v>
      </c>
      <c r="U162" s="30">
        <v>3</v>
      </c>
      <c r="V162" s="30">
        <v>3.3</v>
      </c>
      <c r="W162" s="30">
        <v>37.14</v>
      </c>
      <c r="X162" s="30">
        <v>45.31</v>
      </c>
      <c r="Z162" s="30">
        <v>11.74</v>
      </c>
      <c r="AA162" s="30">
        <v>10.97</v>
      </c>
      <c r="AB162" s="30">
        <v>13.23</v>
      </c>
      <c r="AD162" s="30">
        <v>8.17</v>
      </c>
      <c r="AE162" s="30">
        <v>1.2</v>
      </c>
      <c r="AG162" s="30">
        <v>100</v>
      </c>
      <c r="AH162" s="30" t="s">
        <v>162</v>
      </c>
      <c r="AI162" s="30" t="s">
        <v>163</v>
      </c>
    </row>
    <row r="163" spans="1:35" ht="15" customHeight="1" x14ac:dyDescent="0.2">
      <c r="A163" s="27" t="s">
        <v>560</v>
      </c>
      <c r="B163" s="27" t="s">
        <v>156</v>
      </c>
      <c r="C163" s="27" t="s">
        <v>157</v>
      </c>
      <c r="D163" s="27" t="s">
        <v>561</v>
      </c>
      <c r="E163" s="28">
        <v>45482</v>
      </c>
      <c r="F163" s="28">
        <v>45517</v>
      </c>
      <c r="G163" s="27" t="s">
        <v>159</v>
      </c>
      <c r="H163" s="27" t="s">
        <v>199</v>
      </c>
      <c r="I163" s="27" t="s">
        <v>34</v>
      </c>
      <c r="J163" s="27" t="s">
        <v>161</v>
      </c>
      <c r="K163" s="28">
        <v>45444</v>
      </c>
      <c r="L163" s="28">
        <v>45473</v>
      </c>
      <c r="M163" s="29">
        <v>154</v>
      </c>
      <c r="N163" s="29">
        <v>31</v>
      </c>
      <c r="O163" s="29">
        <v>41</v>
      </c>
      <c r="P163" s="29">
        <v>82</v>
      </c>
      <c r="Q163" s="29">
        <v>48</v>
      </c>
      <c r="R163" s="29">
        <v>17</v>
      </c>
      <c r="S163" s="29">
        <v>12</v>
      </c>
      <c r="T163" s="29">
        <v>19</v>
      </c>
      <c r="U163" s="35">
        <v>3</v>
      </c>
      <c r="V163" s="30">
        <v>3.3</v>
      </c>
      <c r="W163" s="30">
        <v>50.1</v>
      </c>
      <c r="X163" s="30">
        <v>61.12</v>
      </c>
      <c r="Z163" s="30">
        <v>20.420000000000002</v>
      </c>
      <c r="AA163" s="30">
        <v>11.71</v>
      </c>
      <c r="AB163" s="30">
        <v>16.04</v>
      </c>
      <c r="AD163" s="30">
        <v>11.02</v>
      </c>
      <c r="AE163" s="30">
        <v>1.93</v>
      </c>
      <c r="AG163" s="30">
        <v>100</v>
      </c>
      <c r="AH163" s="30" t="s">
        <v>162</v>
      </c>
      <c r="AI163" s="30" t="s">
        <v>163</v>
      </c>
    </row>
    <row r="164" spans="1:35" ht="15" customHeight="1" x14ac:dyDescent="0.2">
      <c r="A164" s="27" t="s">
        <v>522</v>
      </c>
      <c r="B164" s="27" t="s">
        <v>156</v>
      </c>
      <c r="C164" s="27" t="s">
        <v>157</v>
      </c>
      <c r="D164" s="27" t="s">
        <v>523</v>
      </c>
      <c r="E164" s="28">
        <v>45511</v>
      </c>
      <c r="F164" s="28">
        <v>45546</v>
      </c>
      <c r="G164" s="27" t="s">
        <v>159</v>
      </c>
      <c r="H164" s="27" t="s">
        <v>199</v>
      </c>
      <c r="I164" s="27" t="s">
        <v>34</v>
      </c>
      <c r="J164" s="27" t="s">
        <v>161</v>
      </c>
      <c r="K164" s="28">
        <v>45474</v>
      </c>
      <c r="L164" s="28">
        <v>45504</v>
      </c>
      <c r="M164" s="29">
        <v>92</v>
      </c>
      <c r="N164" s="29">
        <v>24</v>
      </c>
      <c r="O164" s="29">
        <v>23</v>
      </c>
      <c r="P164" s="29">
        <v>45</v>
      </c>
      <c r="Q164" s="29">
        <v>50</v>
      </c>
      <c r="R164" s="29">
        <v>20</v>
      </c>
      <c r="S164" s="29">
        <v>13</v>
      </c>
      <c r="T164" s="29">
        <v>17</v>
      </c>
      <c r="U164" s="35">
        <v>3</v>
      </c>
      <c r="V164" s="30">
        <v>3.3</v>
      </c>
      <c r="W164" s="30">
        <v>39.200000000000003</v>
      </c>
      <c r="X164" s="30">
        <v>47.82</v>
      </c>
      <c r="Z164" s="30">
        <v>14.1</v>
      </c>
      <c r="AA164" s="30">
        <v>10.91</v>
      </c>
      <c r="AB164" s="30">
        <v>13.04</v>
      </c>
      <c r="AD164" s="30">
        <v>8.6199999999999992</v>
      </c>
      <c r="AE164" s="30">
        <v>1.1499999999999999</v>
      </c>
      <c r="AG164" s="30">
        <v>100</v>
      </c>
      <c r="AH164" s="30" t="s">
        <v>162</v>
      </c>
      <c r="AI164" s="30" t="s">
        <v>163</v>
      </c>
    </row>
    <row r="165" spans="1:35" ht="15" customHeight="1" x14ac:dyDescent="0.2">
      <c r="A165" s="27" t="s">
        <v>462</v>
      </c>
      <c r="B165" s="27" t="s">
        <v>156</v>
      </c>
      <c r="C165" s="27" t="s">
        <v>157</v>
      </c>
      <c r="D165" s="27" t="s">
        <v>463</v>
      </c>
      <c r="E165" s="28">
        <v>45541</v>
      </c>
      <c r="F165" s="28">
        <v>45576</v>
      </c>
      <c r="G165" s="27" t="s">
        <v>159</v>
      </c>
      <c r="H165" s="27" t="s">
        <v>199</v>
      </c>
      <c r="I165" s="27" t="s">
        <v>34</v>
      </c>
      <c r="J165" s="27" t="s">
        <v>161</v>
      </c>
      <c r="K165" s="28">
        <v>45505</v>
      </c>
      <c r="L165" s="28">
        <v>45535</v>
      </c>
      <c r="M165" s="29">
        <v>98</v>
      </c>
      <c r="N165" s="29">
        <v>23</v>
      </c>
      <c r="O165" s="29">
        <v>25</v>
      </c>
      <c r="P165" s="29">
        <v>50</v>
      </c>
      <c r="Q165" s="29">
        <v>48</v>
      </c>
      <c r="R165" s="29">
        <v>18</v>
      </c>
      <c r="S165" s="29">
        <v>12</v>
      </c>
      <c r="T165" s="29">
        <v>18</v>
      </c>
      <c r="U165" s="30">
        <v>3</v>
      </c>
      <c r="V165" s="30">
        <v>3.3</v>
      </c>
      <c r="W165" s="30">
        <v>41.13</v>
      </c>
      <c r="X165" s="30">
        <v>50.18</v>
      </c>
      <c r="Z165" s="30">
        <v>15.57</v>
      </c>
      <c r="AA165" s="30">
        <v>10.99</v>
      </c>
      <c r="AB165" s="30">
        <v>13.34</v>
      </c>
      <c r="AD165" s="30">
        <v>9.0500000000000007</v>
      </c>
      <c r="AE165" s="30">
        <v>1.23</v>
      </c>
      <c r="AG165" s="30">
        <v>100</v>
      </c>
      <c r="AH165" s="30" t="s">
        <v>162</v>
      </c>
      <c r="AI165" s="30" t="s">
        <v>163</v>
      </c>
    </row>
    <row r="166" spans="1:35" ht="15" customHeight="1" x14ac:dyDescent="0.2">
      <c r="A166" s="27" t="s">
        <v>402</v>
      </c>
      <c r="B166" s="27" t="s">
        <v>156</v>
      </c>
      <c r="C166" s="27" t="s">
        <v>157</v>
      </c>
      <c r="D166" s="27" t="s">
        <v>403</v>
      </c>
      <c r="E166" s="28">
        <v>45571</v>
      </c>
      <c r="F166" s="28">
        <v>45607</v>
      </c>
      <c r="G166" s="27" t="s">
        <v>159</v>
      </c>
      <c r="H166" s="27" t="s">
        <v>199</v>
      </c>
      <c r="I166" s="27" t="s">
        <v>34</v>
      </c>
      <c r="J166" s="27" t="s">
        <v>161</v>
      </c>
      <c r="K166" s="28">
        <v>45536</v>
      </c>
      <c r="L166" s="28">
        <v>45565</v>
      </c>
      <c r="M166" s="29">
        <v>102</v>
      </c>
      <c r="N166" s="29">
        <v>21</v>
      </c>
      <c r="O166" s="29">
        <v>34</v>
      </c>
      <c r="P166" s="29">
        <v>47</v>
      </c>
      <c r="Q166" s="29">
        <v>45</v>
      </c>
      <c r="R166" s="29">
        <v>16</v>
      </c>
      <c r="S166" s="29">
        <v>12</v>
      </c>
      <c r="T166" s="29">
        <v>17</v>
      </c>
      <c r="U166" s="30">
        <v>3</v>
      </c>
      <c r="V166" s="30">
        <v>3.3</v>
      </c>
      <c r="W166" s="30">
        <v>40.69</v>
      </c>
      <c r="X166" s="30">
        <v>49.64</v>
      </c>
      <c r="Z166" s="30">
        <v>14.84</v>
      </c>
      <c r="AA166" s="30">
        <v>11.04</v>
      </c>
      <c r="AB166" s="30">
        <v>13.53</v>
      </c>
      <c r="AD166" s="30">
        <v>8.9499999999999993</v>
      </c>
      <c r="AE166" s="30">
        <v>1.28</v>
      </c>
      <c r="AG166" s="30">
        <v>100</v>
      </c>
      <c r="AH166" s="30" t="s">
        <v>162</v>
      </c>
      <c r="AI166" s="30" t="s">
        <v>163</v>
      </c>
    </row>
    <row r="167" spans="1:35" ht="15" customHeight="1" x14ac:dyDescent="0.2">
      <c r="A167" s="27" t="s">
        <v>344</v>
      </c>
      <c r="B167" s="27" t="s">
        <v>156</v>
      </c>
      <c r="C167" s="27" t="s">
        <v>157</v>
      </c>
      <c r="D167" s="27" t="s">
        <v>345</v>
      </c>
      <c r="E167" s="28">
        <v>45604</v>
      </c>
      <c r="F167" s="28">
        <v>45639</v>
      </c>
      <c r="G167" s="27" t="s">
        <v>159</v>
      </c>
      <c r="H167" s="27" t="s">
        <v>199</v>
      </c>
      <c r="I167" s="27" t="s">
        <v>34</v>
      </c>
      <c r="J167" s="27" t="s">
        <v>161</v>
      </c>
      <c r="K167" s="28">
        <v>45566</v>
      </c>
      <c r="L167" s="28">
        <v>45596</v>
      </c>
      <c r="M167" s="29">
        <v>113</v>
      </c>
      <c r="N167" s="29">
        <v>25</v>
      </c>
      <c r="O167" s="29">
        <v>41</v>
      </c>
      <c r="P167" s="29">
        <v>47</v>
      </c>
      <c r="Q167" s="29">
        <v>43</v>
      </c>
      <c r="R167" s="29">
        <v>17</v>
      </c>
      <c r="S167" s="29">
        <v>12</v>
      </c>
      <c r="T167" s="29">
        <v>14</v>
      </c>
      <c r="U167" s="30">
        <v>3</v>
      </c>
      <c r="V167" s="30">
        <v>3.3</v>
      </c>
      <c r="W167" s="30">
        <v>43.36</v>
      </c>
      <c r="X167" s="30">
        <v>52.9</v>
      </c>
      <c r="Z167" s="30">
        <v>16.71</v>
      </c>
      <c r="AA167" s="30">
        <v>11.18</v>
      </c>
      <c r="AB167" s="30">
        <v>14.06</v>
      </c>
      <c r="AD167" s="30">
        <v>9.5399999999999991</v>
      </c>
      <c r="AE167" s="30">
        <v>1.41</v>
      </c>
      <c r="AG167" s="30">
        <v>100</v>
      </c>
      <c r="AH167" s="30" t="s">
        <v>162</v>
      </c>
      <c r="AI167" s="30" t="s">
        <v>163</v>
      </c>
    </row>
    <row r="168" spans="1:35" ht="15" customHeight="1" x14ac:dyDescent="0.2">
      <c r="A168" s="27" t="s">
        <v>286</v>
      </c>
      <c r="B168" s="27" t="s">
        <v>156</v>
      </c>
      <c r="C168" s="27" t="s">
        <v>157</v>
      </c>
      <c r="D168" s="27" t="s">
        <v>287</v>
      </c>
      <c r="E168" s="28">
        <v>45632</v>
      </c>
      <c r="F168" s="28">
        <v>45667</v>
      </c>
      <c r="G168" s="27" t="s">
        <v>159</v>
      </c>
      <c r="H168" s="27" t="s">
        <v>199</v>
      </c>
      <c r="I168" s="27" t="s">
        <v>34</v>
      </c>
      <c r="J168" s="27" t="s">
        <v>161</v>
      </c>
      <c r="K168" s="28">
        <v>45597</v>
      </c>
      <c r="L168" s="28">
        <v>45626</v>
      </c>
      <c r="M168" s="29">
        <v>172</v>
      </c>
      <c r="N168" s="29">
        <v>44</v>
      </c>
      <c r="O168" s="29">
        <v>56</v>
      </c>
      <c r="P168" s="29">
        <v>72</v>
      </c>
      <c r="Q168" s="29">
        <v>56</v>
      </c>
      <c r="R168" s="29">
        <v>19</v>
      </c>
      <c r="S168" s="29">
        <v>16</v>
      </c>
      <c r="T168" s="29">
        <v>21</v>
      </c>
      <c r="U168" s="30">
        <v>3</v>
      </c>
      <c r="V168" s="30">
        <v>3.3</v>
      </c>
      <c r="W168" s="30">
        <v>58.91</v>
      </c>
      <c r="X168" s="30">
        <v>71.87</v>
      </c>
      <c r="Z168" s="30">
        <v>27.92</v>
      </c>
      <c r="AA168" s="30">
        <v>11.94</v>
      </c>
      <c r="AB168" s="30">
        <v>16.899999999999999</v>
      </c>
      <c r="AD168" s="30">
        <v>12.96</v>
      </c>
      <c r="AE168" s="30">
        <v>2.15</v>
      </c>
      <c r="AG168" s="30">
        <v>100</v>
      </c>
      <c r="AH168" s="30" t="s">
        <v>162</v>
      </c>
      <c r="AI168" s="30" t="s">
        <v>163</v>
      </c>
    </row>
    <row r="169" spans="1:35" ht="15" customHeight="1" x14ac:dyDescent="0.2">
      <c r="A169" s="27" t="s">
        <v>197</v>
      </c>
      <c r="B169" s="27" t="s">
        <v>156</v>
      </c>
      <c r="C169" s="27" t="s">
        <v>157</v>
      </c>
      <c r="D169" s="27" t="s">
        <v>198</v>
      </c>
      <c r="E169" s="28">
        <v>45665</v>
      </c>
      <c r="F169" s="28">
        <v>45700</v>
      </c>
      <c r="G169" s="27" t="s">
        <v>159</v>
      </c>
      <c r="H169" s="27" t="s">
        <v>199</v>
      </c>
      <c r="I169" s="27" t="s">
        <v>34</v>
      </c>
      <c r="J169" s="27" t="s">
        <v>161</v>
      </c>
      <c r="K169" s="28">
        <v>45627</v>
      </c>
      <c r="L169" s="28">
        <v>45657</v>
      </c>
      <c r="M169" s="29">
        <v>181</v>
      </c>
      <c r="N169" s="29">
        <v>45</v>
      </c>
      <c r="O169" s="29">
        <v>48</v>
      </c>
      <c r="P169" s="29">
        <v>88</v>
      </c>
      <c r="Q169" s="29">
        <v>57</v>
      </c>
      <c r="R169" s="29">
        <v>17</v>
      </c>
      <c r="S169" s="29">
        <v>14</v>
      </c>
      <c r="T169" s="29">
        <v>26</v>
      </c>
      <c r="U169" s="30">
        <v>3</v>
      </c>
      <c r="V169" s="30">
        <v>3.3</v>
      </c>
      <c r="W169" s="30">
        <v>62.81</v>
      </c>
      <c r="X169" s="30">
        <v>76.63</v>
      </c>
      <c r="Z169" s="30">
        <v>31.15</v>
      </c>
      <c r="AA169" s="30">
        <v>12.06</v>
      </c>
      <c r="AB169" s="30">
        <v>17.34</v>
      </c>
      <c r="AD169" s="30">
        <v>13.82</v>
      </c>
      <c r="AE169" s="30">
        <v>2.2599999999999998</v>
      </c>
      <c r="AG169" s="30">
        <v>100</v>
      </c>
      <c r="AH169" s="30" t="s">
        <v>162</v>
      </c>
      <c r="AI169" s="30" t="s">
        <v>163</v>
      </c>
    </row>
    <row r="170" spans="1:35" ht="15" customHeight="1" x14ac:dyDescent="0.2">
      <c r="A170" s="27" t="s">
        <v>892</v>
      </c>
      <c r="B170" s="27" t="s">
        <v>839</v>
      </c>
      <c r="C170" s="27" t="s">
        <v>840</v>
      </c>
      <c r="D170" s="27" t="s">
        <v>893</v>
      </c>
      <c r="E170" s="28">
        <v>45350</v>
      </c>
      <c r="F170" s="28">
        <v>45380</v>
      </c>
      <c r="G170" s="27" t="s">
        <v>159</v>
      </c>
      <c r="H170" s="27" t="s">
        <v>894</v>
      </c>
      <c r="I170" s="27" t="s">
        <v>59</v>
      </c>
      <c r="J170" s="27" t="s">
        <v>843</v>
      </c>
      <c r="K170" s="28">
        <v>45292</v>
      </c>
      <c r="L170" s="28">
        <v>45322</v>
      </c>
      <c r="M170" s="29">
        <v>162</v>
      </c>
      <c r="N170" s="29">
        <v>57</v>
      </c>
      <c r="O170" s="29">
        <v>48</v>
      </c>
      <c r="P170" s="29">
        <v>57</v>
      </c>
      <c r="Q170" s="29">
        <v>40</v>
      </c>
      <c r="R170" s="29">
        <v>11</v>
      </c>
      <c r="S170" s="29">
        <v>10</v>
      </c>
      <c r="T170" s="29">
        <v>19</v>
      </c>
      <c r="U170" s="35">
        <v>3</v>
      </c>
      <c r="V170" s="30">
        <v>3.3</v>
      </c>
      <c r="W170" s="30">
        <v>54.29</v>
      </c>
      <c r="X170" s="30">
        <v>66.23</v>
      </c>
      <c r="Z170" s="30">
        <v>25.54</v>
      </c>
      <c r="AA170" s="30">
        <v>11.81</v>
      </c>
      <c r="AB170" s="30">
        <v>14.1</v>
      </c>
      <c r="AC170" s="35">
        <v>0.81</v>
      </c>
      <c r="AD170" s="30">
        <v>2.0299999999999998</v>
      </c>
      <c r="AE170" s="30">
        <v>11.94</v>
      </c>
      <c r="AG170" s="30">
        <v>100</v>
      </c>
      <c r="AH170" s="30" t="s">
        <v>162</v>
      </c>
      <c r="AI170" s="30" t="s">
        <v>851</v>
      </c>
    </row>
    <row r="171" spans="1:35" ht="15" customHeight="1" x14ac:dyDescent="0.2">
      <c r="A171" s="27" t="s">
        <v>832</v>
      </c>
      <c r="B171" s="27" t="s">
        <v>156</v>
      </c>
      <c r="C171" s="27" t="s">
        <v>157</v>
      </c>
      <c r="D171" s="27" t="s">
        <v>833</v>
      </c>
      <c r="E171" s="28">
        <v>45358</v>
      </c>
      <c r="F171" s="28">
        <v>45393</v>
      </c>
      <c r="G171" s="27" t="s">
        <v>159</v>
      </c>
      <c r="H171" s="27" t="s">
        <v>243</v>
      </c>
      <c r="I171" s="27" t="s">
        <v>59</v>
      </c>
      <c r="J171" s="27" t="s">
        <v>161</v>
      </c>
      <c r="K171" s="28">
        <v>45323</v>
      </c>
      <c r="L171" s="28">
        <v>45351</v>
      </c>
      <c r="M171" s="29">
        <v>154</v>
      </c>
      <c r="N171" s="29">
        <v>47</v>
      </c>
      <c r="O171" s="29">
        <v>52</v>
      </c>
      <c r="P171" s="29">
        <v>55</v>
      </c>
      <c r="Q171" s="29">
        <v>38</v>
      </c>
      <c r="R171" s="29">
        <v>10</v>
      </c>
      <c r="S171" s="29">
        <v>11</v>
      </c>
      <c r="T171" s="29">
        <v>17</v>
      </c>
      <c r="U171" s="30">
        <v>3</v>
      </c>
      <c r="V171" s="30">
        <v>3.3</v>
      </c>
      <c r="W171" s="30">
        <v>46.01</v>
      </c>
      <c r="X171" s="30">
        <v>56.13</v>
      </c>
      <c r="Z171" s="30">
        <v>18.59</v>
      </c>
      <c r="AA171" s="30">
        <v>11.71</v>
      </c>
      <c r="AB171" s="30">
        <v>13.78</v>
      </c>
      <c r="AD171" s="30">
        <v>10.119999999999999</v>
      </c>
      <c r="AE171" s="30">
        <v>1.93</v>
      </c>
      <c r="AG171" s="30">
        <v>100</v>
      </c>
      <c r="AH171" s="30" t="s">
        <v>162</v>
      </c>
      <c r="AI171" s="30" t="s">
        <v>163</v>
      </c>
    </row>
    <row r="172" spans="1:35" ht="15" customHeight="1" x14ac:dyDescent="0.2">
      <c r="A172" s="27" t="s">
        <v>774</v>
      </c>
      <c r="B172" s="27" t="s">
        <v>156</v>
      </c>
      <c r="C172" s="27" t="s">
        <v>157</v>
      </c>
      <c r="D172" s="27" t="s">
        <v>775</v>
      </c>
      <c r="E172" s="28">
        <v>45390</v>
      </c>
      <c r="F172" s="28">
        <v>45425</v>
      </c>
      <c r="G172" s="27" t="s">
        <v>159</v>
      </c>
      <c r="H172" s="27" t="s">
        <v>243</v>
      </c>
      <c r="I172" s="27" t="s">
        <v>59</v>
      </c>
      <c r="J172" s="27" t="s">
        <v>161</v>
      </c>
      <c r="K172" s="28">
        <v>45352</v>
      </c>
      <c r="L172" s="28">
        <v>45382</v>
      </c>
      <c r="M172" s="29">
        <v>120</v>
      </c>
      <c r="N172" s="29">
        <v>25</v>
      </c>
      <c r="O172" s="29">
        <v>33</v>
      </c>
      <c r="P172" s="29">
        <v>62</v>
      </c>
      <c r="Q172" s="29">
        <v>38</v>
      </c>
      <c r="R172" s="29">
        <v>9</v>
      </c>
      <c r="S172" s="29">
        <v>10</v>
      </c>
      <c r="T172" s="29">
        <v>19</v>
      </c>
      <c r="U172" s="35">
        <v>3</v>
      </c>
      <c r="V172" s="30">
        <v>3.3</v>
      </c>
      <c r="W172" s="30">
        <v>38.9</v>
      </c>
      <c r="X172" s="30">
        <v>47.46</v>
      </c>
      <c r="Z172" s="30">
        <v>13.76</v>
      </c>
      <c r="AA172" s="30">
        <v>11.28</v>
      </c>
      <c r="AB172" s="30">
        <v>12.36</v>
      </c>
      <c r="AD172" s="30">
        <v>8.56</v>
      </c>
      <c r="AE172" s="30">
        <v>1.5</v>
      </c>
      <c r="AG172" s="30">
        <v>100</v>
      </c>
      <c r="AH172" s="30" t="s">
        <v>162</v>
      </c>
      <c r="AI172" s="30" t="s">
        <v>163</v>
      </c>
    </row>
    <row r="173" spans="1:35" ht="15" customHeight="1" x14ac:dyDescent="0.2">
      <c r="A173" s="27" t="s">
        <v>716</v>
      </c>
      <c r="B173" s="27" t="s">
        <v>156</v>
      </c>
      <c r="C173" s="27" t="s">
        <v>157</v>
      </c>
      <c r="D173" s="27" t="s">
        <v>717</v>
      </c>
      <c r="E173" s="28">
        <v>45419</v>
      </c>
      <c r="F173" s="28">
        <v>45454</v>
      </c>
      <c r="G173" s="27" t="s">
        <v>159</v>
      </c>
      <c r="H173" s="27" t="s">
        <v>243</v>
      </c>
      <c r="I173" s="27" t="s">
        <v>59</v>
      </c>
      <c r="J173" s="27" t="s">
        <v>161</v>
      </c>
      <c r="K173" s="28">
        <v>45383</v>
      </c>
      <c r="L173" s="28">
        <v>45411</v>
      </c>
      <c r="M173" s="29">
        <v>75</v>
      </c>
      <c r="N173" s="29">
        <v>25</v>
      </c>
      <c r="O173" s="29">
        <v>17</v>
      </c>
      <c r="P173" s="29">
        <v>33</v>
      </c>
      <c r="Q173" s="29">
        <v>29</v>
      </c>
      <c r="R173" s="29">
        <v>8</v>
      </c>
      <c r="S173" s="29">
        <v>6</v>
      </c>
      <c r="T173" s="29">
        <v>15</v>
      </c>
      <c r="U173" s="35">
        <v>3</v>
      </c>
      <c r="V173" s="30">
        <v>3.3</v>
      </c>
      <c r="W173" s="30">
        <v>32.31</v>
      </c>
      <c r="X173" s="30">
        <v>39.42</v>
      </c>
      <c r="Z173" s="30">
        <v>8.4600000000000009</v>
      </c>
      <c r="AA173" s="30">
        <v>10.69</v>
      </c>
      <c r="AB173" s="30">
        <v>12.22</v>
      </c>
      <c r="AD173" s="30">
        <v>7.11</v>
      </c>
      <c r="AE173" s="30">
        <v>0.94</v>
      </c>
      <c r="AG173" s="30">
        <v>100</v>
      </c>
      <c r="AH173" s="30" t="s">
        <v>162</v>
      </c>
      <c r="AI173" s="30" t="s">
        <v>163</v>
      </c>
    </row>
    <row r="174" spans="1:35" ht="15" customHeight="1" x14ac:dyDescent="0.2">
      <c r="A174" s="27" t="s">
        <v>658</v>
      </c>
      <c r="B174" s="27" t="s">
        <v>156</v>
      </c>
      <c r="C174" s="27" t="s">
        <v>157</v>
      </c>
      <c r="D174" s="27" t="s">
        <v>659</v>
      </c>
      <c r="E174" s="28">
        <v>45449</v>
      </c>
      <c r="F174" s="28">
        <v>45484</v>
      </c>
      <c r="G174" s="27" t="s">
        <v>159</v>
      </c>
      <c r="H174" s="27" t="s">
        <v>243</v>
      </c>
      <c r="I174" s="27" t="s">
        <v>59</v>
      </c>
      <c r="J174" s="27" t="s">
        <v>161</v>
      </c>
      <c r="K174" s="28">
        <v>45413</v>
      </c>
      <c r="L174" s="28">
        <v>45443</v>
      </c>
      <c r="M174" s="29">
        <v>91</v>
      </c>
      <c r="N174" s="29">
        <v>25</v>
      </c>
      <c r="O174" s="29">
        <v>18</v>
      </c>
      <c r="P174" s="29">
        <v>48</v>
      </c>
      <c r="Q174" s="29">
        <v>20</v>
      </c>
      <c r="R174" s="29">
        <v>8</v>
      </c>
      <c r="S174" s="29">
        <v>5</v>
      </c>
      <c r="T174" s="29">
        <v>7</v>
      </c>
      <c r="U174" s="35">
        <v>3</v>
      </c>
      <c r="V174" s="30">
        <v>3.3</v>
      </c>
      <c r="W174" s="30">
        <v>36</v>
      </c>
      <c r="X174" s="30">
        <v>43.92</v>
      </c>
      <c r="Z174" s="35">
        <v>10.96</v>
      </c>
      <c r="AA174" s="35">
        <v>10.9</v>
      </c>
      <c r="AB174" s="35">
        <v>13</v>
      </c>
      <c r="AD174" s="30">
        <v>7.92</v>
      </c>
      <c r="AE174" s="30">
        <v>1.1399999999999999</v>
      </c>
      <c r="AG174" s="30">
        <v>100</v>
      </c>
      <c r="AH174" s="30" t="s">
        <v>162</v>
      </c>
      <c r="AI174" s="30" t="s">
        <v>163</v>
      </c>
    </row>
    <row r="175" spans="1:35" ht="15" customHeight="1" x14ac:dyDescent="0.2">
      <c r="A175" s="27" t="s">
        <v>562</v>
      </c>
      <c r="B175" s="27" t="s">
        <v>156</v>
      </c>
      <c r="C175" s="27" t="s">
        <v>157</v>
      </c>
      <c r="D175" s="27" t="s">
        <v>563</v>
      </c>
      <c r="E175" s="28">
        <v>45481</v>
      </c>
      <c r="F175" s="32">
        <v>45516</v>
      </c>
      <c r="G175" s="27" t="s">
        <v>159</v>
      </c>
      <c r="H175" s="27" t="s">
        <v>243</v>
      </c>
      <c r="I175" s="27" t="s">
        <v>59</v>
      </c>
      <c r="J175" s="27" t="s">
        <v>161</v>
      </c>
      <c r="K175" s="28">
        <v>45444</v>
      </c>
      <c r="L175" s="28">
        <v>45473</v>
      </c>
      <c r="M175" s="29">
        <v>73</v>
      </c>
      <c r="N175" s="29">
        <v>29</v>
      </c>
      <c r="O175" s="29">
        <v>16</v>
      </c>
      <c r="P175" s="29">
        <v>28</v>
      </c>
      <c r="Q175" s="29">
        <v>15</v>
      </c>
      <c r="R175" s="29">
        <v>6</v>
      </c>
      <c r="S175" s="29">
        <v>4</v>
      </c>
      <c r="T175" s="29">
        <v>5</v>
      </c>
      <c r="U175" s="35">
        <v>3</v>
      </c>
      <c r="V175" s="30">
        <v>3.3</v>
      </c>
      <c r="W175" s="30">
        <v>33.54</v>
      </c>
      <c r="X175" s="30">
        <v>40.92</v>
      </c>
      <c r="Z175" s="35">
        <v>9.83</v>
      </c>
      <c r="AA175" s="35">
        <v>10.67</v>
      </c>
      <c r="AB175" s="35">
        <v>12.13</v>
      </c>
      <c r="AD175" s="35">
        <v>7.38</v>
      </c>
      <c r="AE175" s="35">
        <v>0.91</v>
      </c>
      <c r="AG175" s="30">
        <v>100</v>
      </c>
      <c r="AH175" s="30" t="s">
        <v>162</v>
      </c>
      <c r="AI175" s="30" t="s">
        <v>163</v>
      </c>
    </row>
    <row r="176" spans="1:35" ht="15" customHeight="1" x14ac:dyDescent="0.2">
      <c r="A176" s="27" t="s">
        <v>544</v>
      </c>
      <c r="B176" s="27" t="s">
        <v>156</v>
      </c>
      <c r="C176" s="27" t="s">
        <v>157</v>
      </c>
      <c r="D176" s="27" t="s">
        <v>545</v>
      </c>
      <c r="E176" s="28">
        <v>45511</v>
      </c>
      <c r="F176" s="28">
        <v>45546</v>
      </c>
      <c r="G176" s="27" t="s">
        <v>159</v>
      </c>
      <c r="H176" s="27" t="s">
        <v>243</v>
      </c>
      <c r="I176" s="27" t="s">
        <v>59</v>
      </c>
      <c r="J176" s="27" t="s">
        <v>161</v>
      </c>
      <c r="K176" s="28">
        <v>45474</v>
      </c>
      <c r="L176" s="28">
        <v>45504</v>
      </c>
      <c r="M176" s="29">
        <v>62</v>
      </c>
      <c r="N176" s="29">
        <v>21</v>
      </c>
      <c r="O176" s="29">
        <v>15</v>
      </c>
      <c r="P176" s="29">
        <v>26</v>
      </c>
      <c r="Q176" s="29">
        <v>14</v>
      </c>
      <c r="R176" s="29">
        <v>7</v>
      </c>
      <c r="S176" s="29">
        <v>4</v>
      </c>
      <c r="T176" s="29">
        <v>3</v>
      </c>
      <c r="U176" s="35">
        <v>3</v>
      </c>
      <c r="V176" s="30">
        <v>3.3</v>
      </c>
      <c r="W176" s="30">
        <v>32.56</v>
      </c>
      <c r="X176" s="30">
        <v>39.72</v>
      </c>
      <c r="Z176" s="30">
        <v>9.65</v>
      </c>
      <c r="AA176" s="30">
        <v>10.53</v>
      </c>
      <c r="AB176" s="30">
        <v>11.6</v>
      </c>
      <c r="AD176" s="30">
        <v>7.16</v>
      </c>
      <c r="AE176" s="30">
        <v>0.78</v>
      </c>
      <c r="AG176" s="30">
        <v>100</v>
      </c>
      <c r="AH176" s="30" t="s">
        <v>162</v>
      </c>
      <c r="AI176" s="30" t="s">
        <v>163</v>
      </c>
    </row>
    <row r="177" spans="1:35" ht="15" customHeight="1" x14ac:dyDescent="0.2">
      <c r="A177" s="27" t="s">
        <v>488</v>
      </c>
      <c r="B177" s="27" t="s">
        <v>156</v>
      </c>
      <c r="C177" s="27" t="s">
        <v>157</v>
      </c>
      <c r="D177" s="27" t="s">
        <v>489</v>
      </c>
      <c r="E177" s="28">
        <v>45541</v>
      </c>
      <c r="F177" s="28">
        <v>45576</v>
      </c>
      <c r="G177" s="27" t="s">
        <v>159</v>
      </c>
      <c r="H177" s="27" t="s">
        <v>243</v>
      </c>
      <c r="I177" s="27" t="s">
        <v>59</v>
      </c>
      <c r="J177" s="27" t="s">
        <v>161</v>
      </c>
      <c r="K177" s="28">
        <v>45505</v>
      </c>
      <c r="L177" s="28">
        <v>45535</v>
      </c>
      <c r="M177" s="29">
        <v>50</v>
      </c>
      <c r="N177" s="29">
        <v>15</v>
      </c>
      <c r="O177" s="29">
        <v>13</v>
      </c>
      <c r="P177" s="29">
        <v>22</v>
      </c>
      <c r="Q177" s="29">
        <v>13</v>
      </c>
      <c r="R177" s="29">
        <v>7</v>
      </c>
      <c r="S177" s="29">
        <v>3</v>
      </c>
      <c r="T177" s="29">
        <v>3</v>
      </c>
      <c r="U177" s="30">
        <v>3</v>
      </c>
      <c r="V177" s="30">
        <v>3.3</v>
      </c>
      <c r="W177" s="30">
        <v>29.94</v>
      </c>
      <c r="X177" s="30">
        <v>36.53</v>
      </c>
      <c r="Z177" s="30">
        <v>7.92</v>
      </c>
      <c r="AA177" s="30">
        <v>10.37</v>
      </c>
      <c r="AB177" s="30">
        <v>11.02</v>
      </c>
      <c r="AD177" s="30">
        <v>6.59</v>
      </c>
      <c r="AE177" s="30">
        <v>0.63</v>
      </c>
      <c r="AG177" s="30">
        <v>100</v>
      </c>
      <c r="AH177" s="30" t="s">
        <v>162</v>
      </c>
      <c r="AI177" s="30" t="s">
        <v>163</v>
      </c>
    </row>
    <row r="178" spans="1:35" ht="15" customHeight="1" x14ac:dyDescent="0.2">
      <c r="A178" s="27" t="s">
        <v>426</v>
      </c>
      <c r="B178" s="27" t="s">
        <v>156</v>
      </c>
      <c r="C178" s="27" t="s">
        <v>157</v>
      </c>
      <c r="D178" s="27" t="s">
        <v>427</v>
      </c>
      <c r="E178" s="28">
        <v>45571</v>
      </c>
      <c r="F178" s="28">
        <v>45607</v>
      </c>
      <c r="G178" s="27" t="s">
        <v>159</v>
      </c>
      <c r="H178" s="27" t="s">
        <v>243</v>
      </c>
      <c r="I178" s="27" t="s">
        <v>59</v>
      </c>
      <c r="J178" s="27" t="s">
        <v>161</v>
      </c>
      <c r="K178" s="28">
        <v>45536</v>
      </c>
      <c r="L178" s="28">
        <v>45565</v>
      </c>
      <c r="M178" s="29">
        <v>38</v>
      </c>
      <c r="N178" s="29">
        <v>13</v>
      </c>
      <c r="O178" s="29">
        <v>8</v>
      </c>
      <c r="P178" s="29">
        <v>17</v>
      </c>
      <c r="Q178" s="29">
        <v>13</v>
      </c>
      <c r="R178" s="29">
        <v>7</v>
      </c>
      <c r="S178" s="29">
        <v>3</v>
      </c>
      <c r="T178" s="29">
        <v>3</v>
      </c>
      <c r="U178" s="35">
        <v>3</v>
      </c>
      <c r="V178" s="30">
        <v>3.3</v>
      </c>
      <c r="W178" s="30">
        <v>26.66</v>
      </c>
      <c r="X178" s="30">
        <v>32.53</v>
      </c>
      <c r="Z178" s="30">
        <v>5.52</v>
      </c>
      <c r="AA178" s="30">
        <v>10.220000000000001</v>
      </c>
      <c r="AB178" s="30">
        <v>10.44</v>
      </c>
      <c r="AD178" s="30">
        <v>5.87</v>
      </c>
      <c r="AE178" s="30">
        <v>0.48</v>
      </c>
      <c r="AG178" s="30">
        <v>100</v>
      </c>
      <c r="AH178" s="30" t="s">
        <v>162</v>
      </c>
      <c r="AI178" s="30" t="s">
        <v>163</v>
      </c>
    </row>
    <row r="179" spans="1:35" ht="15" customHeight="1" x14ac:dyDescent="0.2">
      <c r="A179" s="27" t="s">
        <v>372</v>
      </c>
      <c r="B179" s="27" t="s">
        <v>156</v>
      </c>
      <c r="C179" s="27" t="s">
        <v>157</v>
      </c>
      <c r="D179" s="27" t="s">
        <v>373</v>
      </c>
      <c r="E179" s="28">
        <v>45604</v>
      </c>
      <c r="F179" s="28">
        <v>45639</v>
      </c>
      <c r="G179" s="27" t="s">
        <v>159</v>
      </c>
      <c r="H179" s="27" t="s">
        <v>243</v>
      </c>
      <c r="I179" s="27" t="s">
        <v>59</v>
      </c>
      <c r="J179" s="27" t="s">
        <v>161</v>
      </c>
      <c r="K179" s="28">
        <v>45566</v>
      </c>
      <c r="L179" s="28">
        <v>45596</v>
      </c>
      <c r="M179" s="29">
        <v>51</v>
      </c>
      <c r="N179" s="29">
        <v>17</v>
      </c>
      <c r="O179" s="29">
        <v>13</v>
      </c>
      <c r="P179" s="29">
        <v>21</v>
      </c>
      <c r="Q179" s="29">
        <v>11</v>
      </c>
      <c r="R179" s="29">
        <v>7</v>
      </c>
      <c r="S179" s="29">
        <v>2</v>
      </c>
      <c r="T179" s="29">
        <v>2</v>
      </c>
      <c r="U179" s="35">
        <v>3</v>
      </c>
      <c r="V179" s="30">
        <v>3.3</v>
      </c>
      <c r="W179" s="30">
        <v>29.57</v>
      </c>
      <c r="X179" s="30">
        <v>36.08</v>
      </c>
      <c r="Z179" s="30">
        <v>7.49</v>
      </c>
      <c r="AA179" s="30">
        <v>10.38</v>
      </c>
      <c r="AB179" s="30">
        <v>11.06</v>
      </c>
      <c r="AD179" s="30">
        <v>6.51</v>
      </c>
      <c r="AE179" s="30">
        <v>0.64</v>
      </c>
      <c r="AG179" s="30">
        <v>100</v>
      </c>
      <c r="AH179" s="30" t="s">
        <v>162</v>
      </c>
      <c r="AI179" s="30" t="s">
        <v>163</v>
      </c>
    </row>
    <row r="180" spans="1:35" ht="15" customHeight="1" x14ac:dyDescent="0.2">
      <c r="A180" s="27" t="s">
        <v>314</v>
      </c>
      <c r="B180" s="27" t="s">
        <v>156</v>
      </c>
      <c r="C180" s="27" t="s">
        <v>157</v>
      </c>
      <c r="D180" s="27" t="s">
        <v>315</v>
      </c>
      <c r="E180" s="28">
        <v>45632</v>
      </c>
      <c r="F180" s="28">
        <v>45667</v>
      </c>
      <c r="G180" s="27" t="s">
        <v>159</v>
      </c>
      <c r="H180" s="27" t="s">
        <v>243</v>
      </c>
      <c r="I180" s="27" t="s">
        <v>59</v>
      </c>
      <c r="J180" s="27" t="s">
        <v>161</v>
      </c>
      <c r="K180" s="28">
        <v>45597</v>
      </c>
      <c r="L180" s="28">
        <v>45626</v>
      </c>
      <c r="M180" s="29">
        <v>51</v>
      </c>
      <c r="N180" s="29">
        <v>15</v>
      </c>
      <c r="O180" s="29">
        <v>12</v>
      </c>
      <c r="P180" s="29">
        <v>24</v>
      </c>
      <c r="Q180" s="29">
        <v>10</v>
      </c>
      <c r="R180" s="29">
        <v>6</v>
      </c>
      <c r="S180" s="29">
        <v>2</v>
      </c>
      <c r="T180" s="29">
        <v>2</v>
      </c>
      <c r="U180" s="35">
        <v>3</v>
      </c>
      <c r="V180" s="30">
        <v>3.3</v>
      </c>
      <c r="W180" s="30">
        <v>30.32</v>
      </c>
      <c r="X180" s="30">
        <v>36.99</v>
      </c>
      <c r="Z180" s="30">
        <v>8.24</v>
      </c>
      <c r="AA180" s="30">
        <v>10.38</v>
      </c>
      <c r="AB180" s="30">
        <v>11.06</v>
      </c>
      <c r="AD180" s="30">
        <v>6.67</v>
      </c>
      <c r="AE180" s="30">
        <v>0.64</v>
      </c>
      <c r="AG180" s="30">
        <v>100</v>
      </c>
      <c r="AH180" s="30" t="s">
        <v>162</v>
      </c>
      <c r="AI180" s="30" t="s">
        <v>163</v>
      </c>
    </row>
    <row r="181" spans="1:35" ht="15" customHeight="1" x14ac:dyDescent="0.2">
      <c r="A181" s="27" t="s">
        <v>241</v>
      </c>
      <c r="B181" s="27" t="s">
        <v>156</v>
      </c>
      <c r="C181" s="27" t="s">
        <v>157</v>
      </c>
      <c r="D181" s="27" t="s">
        <v>242</v>
      </c>
      <c r="E181" s="28">
        <v>45665</v>
      </c>
      <c r="F181" s="28">
        <v>45700</v>
      </c>
      <c r="G181" s="27" t="s">
        <v>159</v>
      </c>
      <c r="H181" s="27" t="s">
        <v>243</v>
      </c>
      <c r="I181" s="27" t="s">
        <v>59</v>
      </c>
      <c r="J181" s="27" t="s">
        <v>161</v>
      </c>
      <c r="K181" s="28">
        <v>45627</v>
      </c>
      <c r="L181" s="28">
        <v>45657</v>
      </c>
      <c r="M181" s="29">
        <v>58</v>
      </c>
      <c r="N181" s="29">
        <v>15</v>
      </c>
      <c r="O181" s="29">
        <v>13</v>
      </c>
      <c r="P181" s="29">
        <v>30</v>
      </c>
      <c r="Q181" s="29">
        <v>10</v>
      </c>
      <c r="R181" s="29">
        <v>6</v>
      </c>
      <c r="S181" s="29">
        <v>2</v>
      </c>
      <c r="T181" s="29">
        <v>2</v>
      </c>
      <c r="U181" s="30">
        <v>3</v>
      </c>
      <c r="V181" s="30">
        <v>3.3</v>
      </c>
      <c r="W181" s="30">
        <v>32.520000000000003</v>
      </c>
      <c r="X181" s="30">
        <v>39.67</v>
      </c>
      <c r="Z181" s="30">
        <v>9.92</v>
      </c>
      <c r="AA181" s="30">
        <v>10.47</v>
      </c>
      <c r="AB181" s="30">
        <v>11.4</v>
      </c>
      <c r="AD181" s="30">
        <v>7.15</v>
      </c>
      <c r="AE181" s="30">
        <v>0.73</v>
      </c>
      <c r="AG181" s="30">
        <v>100</v>
      </c>
      <c r="AH181" s="30" t="s">
        <v>162</v>
      </c>
      <c r="AI181" s="30" t="s">
        <v>163</v>
      </c>
    </row>
    <row r="182" spans="1:35" ht="15" customHeight="1" x14ac:dyDescent="0.2">
      <c r="A182" s="27" t="s">
        <v>883</v>
      </c>
      <c r="B182" s="27" t="s">
        <v>839</v>
      </c>
      <c r="C182" s="27" t="s">
        <v>840</v>
      </c>
      <c r="D182" s="27" t="s">
        <v>884</v>
      </c>
      <c r="E182" s="28">
        <v>45350</v>
      </c>
      <c r="F182" s="28">
        <v>45380</v>
      </c>
      <c r="G182" s="27" t="s">
        <v>159</v>
      </c>
      <c r="H182" s="27" t="s">
        <v>885</v>
      </c>
      <c r="I182" s="27" t="s">
        <v>63</v>
      </c>
      <c r="J182" s="27" t="s">
        <v>843</v>
      </c>
      <c r="K182" s="28">
        <v>45292</v>
      </c>
      <c r="L182" s="28">
        <v>45322</v>
      </c>
      <c r="M182" s="29">
        <v>2770</v>
      </c>
      <c r="N182" s="29">
        <v>903</v>
      </c>
      <c r="O182" s="29">
        <v>1304</v>
      </c>
      <c r="P182" s="29">
        <v>563</v>
      </c>
      <c r="Q182" s="29">
        <v>991</v>
      </c>
      <c r="R182" s="29">
        <v>365</v>
      </c>
      <c r="S182" s="29">
        <v>604</v>
      </c>
      <c r="T182" s="29">
        <v>22</v>
      </c>
      <c r="U182" s="30">
        <v>36</v>
      </c>
      <c r="V182" s="30">
        <v>36</v>
      </c>
      <c r="W182" s="30">
        <v>825.19</v>
      </c>
      <c r="X182" s="30">
        <v>1006.73</v>
      </c>
      <c r="Z182" s="30">
        <v>443.57</v>
      </c>
      <c r="AA182" s="30">
        <v>141.63</v>
      </c>
      <c r="AB182" s="30">
        <v>191.51</v>
      </c>
      <c r="AC182" s="35">
        <v>13.85</v>
      </c>
      <c r="AD182" s="30">
        <v>34.630000000000003</v>
      </c>
      <c r="AE182" s="30">
        <v>181.54</v>
      </c>
      <c r="AG182" s="30">
        <v>100</v>
      </c>
      <c r="AH182" s="30" t="s">
        <v>162</v>
      </c>
      <c r="AI182" s="30" t="s">
        <v>851</v>
      </c>
    </row>
    <row r="183" spans="1:35" ht="15" customHeight="1" x14ac:dyDescent="0.2">
      <c r="A183" s="27" t="s">
        <v>800</v>
      </c>
      <c r="B183" s="27" t="s">
        <v>156</v>
      </c>
      <c r="C183" s="27" t="s">
        <v>157</v>
      </c>
      <c r="D183" s="27" t="s">
        <v>801</v>
      </c>
      <c r="E183" s="28">
        <v>45358</v>
      </c>
      <c r="F183" s="28">
        <v>45393</v>
      </c>
      <c r="G183" s="27" t="s">
        <v>159</v>
      </c>
      <c r="H183" s="27" t="s">
        <v>193</v>
      </c>
      <c r="I183" s="27" t="s">
        <v>63</v>
      </c>
      <c r="J183" s="27" t="s">
        <v>161</v>
      </c>
      <c r="K183" s="28">
        <v>45323</v>
      </c>
      <c r="L183" s="28">
        <v>45351</v>
      </c>
      <c r="M183" s="29">
        <v>2343</v>
      </c>
      <c r="N183" s="29">
        <v>696</v>
      </c>
      <c r="O183" s="29">
        <v>1154</v>
      </c>
      <c r="P183" s="29">
        <v>493</v>
      </c>
      <c r="Q183" s="29">
        <v>759</v>
      </c>
      <c r="R183" s="29">
        <v>214</v>
      </c>
      <c r="S183" s="29">
        <v>513</v>
      </c>
      <c r="T183" s="29">
        <v>32</v>
      </c>
      <c r="U183" s="33"/>
      <c r="V183" s="30">
        <v>36</v>
      </c>
      <c r="W183" s="30">
        <v>623.73</v>
      </c>
      <c r="X183" s="30">
        <v>760.95</v>
      </c>
      <c r="Z183" s="30">
        <v>288.7</v>
      </c>
      <c r="AA183" s="30">
        <v>132.91</v>
      </c>
      <c r="AB183" s="30">
        <v>172.83</v>
      </c>
      <c r="AD183" s="30">
        <v>137.22</v>
      </c>
      <c r="AE183" s="30">
        <v>29.29</v>
      </c>
      <c r="AG183" s="30">
        <v>93</v>
      </c>
      <c r="AH183" s="30" t="s">
        <v>177</v>
      </c>
      <c r="AI183" s="30" t="s">
        <v>178</v>
      </c>
    </row>
    <row r="184" spans="1:35" ht="15" customHeight="1" x14ac:dyDescent="0.2">
      <c r="A184" s="27" t="s">
        <v>752</v>
      </c>
      <c r="B184" s="27" t="s">
        <v>156</v>
      </c>
      <c r="C184" s="27" t="s">
        <v>157</v>
      </c>
      <c r="D184" s="27" t="s">
        <v>753</v>
      </c>
      <c r="E184" s="28">
        <v>45390</v>
      </c>
      <c r="F184" s="28">
        <v>45425</v>
      </c>
      <c r="G184" s="27" t="s">
        <v>159</v>
      </c>
      <c r="H184" s="27" t="s">
        <v>193</v>
      </c>
      <c r="I184" s="27" t="s">
        <v>63</v>
      </c>
      <c r="J184" s="27" t="s">
        <v>161</v>
      </c>
      <c r="K184" s="28">
        <v>45352</v>
      </c>
      <c r="L184" s="28">
        <v>45382</v>
      </c>
      <c r="M184" s="29">
        <v>2592</v>
      </c>
      <c r="N184" s="29">
        <v>595</v>
      </c>
      <c r="O184" s="29">
        <v>1394</v>
      </c>
      <c r="P184" s="29">
        <v>603</v>
      </c>
      <c r="Q184" s="29">
        <v>973</v>
      </c>
      <c r="R184" s="29">
        <v>198</v>
      </c>
      <c r="S184" s="29">
        <v>679</v>
      </c>
      <c r="T184" s="29">
        <v>96</v>
      </c>
      <c r="U184" s="33"/>
      <c r="V184" s="30">
        <v>36</v>
      </c>
      <c r="W184" s="30">
        <v>679.77</v>
      </c>
      <c r="X184" s="30">
        <v>829.32</v>
      </c>
      <c r="Z184" s="30">
        <v>308.06</v>
      </c>
      <c r="AA184" s="30">
        <v>147.9</v>
      </c>
      <c r="AB184" s="30">
        <v>191.41</v>
      </c>
      <c r="AD184" s="30">
        <v>149.55000000000001</v>
      </c>
      <c r="AE184" s="30">
        <v>32.4</v>
      </c>
      <c r="AG184" s="30">
        <v>93</v>
      </c>
      <c r="AH184" s="30" t="s">
        <v>177</v>
      </c>
      <c r="AI184" s="30" t="s">
        <v>178</v>
      </c>
    </row>
    <row r="185" spans="1:35" ht="15" customHeight="1" x14ac:dyDescent="0.2">
      <c r="A185" s="27" t="s">
        <v>686</v>
      </c>
      <c r="B185" s="27" t="s">
        <v>156</v>
      </c>
      <c r="C185" s="27" t="s">
        <v>157</v>
      </c>
      <c r="D185" s="27" t="s">
        <v>687</v>
      </c>
      <c r="E185" s="28">
        <v>45419</v>
      </c>
      <c r="F185" s="28">
        <v>45454</v>
      </c>
      <c r="G185" s="27" t="s">
        <v>159</v>
      </c>
      <c r="H185" s="27" t="s">
        <v>193</v>
      </c>
      <c r="I185" s="27" t="s">
        <v>63</v>
      </c>
      <c r="J185" s="27" t="s">
        <v>161</v>
      </c>
      <c r="K185" s="28">
        <v>45383</v>
      </c>
      <c r="L185" s="28">
        <v>45412</v>
      </c>
      <c r="M185" s="29">
        <v>2189</v>
      </c>
      <c r="N185" s="29">
        <v>436</v>
      </c>
      <c r="O185" s="29">
        <v>959</v>
      </c>
      <c r="P185" s="29">
        <v>794</v>
      </c>
      <c r="Q185" s="29">
        <v>496</v>
      </c>
      <c r="R185" s="29">
        <v>53</v>
      </c>
      <c r="S185" s="29">
        <v>366</v>
      </c>
      <c r="T185" s="29">
        <v>77</v>
      </c>
      <c r="U185" s="33"/>
      <c r="V185" s="30">
        <v>36</v>
      </c>
      <c r="W185" s="30">
        <v>602.34</v>
      </c>
      <c r="X185" s="30">
        <v>734.85</v>
      </c>
      <c r="Z185" s="30">
        <v>254.61</v>
      </c>
      <c r="AA185" s="30">
        <v>128.02000000000001</v>
      </c>
      <c r="AB185" s="30">
        <v>192.35</v>
      </c>
      <c r="AD185" s="30">
        <v>132.51</v>
      </c>
      <c r="AE185" s="30">
        <v>27.36</v>
      </c>
      <c r="AG185" s="30">
        <v>93</v>
      </c>
      <c r="AH185" s="30" t="s">
        <v>177</v>
      </c>
      <c r="AI185" s="30" t="s">
        <v>178</v>
      </c>
    </row>
    <row r="186" spans="1:35" ht="15" customHeight="1" x14ac:dyDescent="0.2">
      <c r="A186" s="27" t="s">
        <v>626</v>
      </c>
      <c r="B186" s="27" t="s">
        <v>156</v>
      </c>
      <c r="C186" s="27" t="s">
        <v>157</v>
      </c>
      <c r="D186" s="27" t="s">
        <v>627</v>
      </c>
      <c r="E186" s="28">
        <v>45449</v>
      </c>
      <c r="F186" s="28">
        <v>45484</v>
      </c>
      <c r="G186" s="27" t="s">
        <v>159</v>
      </c>
      <c r="H186" s="27" t="s">
        <v>193</v>
      </c>
      <c r="I186" s="27" t="s">
        <v>63</v>
      </c>
      <c r="J186" s="27" t="s">
        <v>161</v>
      </c>
      <c r="K186" s="28">
        <v>45413</v>
      </c>
      <c r="L186" s="28">
        <v>45443</v>
      </c>
      <c r="M186" s="29">
        <v>1001</v>
      </c>
      <c r="N186" s="29">
        <v>267</v>
      </c>
      <c r="O186" s="29">
        <v>324</v>
      </c>
      <c r="P186" s="29">
        <v>410</v>
      </c>
      <c r="Q186" s="29">
        <v>131</v>
      </c>
      <c r="R186" s="29">
        <v>39</v>
      </c>
      <c r="S186" s="29">
        <v>62</v>
      </c>
      <c r="T186" s="29">
        <v>30</v>
      </c>
      <c r="U186" s="33"/>
      <c r="V186" s="30">
        <v>36</v>
      </c>
      <c r="W186" s="30">
        <v>347.14</v>
      </c>
      <c r="X186" s="30">
        <v>423.51</v>
      </c>
      <c r="Z186" s="30">
        <v>123.03</v>
      </c>
      <c r="AA186" s="30">
        <v>93</v>
      </c>
      <c r="AB186" s="30">
        <v>118.6</v>
      </c>
      <c r="AD186" s="30">
        <v>76.37</v>
      </c>
      <c r="AE186" s="30">
        <v>12.51</v>
      </c>
      <c r="AG186" s="30">
        <v>93</v>
      </c>
      <c r="AH186" s="30" t="s">
        <v>177</v>
      </c>
      <c r="AI186" s="30" t="s">
        <v>178</v>
      </c>
    </row>
    <row r="187" spans="1:35" ht="15" customHeight="1" x14ac:dyDescent="0.2">
      <c r="A187" s="27" t="s">
        <v>581</v>
      </c>
      <c r="B187" s="27" t="s">
        <v>156</v>
      </c>
      <c r="C187" s="27" t="s">
        <v>157</v>
      </c>
      <c r="D187" s="27" t="s">
        <v>582</v>
      </c>
      <c r="E187" s="28">
        <v>45478</v>
      </c>
      <c r="F187" s="28">
        <v>45513</v>
      </c>
      <c r="G187" s="27" t="s">
        <v>159</v>
      </c>
      <c r="H187" s="27" t="s">
        <v>193</v>
      </c>
      <c r="I187" s="27" t="s">
        <v>63</v>
      </c>
      <c r="J187" s="27" t="s">
        <v>161</v>
      </c>
      <c r="K187" s="28">
        <v>45444</v>
      </c>
      <c r="L187" s="28">
        <v>45473</v>
      </c>
      <c r="M187" s="29">
        <v>1016</v>
      </c>
      <c r="N187" s="29">
        <v>238</v>
      </c>
      <c r="O187" s="29">
        <v>311</v>
      </c>
      <c r="P187" s="29">
        <v>467</v>
      </c>
      <c r="Q187" s="29">
        <v>211</v>
      </c>
      <c r="R187" s="29">
        <v>39</v>
      </c>
      <c r="S187" s="29">
        <v>73</v>
      </c>
      <c r="T187" s="29">
        <v>99</v>
      </c>
      <c r="U187" s="33"/>
      <c r="V187" s="30">
        <v>36</v>
      </c>
      <c r="W187" s="30">
        <v>256.23</v>
      </c>
      <c r="X187" s="30">
        <v>312.60000000000002</v>
      </c>
      <c r="Z187" s="30">
        <v>136.19999999999999</v>
      </c>
      <c r="AA187" s="30">
        <v>37.51</v>
      </c>
      <c r="AB187" s="30">
        <v>69.819999999999993</v>
      </c>
      <c r="AD187" s="30">
        <v>56.37</v>
      </c>
      <c r="AE187" s="30">
        <v>12.7</v>
      </c>
      <c r="AG187" s="30">
        <v>93</v>
      </c>
      <c r="AH187" s="30" t="s">
        <v>177</v>
      </c>
      <c r="AI187" s="30" t="s">
        <v>178</v>
      </c>
    </row>
    <row r="188" spans="1:35" ht="15" customHeight="1" x14ac:dyDescent="0.2">
      <c r="A188" s="27" t="s">
        <v>494</v>
      </c>
      <c r="B188" s="27" t="s">
        <v>156</v>
      </c>
      <c r="C188" s="27" t="s">
        <v>157</v>
      </c>
      <c r="D188" s="27" t="s">
        <v>495</v>
      </c>
      <c r="E188" s="28">
        <v>45515</v>
      </c>
      <c r="F188" s="28">
        <v>45551</v>
      </c>
      <c r="G188" s="27" t="s">
        <v>159</v>
      </c>
      <c r="H188" s="27" t="s">
        <v>193</v>
      </c>
      <c r="I188" s="27" t="s">
        <v>63</v>
      </c>
      <c r="J188" s="27" t="s">
        <v>161</v>
      </c>
      <c r="K188" s="28">
        <v>45474</v>
      </c>
      <c r="L188" s="28">
        <v>45504</v>
      </c>
      <c r="M188" s="29">
        <v>1619</v>
      </c>
      <c r="N188" s="29">
        <v>544</v>
      </c>
      <c r="O188" s="29">
        <v>438</v>
      </c>
      <c r="P188" s="29">
        <v>637</v>
      </c>
      <c r="Q188" s="29">
        <v>678</v>
      </c>
      <c r="R188" s="29">
        <v>262</v>
      </c>
      <c r="S188" s="29">
        <v>198</v>
      </c>
      <c r="T188" s="29">
        <v>218</v>
      </c>
      <c r="V188" s="30">
        <v>36</v>
      </c>
      <c r="W188" s="30">
        <v>452.39</v>
      </c>
      <c r="X188" s="30">
        <v>551.91999999999996</v>
      </c>
      <c r="Z188" s="30">
        <v>250.32</v>
      </c>
      <c r="AA188" s="30">
        <v>66.08</v>
      </c>
      <c r="AB188" s="30">
        <v>115.75</v>
      </c>
      <c r="AD188" s="30">
        <v>99.53</v>
      </c>
      <c r="AE188" s="30">
        <v>20.239999999999998</v>
      </c>
      <c r="AG188" s="30">
        <v>93</v>
      </c>
      <c r="AH188" s="30" t="s">
        <v>177</v>
      </c>
      <c r="AI188" s="30" t="s">
        <v>178</v>
      </c>
    </row>
    <row r="189" spans="1:35" ht="15" customHeight="1" x14ac:dyDescent="0.2">
      <c r="A189" s="27" t="s">
        <v>458</v>
      </c>
      <c r="B189" s="27" t="s">
        <v>156</v>
      </c>
      <c r="C189" s="27" t="s">
        <v>157</v>
      </c>
      <c r="D189" s="27" t="s">
        <v>459</v>
      </c>
      <c r="E189" s="28">
        <v>45541</v>
      </c>
      <c r="F189" s="28">
        <v>45576</v>
      </c>
      <c r="G189" s="27" t="s">
        <v>159</v>
      </c>
      <c r="H189" s="27" t="s">
        <v>193</v>
      </c>
      <c r="I189" s="27" t="s">
        <v>63</v>
      </c>
      <c r="J189" s="27" t="s">
        <v>161</v>
      </c>
      <c r="K189" s="28">
        <v>45505</v>
      </c>
      <c r="L189" s="28">
        <v>45535</v>
      </c>
      <c r="M189" s="29">
        <v>2037</v>
      </c>
      <c r="N189" s="29">
        <v>485</v>
      </c>
      <c r="O189" s="29">
        <v>884</v>
      </c>
      <c r="P189" s="29">
        <v>668</v>
      </c>
      <c r="Q189" s="29">
        <v>1078</v>
      </c>
      <c r="R189" s="29">
        <v>275</v>
      </c>
      <c r="S189" s="29">
        <v>524</v>
      </c>
      <c r="T189" s="29">
        <v>279</v>
      </c>
      <c r="V189" s="30">
        <v>36</v>
      </c>
      <c r="W189" s="30">
        <v>670.58</v>
      </c>
      <c r="X189" s="30">
        <v>818.11</v>
      </c>
      <c r="Z189" s="30">
        <v>333.26</v>
      </c>
      <c r="AA189" s="30">
        <v>127.9</v>
      </c>
      <c r="AB189" s="30">
        <v>183.96</v>
      </c>
      <c r="AD189" s="30">
        <v>147.53</v>
      </c>
      <c r="AE189" s="30">
        <v>25.46</v>
      </c>
      <c r="AG189" s="30">
        <v>93</v>
      </c>
      <c r="AH189" s="30" t="s">
        <v>177</v>
      </c>
      <c r="AI189" s="30" t="s">
        <v>178</v>
      </c>
    </row>
    <row r="190" spans="1:35" ht="15" customHeight="1" x14ac:dyDescent="0.2">
      <c r="A190" s="27" t="s">
        <v>398</v>
      </c>
      <c r="B190" s="27" t="s">
        <v>156</v>
      </c>
      <c r="C190" s="27" t="s">
        <v>157</v>
      </c>
      <c r="D190" s="27" t="s">
        <v>399</v>
      </c>
      <c r="E190" s="28">
        <v>45571</v>
      </c>
      <c r="F190" s="28">
        <v>45607</v>
      </c>
      <c r="G190" s="27" t="s">
        <v>159</v>
      </c>
      <c r="H190" s="27" t="s">
        <v>193</v>
      </c>
      <c r="I190" s="27" t="s">
        <v>63</v>
      </c>
      <c r="J190" s="27" t="s">
        <v>161</v>
      </c>
      <c r="K190" s="28">
        <v>45536</v>
      </c>
      <c r="L190" s="28">
        <v>45565</v>
      </c>
      <c r="M190" s="29">
        <v>2041</v>
      </c>
      <c r="N190" s="29">
        <v>486</v>
      </c>
      <c r="O190" s="29">
        <v>855</v>
      </c>
      <c r="P190" s="29">
        <v>700</v>
      </c>
      <c r="Q190" s="29">
        <v>991</v>
      </c>
      <c r="R190" s="29">
        <v>249</v>
      </c>
      <c r="S190" s="29">
        <v>446</v>
      </c>
      <c r="T190" s="29">
        <v>296</v>
      </c>
      <c r="U190" s="33"/>
      <c r="V190" s="30">
        <v>36</v>
      </c>
      <c r="W190" s="30">
        <v>638.26</v>
      </c>
      <c r="X190" s="30">
        <v>778.68</v>
      </c>
      <c r="Z190" s="30">
        <v>303.76</v>
      </c>
      <c r="AA190" s="30">
        <v>125.79</v>
      </c>
      <c r="AB190" s="30">
        <v>183.2</v>
      </c>
      <c r="AD190" s="30">
        <v>140.41999999999999</v>
      </c>
      <c r="AE190" s="30">
        <v>25.51</v>
      </c>
      <c r="AG190" s="30">
        <v>93</v>
      </c>
      <c r="AH190" s="30" t="s">
        <v>177</v>
      </c>
      <c r="AI190" s="30" t="s">
        <v>178</v>
      </c>
    </row>
    <row r="191" spans="1:35" ht="15" customHeight="1" x14ac:dyDescent="0.2">
      <c r="A191" s="27" t="s">
        <v>340</v>
      </c>
      <c r="B191" s="27" t="s">
        <v>156</v>
      </c>
      <c r="C191" s="27" t="s">
        <v>157</v>
      </c>
      <c r="D191" s="27" t="s">
        <v>341</v>
      </c>
      <c r="E191" s="28">
        <v>45604</v>
      </c>
      <c r="F191" s="28">
        <v>45639</v>
      </c>
      <c r="G191" s="27" t="s">
        <v>159</v>
      </c>
      <c r="H191" s="27" t="s">
        <v>193</v>
      </c>
      <c r="I191" s="27" t="s">
        <v>63</v>
      </c>
      <c r="J191" s="27" t="s">
        <v>161</v>
      </c>
      <c r="K191" s="28">
        <v>45566</v>
      </c>
      <c r="L191" s="28">
        <v>45596</v>
      </c>
      <c r="M191" s="29">
        <v>2089</v>
      </c>
      <c r="N191" s="29">
        <v>489</v>
      </c>
      <c r="O191" s="29">
        <v>943</v>
      </c>
      <c r="P191" s="29">
        <v>657</v>
      </c>
      <c r="Q191" s="29">
        <v>829</v>
      </c>
      <c r="R191" s="29">
        <v>207</v>
      </c>
      <c r="S191" s="29">
        <v>381</v>
      </c>
      <c r="T191" s="29">
        <v>241</v>
      </c>
      <c r="U191" s="33"/>
      <c r="V191" s="30">
        <v>36</v>
      </c>
      <c r="W191" s="30">
        <v>648.79999999999995</v>
      </c>
      <c r="X191" s="30">
        <v>791.54</v>
      </c>
      <c r="Z191" s="30">
        <v>312.37</v>
      </c>
      <c r="AA191" s="30">
        <v>124.84</v>
      </c>
      <c r="AB191" s="30">
        <v>185.48</v>
      </c>
      <c r="AD191" s="30">
        <v>142.74</v>
      </c>
      <c r="AE191" s="30">
        <v>26.11</v>
      </c>
      <c r="AG191" s="30">
        <v>93</v>
      </c>
      <c r="AH191" s="30" t="s">
        <v>177</v>
      </c>
      <c r="AI191" s="30" t="s">
        <v>178</v>
      </c>
    </row>
    <row r="192" spans="1:35" ht="15" customHeight="1" x14ac:dyDescent="0.2">
      <c r="A192" s="27" t="s">
        <v>282</v>
      </c>
      <c r="B192" s="27" t="s">
        <v>156</v>
      </c>
      <c r="C192" s="27" t="s">
        <v>157</v>
      </c>
      <c r="D192" s="27" t="s">
        <v>283</v>
      </c>
      <c r="E192" s="28">
        <v>45632</v>
      </c>
      <c r="F192" s="28">
        <v>45667</v>
      </c>
      <c r="G192" s="27" t="s">
        <v>159</v>
      </c>
      <c r="H192" s="27" t="s">
        <v>193</v>
      </c>
      <c r="I192" s="27" t="s">
        <v>63</v>
      </c>
      <c r="J192" s="27" t="s">
        <v>161</v>
      </c>
      <c r="K192" s="28">
        <v>45597</v>
      </c>
      <c r="L192" s="28">
        <v>45626</v>
      </c>
      <c r="M192" s="29">
        <v>1944</v>
      </c>
      <c r="N192" s="29">
        <v>421</v>
      </c>
      <c r="O192" s="29">
        <v>922</v>
      </c>
      <c r="P192" s="29">
        <v>601</v>
      </c>
      <c r="Q192" s="29">
        <v>820</v>
      </c>
      <c r="R192" s="29">
        <v>164</v>
      </c>
      <c r="S192" s="29">
        <v>410</v>
      </c>
      <c r="T192" s="29">
        <v>246</v>
      </c>
      <c r="V192" s="30">
        <v>36</v>
      </c>
      <c r="W192" s="30">
        <v>659.24</v>
      </c>
      <c r="X192" s="30">
        <v>804.27</v>
      </c>
      <c r="Z192" s="30">
        <v>319.82</v>
      </c>
      <c r="AA192" s="30">
        <v>130.22</v>
      </c>
      <c r="AB192" s="30">
        <v>184.9</v>
      </c>
      <c r="AD192" s="30">
        <v>145.03</v>
      </c>
      <c r="AE192" s="30">
        <v>24.3</v>
      </c>
      <c r="AG192" s="30">
        <v>93</v>
      </c>
      <c r="AH192" s="30" t="s">
        <v>177</v>
      </c>
      <c r="AI192" s="30" t="s">
        <v>178</v>
      </c>
    </row>
    <row r="193" spans="1:35" ht="15" customHeight="1" x14ac:dyDescent="0.2">
      <c r="A193" s="27" t="s">
        <v>191</v>
      </c>
      <c r="B193" s="27" t="s">
        <v>156</v>
      </c>
      <c r="C193" s="27" t="s">
        <v>157</v>
      </c>
      <c r="D193" s="27" t="s">
        <v>192</v>
      </c>
      <c r="E193" s="28">
        <v>45665</v>
      </c>
      <c r="F193" s="28">
        <v>45700</v>
      </c>
      <c r="G193" s="27" t="s">
        <v>159</v>
      </c>
      <c r="H193" s="27" t="s">
        <v>193</v>
      </c>
      <c r="I193" s="27" t="s">
        <v>63</v>
      </c>
      <c r="J193" s="27" t="s">
        <v>161</v>
      </c>
      <c r="K193" s="28">
        <v>45627</v>
      </c>
      <c r="L193" s="28">
        <v>45657</v>
      </c>
      <c r="M193" s="29">
        <v>2094</v>
      </c>
      <c r="N193" s="29">
        <v>451</v>
      </c>
      <c r="O193" s="29">
        <v>841</v>
      </c>
      <c r="P193" s="29">
        <v>802</v>
      </c>
      <c r="Q193" s="29">
        <v>844</v>
      </c>
      <c r="R193" s="29">
        <v>172</v>
      </c>
      <c r="S193" s="29">
        <v>396</v>
      </c>
      <c r="T193" s="29">
        <v>276</v>
      </c>
      <c r="U193" s="33"/>
      <c r="V193" s="30">
        <v>36</v>
      </c>
      <c r="W193" s="30">
        <v>726.86</v>
      </c>
      <c r="X193" s="30">
        <v>886.77</v>
      </c>
      <c r="Z193" s="30">
        <v>364.9</v>
      </c>
      <c r="AA193" s="30">
        <v>138.38</v>
      </c>
      <c r="AB193" s="30">
        <v>197.4</v>
      </c>
      <c r="AD193" s="30">
        <v>159.91</v>
      </c>
      <c r="AE193" s="30">
        <v>26.18</v>
      </c>
      <c r="AG193" s="30">
        <v>93</v>
      </c>
      <c r="AH193" s="30" t="s">
        <v>177</v>
      </c>
      <c r="AI193" s="30" t="s">
        <v>178</v>
      </c>
    </row>
    <row r="194" spans="1:35" ht="15" customHeight="1" x14ac:dyDescent="0.2">
      <c r="A194" s="27" t="s">
        <v>856</v>
      </c>
      <c r="B194" s="27" t="s">
        <v>839</v>
      </c>
      <c r="C194" s="27" t="s">
        <v>840</v>
      </c>
      <c r="D194" s="27" t="s">
        <v>857</v>
      </c>
      <c r="E194" s="28">
        <v>45350</v>
      </c>
      <c r="F194" s="28">
        <v>45380</v>
      </c>
      <c r="G194" s="27" t="s">
        <v>159</v>
      </c>
      <c r="H194" s="27" t="s">
        <v>858</v>
      </c>
      <c r="I194" s="27" t="s">
        <v>97</v>
      </c>
      <c r="J194" s="27" t="s">
        <v>843</v>
      </c>
      <c r="K194" s="28">
        <v>45292</v>
      </c>
      <c r="L194" s="28">
        <v>45322</v>
      </c>
      <c r="M194" s="29">
        <v>223</v>
      </c>
      <c r="N194" s="29">
        <v>55</v>
      </c>
      <c r="O194" s="29">
        <v>62</v>
      </c>
      <c r="P194" s="29">
        <v>106</v>
      </c>
      <c r="Q194" s="29">
        <v>126</v>
      </c>
      <c r="R194" s="29">
        <v>36</v>
      </c>
      <c r="S194" s="29">
        <v>30</v>
      </c>
      <c r="T194" s="29">
        <v>60</v>
      </c>
      <c r="U194" s="30">
        <v>3</v>
      </c>
      <c r="V194" s="30">
        <v>3.3</v>
      </c>
      <c r="W194" s="30">
        <v>67.7</v>
      </c>
      <c r="X194" s="30">
        <v>82.59</v>
      </c>
      <c r="Z194" s="30">
        <v>34.56</v>
      </c>
      <c r="AA194" s="30">
        <v>12.6</v>
      </c>
      <c r="AB194" s="30">
        <v>16.63</v>
      </c>
      <c r="AC194" s="35">
        <v>1.1200000000000001</v>
      </c>
      <c r="AD194" s="30">
        <v>2.79</v>
      </c>
      <c r="AE194" s="30">
        <v>14.89</v>
      </c>
      <c r="AG194" s="30">
        <v>100</v>
      </c>
      <c r="AH194" s="30" t="s">
        <v>162</v>
      </c>
      <c r="AI194" s="30" t="s">
        <v>851</v>
      </c>
    </row>
    <row r="195" spans="1:35" ht="15" customHeight="1" x14ac:dyDescent="0.2">
      <c r="A195" s="27" t="s">
        <v>796</v>
      </c>
      <c r="B195" s="27" t="s">
        <v>156</v>
      </c>
      <c r="C195" s="27" t="s">
        <v>157</v>
      </c>
      <c r="D195" s="27" t="s">
        <v>797</v>
      </c>
      <c r="E195" s="28">
        <v>45358</v>
      </c>
      <c r="F195" s="28">
        <v>45393</v>
      </c>
      <c r="G195" s="27" t="s">
        <v>159</v>
      </c>
      <c r="H195" s="27" t="s">
        <v>187</v>
      </c>
      <c r="I195" s="27" t="s">
        <v>97</v>
      </c>
      <c r="J195" s="27" t="s">
        <v>161</v>
      </c>
      <c r="K195" s="28">
        <v>45323</v>
      </c>
      <c r="L195" s="28">
        <v>45351</v>
      </c>
      <c r="M195" s="29">
        <v>28</v>
      </c>
      <c r="N195" s="29">
        <v>9</v>
      </c>
      <c r="O195" s="29">
        <v>8</v>
      </c>
      <c r="P195" s="29">
        <v>11</v>
      </c>
      <c r="Q195" s="29">
        <v>35</v>
      </c>
      <c r="R195" s="29">
        <v>12</v>
      </c>
      <c r="S195" s="29">
        <v>8</v>
      </c>
      <c r="T195" s="29">
        <v>15</v>
      </c>
      <c r="U195" s="30">
        <v>3</v>
      </c>
      <c r="V195" s="30">
        <v>3.3</v>
      </c>
      <c r="W195" s="30">
        <v>22.36</v>
      </c>
      <c r="X195" s="30">
        <v>27.28</v>
      </c>
      <c r="Z195" s="30">
        <v>3.37</v>
      </c>
      <c r="AA195" s="30">
        <v>10.09</v>
      </c>
      <c r="AB195" s="30">
        <v>8.5500000000000007</v>
      </c>
      <c r="AD195" s="30">
        <v>4.92</v>
      </c>
      <c r="AE195" s="30">
        <v>0.35</v>
      </c>
      <c r="AG195" s="30">
        <v>100</v>
      </c>
      <c r="AH195" s="30" t="s">
        <v>162</v>
      </c>
      <c r="AI195" s="30" t="s">
        <v>163</v>
      </c>
    </row>
    <row r="196" spans="1:35" ht="15" customHeight="1" x14ac:dyDescent="0.2">
      <c r="A196" s="27" t="s">
        <v>748</v>
      </c>
      <c r="B196" s="27" t="s">
        <v>156</v>
      </c>
      <c r="C196" s="27" t="s">
        <v>157</v>
      </c>
      <c r="D196" s="27" t="s">
        <v>749</v>
      </c>
      <c r="E196" s="28">
        <v>45390</v>
      </c>
      <c r="F196" s="28">
        <v>45425</v>
      </c>
      <c r="G196" s="27" t="s">
        <v>159</v>
      </c>
      <c r="H196" s="27" t="s">
        <v>187</v>
      </c>
      <c r="I196" s="27" t="s">
        <v>97</v>
      </c>
      <c r="J196" s="27" t="s">
        <v>161</v>
      </c>
      <c r="K196" s="28">
        <v>45352</v>
      </c>
      <c r="L196" s="28">
        <v>45382</v>
      </c>
      <c r="M196" s="29">
        <v>51</v>
      </c>
      <c r="N196" s="29">
        <v>11</v>
      </c>
      <c r="O196" s="29">
        <v>18</v>
      </c>
      <c r="P196" s="29">
        <v>22</v>
      </c>
      <c r="Q196" s="29">
        <v>51</v>
      </c>
      <c r="R196" s="29">
        <v>14</v>
      </c>
      <c r="S196" s="29">
        <v>15</v>
      </c>
      <c r="T196" s="29">
        <v>22</v>
      </c>
      <c r="U196" s="35">
        <v>3</v>
      </c>
      <c r="V196" s="30">
        <v>3.3</v>
      </c>
      <c r="W196" s="30">
        <v>26.42</v>
      </c>
      <c r="X196" s="30">
        <v>32.229999999999997</v>
      </c>
      <c r="Z196" s="30">
        <v>5.9</v>
      </c>
      <c r="AA196" s="30">
        <v>10.38</v>
      </c>
      <c r="AB196" s="30">
        <v>9.5</v>
      </c>
      <c r="AD196" s="30">
        <v>5.81</v>
      </c>
      <c r="AE196" s="30">
        <v>0.64</v>
      </c>
      <c r="AG196" s="30">
        <v>100</v>
      </c>
      <c r="AH196" s="30" t="s">
        <v>162</v>
      </c>
      <c r="AI196" s="30" t="s">
        <v>163</v>
      </c>
    </row>
    <row r="197" spans="1:35" ht="15" customHeight="1" x14ac:dyDescent="0.2">
      <c r="A197" s="27" t="s">
        <v>684</v>
      </c>
      <c r="B197" s="27" t="s">
        <v>156</v>
      </c>
      <c r="C197" s="27" t="s">
        <v>157</v>
      </c>
      <c r="D197" s="27" t="s">
        <v>685</v>
      </c>
      <c r="E197" s="28">
        <v>45419</v>
      </c>
      <c r="F197" s="28">
        <v>45454</v>
      </c>
      <c r="G197" s="27" t="s">
        <v>159</v>
      </c>
      <c r="H197" s="27" t="s">
        <v>187</v>
      </c>
      <c r="I197" s="27" t="s">
        <v>97</v>
      </c>
      <c r="J197" s="27" t="s">
        <v>161</v>
      </c>
      <c r="K197" s="28">
        <v>45383</v>
      </c>
      <c r="L197" s="28">
        <v>45412</v>
      </c>
      <c r="M197" s="29">
        <v>51</v>
      </c>
      <c r="N197" s="29">
        <v>14</v>
      </c>
      <c r="O197" s="29">
        <v>11</v>
      </c>
      <c r="P197" s="29">
        <v>26</v>
      </c>
      <c r="Q197" s="29">
        <v>67</v>
      </c>
      <c r="R197" s="29">
        <v>19</v>
      </c>
      <c r="S197" s="29">
        <v>15</v>
      </c>
      <c r="T197" s="29">
        <v>33</v>
      </c>
      <c r="U197" s="30">
        <v>3</v>
      </c>
      <c r="V197" s="30">
        <v>3.3</v>
      </c>
      <c r="W197" s="30">
        <v>27.76</v>
      </c>
      <c r="X197" s="30">
        <v>33.869999999999997</v>
      </c>
      <c r="Z197" s="30">
        <v>5.68</v>
      </c>
      <c r="AA197" s="30">
        <v>10.38</v>
      </c>
      <c r="AB197" s="30">
        <v>11.06</v>
      </c>
      <c r="AD197" s="30">
        <v>6.11</v>
      </c>
      <c r="AE197" s="30">
        <v>0.64</v>
      </c>
      <c r="AG197" s="30">
        <v>100</v>
      </c>
      <c r="AH197" s="30" t="s">
        <v>162</v>
      </c>
      <c r="AI197" s="30" t="s">
        <v>163</v>
      </c>
    </row>
    <row r="198" spans="1:35" ht="15" customHeight="1" x14ac:dyDescent="0.2">
      <c r="A198" s="27" t="s">
        <v>622</v>
      </c>
      <c r="B198" s="27" t="s">
        <v>156</v>
      </c>
      <c r="C198" s="27" t="s">
        <v>157</v>
      </c>
      <c r="D198" s="27" t="s">
        <v>623</v>
      </c>
      <c r="E198" s="28">
        <v>45449</v>
      </c>
      <c r="F198" s="28">
        <v>45484</v>
      </c>
      <c r="G198" s="27" t="s">
        <v>159</v>
      </c>
      <c r="H198" s="27" t="s">
        <v>187</v>
      </c>
      <c r="I198" s="27" t="s">
        <v>97</v>
      </c>
      <c r="J198" s="27" t="s">
        <v>161</v>
      </c>
      <c r="K198" s="28">
        <v>45413</v>
      </c>
      <c r="L198" s="28">
        <v>45443</v>
      </c>
      <c r="M198" s="29">
        <v>52</v>
      </c>
      <c r="N198" s="29">
        <v>15</v>
      </c>
      <c r="O198" s="29">
        <v>12</v>
      </c>
      <c r="P198" s="29">
        <v>25</v>
      </c>
      <c r="Q198" s="29">
        <v>71</v>
      </c>
      <c r="R198" s="29">
        <v>22</v>
      </c>
      <c r="S198" s="29">
        <v>16</v>
      </c>
      <c r="T198" s="29">
        <v>33</v>
      </c>
      <c r="U198" s="30">
        <v>3</v>
      </c>
      <c r="V198" s="30">
        <v>3.3</v>
      </c>
      <c r="W198" s="30">
        <v>28.5</v>
      </c>
      <c r="X198" s="30">
        <v>34.770000000000003</v>
      </c>
      <c r="Z198" s="30">
        <v>6.34</v>
      </c>
      <c r="AA198" s="30">
        <v>10.39</v>
      </c>
      <c r="AB198" s="30">
        <v>11.12</v>
      </c>
      <c r="AD198" s="30">
        <v>6.27</v>
      </c>
      <c r="AE198" s="30">
        <v>0.65</v>
      </c>
      <c r="AG198" s="30">
        <v>100</v>
      </c>
      <c r="AH198" s="30" t="s">
        <v>162</v>
      </c>
      <c r="AI198" s="30" t="s">
        <v>163</v>
      </c>
    </row>
    <row r="199" spans="1:35" ht="15" customHeight="1" x14ac:dyDescent="0.2">
      <c r="A199" s="27" t="s">
        <v>577</v>
      </c>
      <c r="B199" s="27" t="s">
        <v>156</v>
      </c>
      <c r="C199" s="27" t="s">
        <v>157</v>
      </c>
      <c r="D199" s="27" t="s">
        <v>578</v>
      </c>
      <c r="E199" s="28">
        <v>45478</v>
      </c>
      <c r="F199" s="28">
        <v>45513</v>
      </c>
      <c r="G199" s="27" t="s">
        <v>159</v>
      </c>
      <c r="H199" s="27" t="s">
        <v>187</v>
      </c>
      <c r="I199" s="27" t="s">
        <v>97</v>
      </c>
      <c r="J199" s="27" t="s">
        <v>161</v>
      </c>
      <c r="K199" s="28">
        <v>45444</v>
      </c>
      <c r="L199" s="28">
        <v>45473</v>
      </c>
      <c r="M199" s="29">
        <v>57</v>
      </c>
      <c r="N199" s="29">
        <v>16</v>
      </c>
      <c r="O199" s="29">
        <v>16</v>
      </c>
      <c r="P199" s="29">
        <v>25</v>
      </c>
      <c r="Q199" s="29">
        <v>85</v>
      </c>
      <c r="R199" s="29">
        <v>25</v>
      </c>
      <c r="S199" s="29">
        <v>23</v>
      </c>
      <c r="T199" s="29">
        <v>37</v>
      </c>
      <c r="U199" s="30">
        <v>3</v>
      </c>
      <c r="V199" s="30">
        <v>3.3</v>
      </c>
      <c r="W199" s="30">
        <v>30.3</v>
      </c>
      <c r="X199" s="30">
        <v>36.97</v>
      </c>
      <c r="Z199" s="30">
        <v>7.77</v>
      </c>
      <c r="AA199" s="30">
        <v>10.46</v>
      </c>
      <c r="AB199" s="30">
        <v>11.36</v>
      </c>
      <c r="AD199" s="30">
        <v>6.67</v>
      </c>
      <c r="AE199" s="30">
        <v>0.71</v>
      </c>
      <c r="AG199" s="30">
        <v>100</v>
      </c>
      <c r="AH199" s="30" t="s">
        <v>162</v>
      </c>
      <c r="AI199" s="30" t="s">
        <v>163</v>
      </c>
    </row>
    <row r="200" spans="1:35" ht="15" customHeight="1" x14ac:dyDescent="0.2">
      <c r="A200" s="27" t="s">
        <v>516</v>
      </c>
      <c r="B200" s="27" t="s">
        <v>156</v>
      </c>
      <c r="C200" s="27" t="s">
        <v>157</v>
      </c>
      <c r="D200" s="27" t="s">
        <v>517</v>
      </c>
      <c r="E200" s="28">
        <v>45511</v>
      </c>
      <c r="F200" s="28">
        <v>45546</v>
      </c>
      <c r="G200" s="27" t="s">
        <v>159</v>
      </c>
      <c r="H200" s="27" t="s">
        <v>187</v>
      </c>
      <c r="I200" s="27" t="s">
        <v>97</v>
      </c>
      <c r="J200" s="27" t="s">
        <v>161</v>
      </c>
      <c r="K200" s="28">
        <v>45474</v>
      </c>
      <c r="L200" s="28">
        <v>45504</v>
      </c>
      <c r="M200" s="29">
        <v>58</v>
      </c>
      <c r="N200" s="29">
        <v>20</v>
      </c>
      <c r="O200" s="29">
        <v>14</v>
      </c>
      <c r="P200" s="29">
        <v>24</v>
      </c>
      <c r="Q200" s="29">
        <v>88</v>
      </c>
      <c r="R200" s="29">
        <v>30</v>
      </c>
      <c r="S200" s="29">
        <v>21</v>
      </c>
      <c r="T200" s="29">
        <v>37</v>
      </c>
      <c r="U200" s="30">
        <v>3</v>
      </c>
      <c r="V200" s="30">
        <v>3.3</v>
      </c>
      <c r="W200" s="30">
        <v>31.43</v>
      </c>
      <c r="X200" s="30">
        <v>38.340000000000003</v>
      </c>
      <c r="Z200" s="30">
        <v>8.83</v>
      </c>
      <c r="AA200" s="30">
        <v>10.47</v>
      </c>
      <c r="AB200" s="30">
        <v>11.4</v>
      </c>
      <c r="AD200" s="30">
        <v>6.91</v>
      </c>
      <c r="AE200" s="30">
        <v>0.73</v>
      </c>
      <c r="AG200" s="30">
        <v>100</v>
      </c>
      <c r="AH200" s="30" t="s">
        <v>162</v>
      </c>
      <c r="AI200" s="30" t="s">
        <v>163</v>
      </c>
    </row>
    <row r="201" spans="1:35" ht="15" customHeight="1" x14ac:dyDescent="0.2">
      <c r="A201" s="27" t="s">
        <v>454</v>
      </c>
      <c r="B201" s="27" t="s">
        <v>156</v>
      </c>
      <c r="C201" s="27" t="s">
        <v>157</v>
      </c>
      <c r="D201" s="27" t="s">
        <v>455</v>
      </c>
      <c r="E201" s="28">
        <v>45541</v>
      </c>
      <c r="F201" s="28">
        <v>45576</v>
      </c>
      <c r="G201" s="27" t="s">
        <v>159</v>
      </c>
      <c r="H201" s="27" t="s">
        <v>187</v>
      </c>
      <c r="I201" s="27" t="s">
        <v>97</v>
      </c>
      <c r="J201" s="27" t="s">
        <v>161</v>
      </c>
      <c r="K201" s="28">
        <v>45505</v>
      </c>
      <c r="L201" s="28">
        <v>45535</v>
      </c>
      <c r="M201" s="29">
        <v>31</v>
      </c>
      <c r="N201" s="29">
        <v>10</v>
      </c>
      <c r="O201" s="29">
        <v>8</v>
      </c>
      <c r="P201" s="29">
        <v>13</v>
      </c>
      <c r="Q201" s="29">
        <v>45</v>
      </c>
      <c r="R201" s="29">
        <v>15</v>
      </c>
      <c r="S201" s="29">
        <v>12</v>
      </c>
      <c r="T201" s="29">
        <v>18</v>
      </c>
      <c r="U201" s="30">
        <v>3</v>
      </c>
      <c r="V201" s="30">
        <v>3.3</v>
      </c>
      <c r="W201" s="30">
        <v>25.53</v>
      </c>
      <c r="X201" s="30">
        <v>31.15</v>
      </c>
      <c r="Z201" s="30">
        <v>4.91</v>
      </c>
      <c r="AA201" s="30">
        <v>10.130000000000001</v>
      </c>
      <c r="AB201" s="30">
        <v>10.1</v>
      </c>
      <c r="AD201" s="30">
        <v>5.62</v>
      </c>
      <c r="AE201" s="30">
        <v>0.39</v>
      </c>
      <c r="AG201" s="30">
        <v>100</v>
      </c>
      <c r="AH201" s="30" t="s">
        <v>162</v>
      </c>
      <c r="AI201" s="30" t="s">
        <v>163</v>
      </c>
    </row>
    <row r="202" spans="1:35" ht="15" customHeight="1" x14ac:dyDescent="0.2">
      <c r="A202" s="27" t="s">
        <v>394</v>
      </c>
      <c r="B202" s="27" t="s">
        <v>156</v>
      </c>
      <c r="C202" s="27" t="s">
        <v>157</v>
      </c>
      <c r="D202" s="27" t="s">
        <v>395</v>
      </c>
      <c r="E202" s="28">
        <v>45571</v>
      </c>
      <c r="F202" s="28">
        <v>45607</v>
      </c>
      <c r="G202" s="27" t="s">
        <v>159</v>
      </c>
      <c r="H202" s="27" t="s">
        <v>187</v>
      </c>
      <c r="I202" s="27" t="s">
        <v>97</v>
      </c>
      <c r="J202" s="27" t="s">
        <v>161</v>
      </c>
      <c r="K202" s="28">
        <v>45536</v>
      </c>
      <c r="L202" s="28">
        <v>45565</v>
      </c>
      <c r="M202" s="29">
        <v>44</v>
      </c>
      <c r="N202" s="29">
        <v>14</v>
      </c>
      <c r="O202" s="29">
        <v>12</v>
      </c>
      <c r="P202" s="29">
        <v>18</v>
      </c>
      <c r="Q202" s="29">
        <v>64</v>
      </c>
      <c r="R202" s="29">
        <v>21</v>
      </c>
      <c r="S202" s="29">
        <v>15</v>
      </c>
      <c r="T202" s="29">
        <v>28</v>
      </c>
      <c r="U202" s="30">
        <v>3</v>
      </c>
      <c r="V202" s="30">
        <v>3.3</v>
      </c>
      <c r="W202" s="30">
        <v>27.96</v>
      </c>
      <c r="X202" s="30">
        <v>34.11</v>
      </c>
      <c r="Z202" s="30">
        <v>6.38</v>
      </c>
      <c r="AA202" s="30">
        <v>10.29</v>
      </c>
      <c r="AB202" s="30">
        <v>10.74</v>
      </c>
      <c r="AD202" s="30">
        <v>6.15</v>
      </c>
      <c r="AE202" s="30">
        <v>0.55000000000000004</v>
      </c>
      <c r="AG202" s="30">
        <v>100</v>
      </c>
      <c r="AH202" s="30" t="s">
        <v>162</v>
      </c>
      <c r="AI202" s="30" t="s">
        <v>163</v>
      </c>
    </row>
    <row r="203" spans="1:35" ht="15" customHeight="1" x14ac:dyDescent="0.2">
      <c r="A203" s="27" t="s">
        <v>336</v>
      </c>
      <c r="B203" s="27" t="s">
        <v>156</v>
      </c>
      <c r="C203" s="27" t="s">
        <v>157</v>
      </c>
      <c r="D203" s="27" t="s">
        <v>337</v>
      </c>
      <c r="E203" s="28">
        <v>45604</v>
      </c>
      <c r="F203" s="28">
        <v>45639</v>
      </c>
      <c r="G203" s="27" t="s">
        <v>159</v>
      </c>
      <c r="H203" s="27" t="s">
        <v>187</v>
      </c>
      <c r="I203" s="27" t="s">
        <v>97</v>
      </c>
      <c r="J203" s="27" t="s">
        <v>161</v>
      </c>
      <c r="K203" s="28">
        <v>45566</v>
      </c>
      <c r="L203" s="28">
        <v>45596</v>
      </c>
      <c r="M203" s="29">
        <v>13</v>
      </c>
      <c r="N203" s="29">
        <v>4</v>
      </c>
      <c r="O203" s="29">
        <v>8</v>
      </c>
      <c r="P203" s="29">
        <v>1</v>
      </c>
      <c r="Q203" s="29">
        <v>3</v>
      </c>
      <c r="R203" s="29">
        <v>1</v>
      </c>
      <c r="S203" s="29">
        <v>2</v>
      </c>
      <c r="T203" s="29">
        <v>0</v>
      </c>
      <c r="U203" s="30">
        <v>3</v>
      </c>
      <c r="V203" s="30">
        <v>3.3</v>
      </c>
      <c r="W203" s="30">
        <v>21.27</v>
      </c>
      <c r="X203" s="30">
        <v>25.95</v>
      </c>
      <c r="Z203" s="30">
        <v>1.98</v>
      </c>
      <c r="AA203" s="30">
        <v>9.9</v>
      </c>
      <c r="AB203" s="30">
        <v>9.23</v>
      </c>
      <c r="AD203" s="30">
        <v>4.68</v>
      </c>
      <c r="AE203" s="30">
        <v>0.16</v>
      </c>
      <c r="AG203" s="30">
        <v>100</v>
      </c>
      <c r="AH203" s="30" t="s">
        <v>162</v>
      </c>
      <c r="AI203" s="30" t="s">
        <v>163</v>
      </c>
    </row>
    <row r="204" spans="1:35" ht="15" customHeight="1" x14ac:dyDescent="0.2">
      <c r="A204" s="27" t="s">
        <v>278</v>
      </c>
      <c r="B204" s="27" t="s">
        <v>156</v>
      </c>
      <c r="C204" s="27" t="s">
        <v>157</v>
      </c>
      <c r="D204" s="27" t="s">
        <v>279</v>
      </c>
      <c r="E204" s="28">
        <v>45632</v>
      </c>
      <c r="F204" s="28">
        <v>45667</v>
      </c>
      <c r="G204" s="27" t="s">
        <v>159</v>
      </c>
      <c r="H204" s="27" t="s">
        <v>187</v>
      </c>
      <c r="I204" s="27" t="s">
        <v>97</v>
      </c>
      <c r="J204" s="27" t="s">
        <v>161</v>
      </c>
      <c r="K204" s="28">
        <v>45597</v>
      </c>
      <c r="L204" s="28">
        <v>45626</v>
      </c>
      <c r="M204" s="29">
        <v>47</v>
      </c>
      <c r="N204" s="29">
        <v>11</v>
      </c>
      <c r="O204" s="29">
        <v>7</v>
      </c>
      <c r="P204" s="29">
        <v>29</v>
      </c>
      <c r="Q204" s="29">
        <v>26</v>
      </c>
      <c r="R204" s="29">
        <v>7</v>
      </c>
      <c r="S204" s="29">
        <v>5</v>
      </c>
      <c r="T204" s="29">
        <v>14</v>
      </c>
      <c r="U204" s="35">
        <v>3</v>
      </c>
      <c r="V204" s="30">
        <v>3.3</v>
      </c>
      <c r="W204" s="30">
        <v>29.26</v>
      </c>
      <c r="X204" s="30">
        <v>35.700000000000003</v>
      </c>
      <c r="Z204" s="30">
        <v>7.46</v>
      </c>
      <c r="AA204" s="30">
        <v>10.34</v>
      </c>
      <c r="AB204" s="30">
        <v>10.87</v>
      </c>
      <c r="AD204" s="30">
        <v>6.44</v>
      </c>
      <c r="AE204" s="30">
        <v>0.59</v>
      </c>
      <c r="AG204" s="30">
        <v>100</v>
      </c>
      <c r="AH204" s="30" t="s">
        <v>162</v>
      </c>
      <c r="AI204" s="30" t="s">
        <v>163</v>
      </c>
    </row>
    <row r="205" spans="1:35" ht="15" customHeight="1" x14ac:dyDescent="0.2">
      <c r="A205" s="27" t="s">
        <v>185</v>
      </c>
      <c r="B205" s="27" t="s">
        <v>156</v>
      </c>
      <c r="C205" s="27" t="s">
        <v>157</v>
      </c>
      <c r="D205" s="27" t="s">
        <v>186</v>
      </c>
      <c r="E205" s="28">
        <v>45665</v>
      </c>
      <c r="F205" s="28">
        <v>45700</v>
      </c>
      <c r="G205" s="27" t="s">
        <v>159</v>
      </c>
      <c r="H205" s="27" t="s">
        <v>187</v>
      </c>
      <c r="I205" s="27" t="s">
        <v>97</v>
      </c>
      <c r="J205" s="27" t="s">
        <v>161</v>
      </c>
      <c r="K205" s="28">
        <v>45627</v>
      </c>
      <c r="L205" s="28">
        <v>45657</v>
      </c>
      <c r="M205" s="29">
        <v>85</v>
      </c>
      <c r="N205" s="29">
        <v>20</v>
      </c>
      <c r="O205" s="29">
        <v>44</v>
      </c>
      <c r="P205" s="29">
        <v>21</v>
      </c>
      <c r="Q205" s="29">
        <v>34</v>
      </c>
      <c r="R205" s="29">
        <v>8</v>
      </c>
      <c r="S205" s="29">
        <v>15</v>
      </c>
      <c r="T205" s="29">
        <v>11</v>
      </c>
      <c r="U205" s="30">
        <v>3</v>
      </c>
      <c r="V205" s="30">
        <v>3.3</v>
      </c>
      <c r="W205" s="30">
        <v>39.74</v>
      </c>
      <c r="X205" s="30">
        <v>48.48</v>
      </c>
      <c r="Z205" s="30">
        <v>15.16</v>
      </c>
      <c r="AA205" s="30">
        <v>10.82</v>
      </c>
      <c r="AB205" s="30">
        <v>12.7</v>
      </c>
      <c r="AD205" s="30">
        <v>8.74</v>
      </c>
      <c r="AE205" s="30">
        <v>1.06</v>
      </c>
      <c r="AG205" s="30">
        <v>100</v>
      </c>
      <c r="AH205" s="30" t="s">
        <v>162</v>
      </c>
      <c r="AI205" s="30" t="s">
        <v>163</v>
      </c>
    </row>
    <row r="206" spans="1:35" ht="15" customHeight="1" x14ac:dyDescent="0.2">
      <c r="A206" s="27" t="s">
        <v>871</v>
      </c>
      <c r="B206" s="27" t="s">
        <v>839</v>
      </c>
      <c r="C206" s="27" t="s">
        <v>840</v>
      </c>
      <c r="D206" s="27" t="s">
        <v>872</v>
      </c>
      <c r="E206" s="28">
        <v>45350</v>
      </c>
      <c r="F206" s="28">
        <v>45380</v>
      </c>
      <c r="G206" s="27" t="s">
        <v>159</v>
      </c>
      <c r="H206" s="27" t="s">
        <v>873</v>
      </c>
      <c r="I206" s="27" t="s">
        <v>21</v>
      </c>
      <c r="J206" s="27" t="s">
        <v>843</v>
      </c>
      <c r="K206" s="28">
        <v>45292</v>
      </c>
      <c r="L206" s="28">
        <v>45322</v>
      </c>
      <c r="M206" s="29">
        <v>2373</v>
      </c>
      <c r="N206" s="29">
        <v>545</v>
      </c>
      <c r="O206" s="29">
        <v>548</v>
      </c>
      <c r="P206" s="29">
        <v>1280</v>
      </c>
      <c r="Q206" s="29">
        <v>0</v>
      </c>
      <c r="R206" s="29">
        <v>0</v>
      </c>
      <c r="S206" s="29">
        <v>0</v>
      </c>
      <c r="T206" s="29">
        <v>0</v>
      </c>
      <c r="U206" s="30">
        <v>10</v>
      </c>
      <c r="V206" s="30">
        <v>11</v>
      </c>
      <c r="W206" s="30">
        <v>588</v>
      </c>
      <c r="X206" s="30">
        <v>717.36</v>
      </c>
      <c r="Z206" s="30">
        <v>364.81</v>
      </c>
      <c r="AA206" s="30">
        <v>60.35</v>
      </c>
      <c r="AB206" s="30">
        <v>121.31</v>
      </c>
      <c r="AC206" s="35">
        <v>11.87</v>
      </c>
      <c r="AD206" s="30">
        <v>29.66</v>
      </c>
      <c r="AE206" s="30">
        <v>129.36000000000001</v>
      </c>
      <c r="AG206" s="30">
        <v>100</v>
      </c>
      <c r="AH206" s="30" t="s">
        <v>162</v>
      </c>
      <c r="AI206" s="30" t="s">
        <v>851</v>
      </c>
    </row>
    <row r="207" spans="1:35" ht="15" customHeight="1" x14ac:dyDescent="0.2">
      <c r="A207" s="27" t="s">
        <v>782</v>
      </c>
      <c r="B207" s="27" t="s">
        <v>156</v>
      </c>
      <c r="C207" s="27" t="s">
        <v>157</v>
      </c>
      <c r="D207" s="27" t="s">
        <v>783</v>
      </c>
      <c r="E207" s="28">
        <v>45358</v>
      </c>
      <c r="F207" s="28">
        <v>45393</v>
      </c>
      <c r="G207" s="27" t="s">
        <v>159</v>
      </c>
      <c r="H207" s="27" t="s">
        <v>160</v>
      </c>
      <c r="I207" s="27" t="s">
        <v>21</v>
      </c>
      <c r="J207" s="27" t="s">
        <v>161</v>
      </c>
      <c r="K207" s="28">
        <v>45323</v>
      </c>
      <c r="L207" s="28">
        <v>45351</v>
      </c>
      <c r="M207" s="29">
        <v>1383</v>
      </c>
      <c r="N207" s="29">
        <v>330</v>
      </c>
      <c r="O207" s="29">
        <v>345</v>
      </c>
      <c r="P207" s="29">
        <v>708</v>
      </c>
      <c r="Q207" s="29">
        <v>0</v>
      </c>
      <c r="R207" s="29">
        <v>0</v>
      </c>
      <c r="S207" s="29">
        <v>0</v>
      </c>
      <c r="T207" s="29">
        <v>0</v>
      </c>
      <c r="U207" s="30">
        <v>10</v>
      </c>
      <c r="V207" s="30">
        <v>11</v>
      </c>
      <c r="W207" s="30">
        <v>307.25</v>
      </c>
      <c r="X207" s="30">
        <v>374.85</v>
      </c>
      <c r="Z207" s="30">
        <v>162.06</v>
      </c>
      <c r="AA207" s="30">
        <v>47.63</v>
      </c>
      <c r="AB207" s="30">
        <v>80.27</v>
      </c>
      <c r="AD207" s="30">
        <v>67.599999999999994</v>
      </c>
      <c r="AE207" s="30">
        <v>17.29</v>
      </c>
      <c r="AG207" s="30">
        <v>100</v>
      </c>
      <c r="AH207" s="30" t="s">
        <v>162</v>
      </c>
      <c r="AI207" s="30" t="s">
        <v>163</v>
      </c>
    </row>
    <row r="208" spans="1:35" ht="15" customHeight="1" x14ac:dyDescent="0.2">
      <c r="A208" s="27" t="s">
        <v>734</v>
      </c>
      <c r="B208" s="27" t="s">
        <v>156</v>
      </c>
      <c r="C208" s="27" t="s">
        <v>157</v>
      </c>
      <c r="D208" s="27" t="s">
        <v>735</v>
      </c>
      <c r="E208" s="28">
        <v>45390</v>
      </c>
      <c r="F208" s="28">
        <v>45425</v>
      </c>
      <c r="G208" s="27" t="s">
        <v>159</v>
      </c>
      <c r="H208" s="27" t="s">
        <v>160</v>
      </c>
      <c r="I208" s="27" t="s">
        <v>21</v>
      </c>
      <c r="J208" s="27" t="s">
        <v>161</v>
      </c>
      <c r="K208" s="28">
        <v>45352</v>
      </c>
      <c r="L208" s="28">
        <v>45382</v>
      </c>
      <c r="M208" s="29">
        <v>936</v>
      </c>
      <c r="N208" s="29">
        <v>183</v>
      </c>
      <c r="O208" s="29">
        <v>234</v>
      </c>
      <c r="P208" s="29">
        <v>519</v>
      </c>
      <c r="Q208" s="29">
        <v>0</v>
      </c>
      <c r="R208" s="29">
        <v>0</v>
      </c>
      <c r="S208" s="29">
        <v>0</v>
      </c>
      <c r="T208" s="29">
        <v>0</v>
      </c>
      <c r="U208" s="30">
        <v>10</v>
      </c>
      <c r="V208" s="30">
        <v>11</v>
      </c>
      <c r="W208" s="30">
        <v>222.11</v>
      </c>
      <c r="X208" s="30">
        <v>270.97000000000003</v>
      </c>
      <c r="Z208" s="30">
        <v>106.77</v>
      </c>
      <c r="AA208" s="30">
        <v>41.89</v>
      </c>
      <c r="AB208" s="30">
        <v>61.75</v>
      </c>
      <c r="AD208" s="30">
        <v>48.86</v>
      </c>
      <c r="AE208" s="30">
        <v>11.7</v>
      </c>
      <c r="AG208" s="30">
        <v>100</v>
      </c>
      <c r="AH208" s="30" t="s">
        <v>162</v>
      </c>
      <c r="AI208" s="30" t="s">
        <v>163</v>
      </c>
    </row>
    <row r="209" spans="1:35" ht="15" customHeight="1" x14ac:dyDescent="0.2">
      <c r="A209" s="27" t="s">
        <v>672</v>
      </c>
      <c r="B209" s="27" t="s">
        <v>156</v>
      </c>
      <c r="C209" s="27" t="s">
        <v>157</v>
      </c>
      <c r="D209" s="27" t="s">
        <v>673</v>
      </c>
      <c r="E209" s="28">
        <v>45419</v>
      </c>
      <c r="F209" s="28">
        <v>45454</v>
      </c>
      <c r="G209" s="27" t="s">
        <v>159</v>
      </c>
      <c r="H209" s="27" t="s">
        <v>160</v>
      </c>
      <c r="I209" s="27" t="s">
        <v>21</v>
      </c>
      <c r="J209" s="27" t="s">
        <v>161</v>
      </c>
      <c r="K209" s="28">
        <v>45383</v>
      </c>
      <c r="L209" s="28">
        <v>45412</v>
      </c>
      <c r="M209" s="29">
        <v>517</v>
      </c>
      <c r="N209" s="29">
        <v>49</v>
      </c>
      <c r="O209" s="29">
        <v>128</v>
      </c>
      <c r="P209" s="29">
        <v>340</v>
      </c>
      <c r="Q209" s="29">
        <v>0</v>
      </c>
      <c r="R209" s="29">
        <v>0</v>
      </c>
      <c r="S209" s="29">
        <v>0</v>
      </c>
      <c r="T209" s="29">
        <v>0</v>
      </c>
      <c r="U209" s="30">
        <v>10</v>
      </c>
      <c r="V209" s="30">
        <v>11</v>
      </c>
      <c r="W209" s="30">
        <v>152.24</v>
      </c>
      <c r="X209" s="30">
        <v>185.73</v>
      </c>
      <c r="Z209" s="30">
        <v>57.62</v>
      </c>
      <c r="AA209" s="30">
        <v>36.5</v>
      </c>
      <c r="AB209" s="30">
        <v>51.66</v>
      </c>
      <c r="AD209" s="30">
        <v>33.49</v>
      </c>
      <c r="AE209" s="30">
        <v>6.46</v>
      </c>
      <c r="AG209" s="30">
        <v>100</v>
      </c>
      <c r="AH209" s="30" t="s">
        <v>162</v>
      </c>
      <c r="AI209" s="30" t="s">
        <v>163</v>
      </c>
    </row>
    <row r="210" spans="1:35" ht="15" customHeight="1" x14ac:dyDescent="0.2">
      <c r="A210" s="27" t="s">
        <v>608</v>
      </c>
      <c r="B210" s="27" t="s">
        <v>156</v>
      </c>
      <c r="C210" s="27" t="s">
        <v>157</v>
      </c>
      <c r="D210" s="27" t="s">
        <v>609</v>
      </c>
      <c r="E210" s="28">
        <v>45449</v>
      </c>
      <c r="F210" s="28">
        <v>45484</v>
      </c>
      <c r="G210" s="27" t="s">
        <v>159</v>
      </c>
      <c r="H210" s="27" t="s">
        <v>160</v>
      </c>
      <c r="I210" s="27" t="s">
        <v>21</v>
      </c>
      <c r="J210" s="27" t="s">
        <v>161</v>
      </c>
      <c r="K210" s="28">
        <v>45413</v>
      </c>
      <c r="L210" s="28">
        <v>45443</v>
      </c>
      <c r="M210" s="29">
        <v>215</v>
      </c>
      <c r="N210" s="29">
        <v>39</v>
      </c>
      <c r="O210" s="29">
        <v>53</v>
      </c>
      <c r="P210" s="29">
        <v>123</v>
      </c>
      <c r="Q210" s="29">
        <v>0</v>
      </c>
      <c r="R210" s="29">
        <v>0</v>
      </c>
      <c r="S210" s="29">
        <v>0</v>
      </c>
      <c r="T210" s="29">
        <v>0</v>
      </c>
      <c r="U210" s="35">
        <v>10</v>
      </c>
      <c r="V210" s="30">
        <v>11</v>
      </c>
      <c r="W210" s="30">
        <v>98.17</v>
      </c>
      <c r="X210" s="30">
        <v>119.77</v>
      </c>
      <c r="Z210" s="30">
        <v>25.75</v>
      </c>
      <c r="AA210" s="30">
        <v>32.619999999999997</v>
      </c>
      <c r="AB210" s="30">
        <v>37.11</v>
      </c>
      <c r="AD210" s="30">
        <v>21.6</v>
      </c>
      <c r="AE210" s="30">
        <v>2.69</v>
      </c>
      <c r="AG210" s="30">
        <v>100</v>
      </c>
      <c r="AH210" s="30" t="s">
        <v>162</v>
      </c>
      <c r="AI210" s="30" t="s">
        <v>163</v>
      </c>
    </row>
    <row r="211" spans="1:35" ht="15" customHeight="1" x14ac:dyDescent="0.2">
      <c r="A211" s="27" t="s">
        <v>564</v>
      </c>
      <c r="B211" s="27" t="s">
        <v>156</v>
      </c>
      <c r="C211" s="27" t="s">
        <v>157</v>
      </c>
      <c r="D211" s="27" t="s">
        <v>565</v>
      </c>
      <c r="E211" s="28">
        <v>45478</v>
      </c>
      <c r="F211" s="28">
        <v>45513</v>
      </c>
      <c r="G211" s="27" t="s">
        <v>159</v>
      </c>
      <c r="H211" s="27" t="s">
        <v>160</v>
      </c>
      <c r="I211" s="27" t="s">
        <v>21</v>
      </c>
      <c r="J211" s="27" t="s">
        <v>161</v>
      </c>
      <c r="K211" s="28">
        <v>45444</v>
      </c>
      <c r="L211" s="28">
        <v>45473</v>
      </c>
      <c r="M211" s="29">
        <v>214</v>
      </c>
      <c r="N211" s="29">
        <v>23</v>
      </c>
      <c r="O211" s="29">
        <v>51</v>
      </c>
      <c r="P211" s="29">
        <v>140</v>
      </c>
      <c r="Q211" s="29">
        <v>0</v>
      </c>
      <c r="R211" s="29">
        <v>0</v>
      </c>
      <c r="S211" s="29">
        <v>0</v>
      </c>
      <c r="T211" s="29">
        <v>0</v>
      </c>
      <c r="U211" s="35">
        <v>10</v>
      </c>
      <c r="V211" s="30">
        <v>11</v>
      </c>
      <c r="W211" s="30">
        <v>100.39</v>
      </c>
      <c r="X211" s="30">
        <v>122.48</v>
      </c>
      <c r="Z211" s="30">
        <v>28.05</v>
      </c>
      <c r="AA211" s="30">
        <v>32.61</v>
      </c>
      <c r="AB211" s="30">
        <v>37.049999999999997</v>
      </c>
      <c r="AD211" s="30">
        <v>22.09</v>
      </c>
      <c r="AE211" s="30">
        <v>2.68</v>
      </c>
      <c r="AG211" s="30">
        <v>100</v>
      </c>
      <c r="AH211" s="30" t="s">
        <v>162</v>
      </c>
      <c r="AI211" s="30" t="s">
        <v>163</v>
      </c>
    </row>
    <row r="212" spans="1:35" ht="15" customHeight="1" x14ac:dyDescent="0.2">
      <c r="A212" s="27" t="s">
        <v>506</v>
      </c>
      <c r="B212" s="27" t="s">
        <v>156</v>
      </c>
      <c r="C212" s="27" t="s">
        <v>157</v>
      </c>
      <c r="D212" s="27" t="s">
        <v>507</v>
      </c>
      <c r="E212" s="28">
        <v>45511</v>
      </c>
      <c r="F212" s="28">
        <v>45546</v>
      </c>
      <c r="G212" s="27" t="s">
        <v>159</v>
      </c>
      <c r="H212" s="27" t="s">
        <v>160</v>
      </c>
      <c r="I212" s="27" t="s">
        <v>21</v>
      </c>
      <c r="J212" s="27" t="s">
        <v>161</v>
      </c>
      <c r="K212" s="28">
        <v>45474</v>
      </c>
      <c r="L212" s="28">
        <v>45504</v>
      </c>
      <c r="M212" s="29">
        <v>632</v>
      </c>
      <c r="N212" s="29">
        <v>90</v>
      </c>
      <c r="O212" s="29">
        <v>190</v>
      </c>
      <c r="P212" s="29">
        <v>352</v>
      </c>
      <c r="Q212" s="29">
        <v>1</v>
      </c>
      <c r="R212" s="29">
        <v>0</v>
      </c>
      <c r="S212" s="29">
        <v>1</v>
      </c>
      <c r="T212" s="29">
        <v>0</v>
      </c>
      <c r="U212" s="35">
        <v>10</v>
      </c>
      <c r="V212" s="30">
        <v>11</v>
      </c>
      <c r="W212" s="30">
        <v>200.78</v>
      </c>
      <c r="X212" s="30">
        <v>244.95</v>
      </c>
      <c r="Z212" s="30">
        <v>97.7</v>
      </c>
      <c r="AA212" s="30">
        <v>37.979999999999997</v>
      </c>
      <c r="AB212" s="30">
        <v>57.2</v>
      </c>
      <c r="AD212" s="30">
        <v>44.17</v>
      </c>
      <c r="AE212" s="30">
        <v>7.9</v>
      </c>
      <c r="AG212" s="30">
        <v>100</v>
      </c>
      <c r="AH212" s="30" t="s">
        <v>162</v>
      </c>
      <c r="AI212" s="30" t="s">
        <v>163</v>
      </c>
    </row>
    <row r="213" spans="1:35" ht="15" customHeight="1" x14ac:dyDescent="0.2">
      <c r="A213" s="27" t="s">
        <v>440</v>
      </c>
      <c r="B213" s="27" t="s">
        <v>156</v>
      </c>
      <c r="C213" s="27" t="s">
        <v>157</v>
      </c>
      <c r="D213" s="27" t="s">
        <v>441</v>
      </c>
      <c r="E213" s="28">
        <v>45541</v>
      </c>
      <c r="F213" s="28">
        <v>45576</v>
      </c>
      <c r="G213" s="27" t="s">
        <v>159</v>
      </c>
      <c r="H213" s="27" t="s">
        <v>160</v>
      </c>
      <c r="I213" s="27" t="s">
        <v>21</v>
      </c>
      <c r="J213" s="27" t="s">
        <v>161</v>
      </c>
      <c r="K213" s="28">
        <v>45505</v>
      </c>
      <c r="L213" s="28">
        <v>45535</v>
      </c>
      <c r="M213" s="29">
        <v>590</v>
      </c>
      <c r="N213" s="29">
        <v>76</v>
      </c>
      <c r="O213" s="29">
        <v>182</v>
      </c>
      <c r="P213" s="29">
        <v>332</v>
      </c>
      <c r="Q213" s="29">
        <v>0</v>
      </c>
      <c r="R213" s="29">
        <v>0</v>
      </c>
      <c r="S213" s="29">
        <v>0</v>
      </c>
      <c r="T213" s="29">
        <v>0</v>
      </c>
      <c r="U213" s="30">
        <v>10</v>
      </c>
      <c r="V213" s="30">
        <v>11</v>
      </c>
      <c r="W213" s="30">
        <v>194.44</v>
      </c>
      <c r="X213" s="30">
        <v>237.22</v>
      </c>
      <c r="Z213" s="30">
        <v>94.44</v>
      </c>
      <c r="AA213" s="30">
        <v>37.44</v>
      </c>
      <c r="AB213" s="30">
        <v>55.18</v>
      </c>
      <c r="AD213" s="30">
        <v>42.78</v>
      </c>
      <c r="AE213" s="30">
        <v>7.38</v>
      </c>
      <c r="AG213" s="30">
        <v>100</v>
      </c>
      <c r="AH213" s="30" t="s">
        <v>162</v>
      </c>
      <c r="AI213" s="30" t="s">
        <v>163</v>
      </c>
    </row>
    <row r="214" spans="1:35" ht="15" customHeight="1" x14ac:dyDescent="0.2">
      <c r="A214" s="27" t="s">
        <v>382</v>
      </c>
      <c r="B214" s="27" t="s">
        <v>156</v>
      </c>
      <c r="C214" s="27" t="s">
        <v>157</v>
      </c>
      <c r="D214" s="27" t="s">
        <v>383</v>
      </c>
      <c r="E214" s="28">
        <v>45571</v>
      </c>
      <c r="F214" s="28">
        <v>45607</v>
      </c>
      <c r="G214" s="27" t="s">
        <v>159</v>
      </c>
      <c r="H214" s="27" t="s">
        <v>160</v>
      </c>
      <c r="I214" s="27" t="s">
        <v>21</v>
      </c>
      <c r="J214" s="27" t="s">
        <v>161</v>
      </c>
      <c r="K214" s="28">
        <v>45536</v>
      </c>
      <c r="L214" s="28">
        <v>45565</v>
      </c>
      <c r="M214" s="29">
        <v>342</v>
      </c>
      <c r="N214" s="29">
        <v>61</v>
      </c>
      <c r="O214" s="29">
        <v>89</v>
      </c>
      <c r="P214" s="29">
        <v>192</v>
      </c>
      <c r="Q214" s="29">
        <v>0</v>
      </c>
      <c r="R214" s="29">
        <v>0</v>
      </c>
      <c r="S214" s="29">
        <v>0</v>
      </c>
      <c r="T214" s="29">
        <v>0</v>
      </c>
      <c r="U214" s="30">
        <v>10</v>
      </c>
      <c r="V214" s="30">
        <v>11</v>
      </c>
      <c r="W214" s="30">
        <v>130.71</v>
      </c>
      <c r="X214" s="30">
        <v>159.47</v>
      </c>
      <c r="Z214" s="30">
        <v>48.94</v>
      </c>
      <c r="AA214" s="30">
        <v>34.26</v>
      </c>
      <c r="AB214" s="30">
        <v>43.23</v>
      </c>
      <c r="AD214" s="30">
        <v>28.76</v>
      </c>
      <c r="AE214" s="30">
        <v>4.28</v>
      </c>
      <c r="AG214" s="30">
        <v>100</v>
      </c>
      <c r="AH214" s="30" t="s">
        <v>162</v>
      </c>
      <c r="AI214" s="30" t="s">
        <v>163</v>
      </c>
    </row>
    <row r="215" spans="1:35" ht="15" customHeight="1" x14ac:dyDescent="0.2">
      <c r="A215" s="27" t="s">
        <v>322</v>
      </c>
      <c r="B215" s="27" t="s">
        <v>156</v>
      </c>
      <c r="C215" s="27" t="s">
        <v>157</v>
      </c>
      <c r="D215" s="27" t="s">
        <v>323</v>
      </c>
      <c r="E215" s="28">
        <v>45604</v>
      </c>
      <c r="F215" s="28">
        <v>45639</v>
      </c>
      <c r="G215" s="27" t="s">
        <v>159</v>
      </c>
      <c r="H215" s="27" t="s">
        <v>160</v>
      </c>
      <c r="I215" s="27" t="s">
        <v>21</v>
      </c>
      <c r="J215" s="27" t="s">
        <v>161</v>
      </c>
      <c r="K215" s="28">
        <v>45566</v>
      </c>
      <c r="L215" s="28">
        <v>45596</v>
      </c>
      <c r="M215" s="29">
        <v>475</v>
      </c>
      <c r="N215" s="29">
        <v>222</v>
      </c>
      <c r="O215" s="29">
        <v>102</v>
      </c>
      <c r="P215" s="29">
        <v>151</v>
      </c>
      <c r="Q215" s="29">
        <v>0</v>
      </c>
      <c r="R215" s="29">
        <v>0</v>
      </c>
      <c r="S215" s="29">
        <v>0</v>
      </c>
      <c r="T215" s="29">
        <v>0</v>
      </c>
      <c r="U215" s="35">
        <v>10</v>
      </c>
      <c r="V215" s="30">
        <v>11</v>
      </c>
      <c r="W215" s="30">
        <v>162.1</v>
      </c>
      <c r="X215" s="30">
        <v>197.76</v>
      </c>
      <c r="Z215" s="30">
        <v>70.56</v>
      </c>
      <c r="AA215" s="30">
        <v>35.96</v>
      </c>
      <c r="AB215" s="30">
        <v>49.64</v>
      </c>
      <c r="AD215" s="30">
        <v>35.659999999999997</v>
      </c>
      <c r="AE215" s="30">
        <v>5.94</v>
      </c>
      <c r="AG215" s="30">
        <v>100</v>
      </c>
      <c r="AH215" s="30" t="s">
        <v>162</v>
      </c>
      <c r="AI215" s="30" t="s">
        <v>163</v>
      </c>
    </row>
    <row r="216" spans="1:35" ht="15" customHeight="1" x14ac:dyDescent="0.2">
      <c r="A216" s="27" t="s">
        <v>264</v>
      </c>
      <c r="B216" s="27" t="s">
        <v>156</v>
      </c>
      <c r="C216" s="27" t="s">
        <v>157</v>
      </c>
      <c r="D216" s="27" t="s">
        <v>265</v>
      </c>
      <c r="E216" s="28">
        <v>45632</v>
      </c>
      <c r="F216" s="28">
        <v>45667</v>
      </c>
      <c r="G216" s="27" t="s">
        <v>159</v>
      </c>
      <c r="H216" s="27" t="s">
        <v>160</v>
      </c>
      <c r="I216" s="27" t="s">
        <v>21</v>
      </c>
      <c r="J216" s="27" t="s">
        <v>161</v>
      </c>
      <c r="K216" s="28">
        <v>45597</v>
      </c>
      <c r="L216" s="28">
        <v>45626</v>
      </c>
      <c r="M216" s="29">
        <v>1108</v>
      </c>
      <c r="N216" s="29">
        <v>523</v>
      </c>
      <c r="O216" s="29">
        <v>281</v>
      </c>
      <c r="P216" s="29">
        <v>304</v>
      </c>
      <c r="Q216" s="29">
        <v>0</v>
      </c>
      <c r="R216" s="29">
        <v>0</v>
      </c>
      <c r="S216" s="29">
        <v>0</v>
      </c>
      <c r="T216" s="29">
        <v>0</v>
      </c>
      <c r="U216" s="30">
        <v>10</v>
      </c>
      <c r="V216" s="30">
        <v>11</v>
      </c>
      <c r="W216" s="30">
        <v>323.72000000000003</v>
      </c>
      <c r="X216" s="30">
        <v>394.94</v>
      </c>
      <c r="Z216" s="30">
        <v>185.62</v>
      </c>
      <c r="AA216" s="30">
        <v>44.1</v>
      </c>
      <c r="AB216" s="30">
        <v>80.150000000000006</v>
      </c>
      <c r="AD216" s="30">
        <v>71.22</v>
      </c>
      <c r="AE216" s="30">
        <v>13.85</v>
      </c>
      <c r="AG216" s="30">
        <v>100</v>
      </c>
      <c r="AH216" s="30" t="s">
        <v>162</v>
      </c>
      <c r="AI216" s="30" t="s">
        <v>163</v>
      </c>
    </row>
    <row r="217" spans="1:35" ht="15" customHeight="1" x14ac:dyDescent="0.2">
      <c r="A217" s="27" t="s">
        <v>155</v>
      </c>
      <c r="B217" s="27" t="s">
        <v>156</v>
      </c>
      <c r="C217" s="27" t="s">
        <v>157</v>
      </c>
      <c r="D217" s="27" t="s">
        <v>158</v>
      </c>
      <c r="E217" s="28">
        <v>45665</v>
      </c>
      <c r="F217" s="28">
        <v>45700</v>
      </c>
      <c r="G217" s="27" t="s">
        <v>159</v>
      </c>
      <c r="H217" s="27" t="s">
        <v>160</v>
      </c>
      <c r="I217" s="27" t="s">
        <v>21</v>
      </c>
      <c r="J217" s="27" t="s">
        <v>161</v>
      </c>
      <c r="K217" s="28">
        <v>45627</v>
      </c>
      <c r="L217" s="28">
        <v>45657</v>
      </c>
      <c r="M217" s="29">
        <v>2134</v>
      </c>
      <c r="N217" s="29">
        <v>749</v>
      </c>
      <c r="O217" s="29">
        <v>388</v>
      </c>
      <c r="P217" s="29">
        <v>997</v>
      </c>
      <c r="Q217" s="29">
        <v>1</v>
      </c>
      <c r="R217" s="29">
        <v>1</v>
      </c>
      <c r="S217" s="29">
        <v>0</v>
      </c>
      <c r="T217" s="29">
        <v>0</v>
      </c>
      <c r="U217" s="30">
        <v>10</v>
      </c>
      <c r="V217" s="30">
        <v>11</v>
      </c>
      <c r="W217" s="30">
        <v>583.6</v>
      </c>
      <c r="X217" s="30">
        <v>711.99</v>
      </c>
      <c r="Z217" s="30">
        <v>370.03</v>
      </c>
      <c r="AA217" s="30">
        <v>57.28</v>
      </c>
      <c r="AB217" s="30">
        <v>129.61000000000001</v>
      </c>
      <c r="AD217" s="30">
        <v>128.38999999999999</v>
      </c>
      <c r="AE217" s="30">
        <v>26.68</v>
      </c>
      <c r="AG217" s="30">
        <v>100</v>
      </c>
      <c r="AH217" s="30" t="s">
        <v>162</v>
      </c>
      <c r="AI217" s="30" t="s">
        <v>163</v>
      </c>
    </row>
    <row r="218" spans="1:35" ht="15" customHeight="1" x14ac:dyDescent="0.2">
      <c r="A218" s="27" t="s">
        <v>904</v>
      </c>
      <c r="B218" s="27" t="s">
        <v>839</v>
      </c>
      <c r="C218" s="27" t="s">
        <v>840</v>
      </c>
      <c r="D218" s="27" t="s">
        <v>905</v>
      </c>
      <c r="E218" s="28">
        <v>45350</v>
      </c>
      <c r="F218" s="28">
        <v>45380</v>
      </c>
      <c r="G218" s="27" t="s">
        <v>159</v>
      </c>
      <c r="H218" s="27" t="s">
        <v>906</v>
      </c>
      <c r="I218" s="27" t="s">
        <v>31</v>
      </c>
      <c r="J218" s="27" t="s">
        <v>843</v>
      </c>
      <c r="K218" s="28">
        <v>45292</v>
      </c>
      <c r="L218" s="28">
        <v>45322</v>
      </c>
      <c r="M218" s="29">
        <v>703</v>
      </c>
      <c r="N218" s="29">
        <v>215</v>
      </c>
      <c r="O218" s="29">
        <v>192</v>
      </c>
      <c r="P218" s="29">
        <v>296</v>
      </c>
      <c r="Q218" s="29">
        <v>18</v>
      </c>
      <c r="R218" s="29">
        <v>11</v>
      </c>
      <c r="S218" s="29">
        <v>4</v>
      </c>
      <c r="T218" s="29">
        <v>3</v>
      </c>
      <c r="U218" s="30">
        <v>15</v>
      </c>
      <c r="V218" s="30">
        <v>16.5</v>
      </c>
      <c r="W218" s="30">
        <v>237.52</v>
      </c>
      <c r="X218" s="30">
        <v>289.77</v>
      </c>
      <c r="Z218" s="30">
        <v>109.82</v>
      </c>
      <c r="AA218" s="30">
        <v>52.65</v>
      </c>
      <c r="AB218" s="30">
        <v>62.74</v>
      </c>
      <c r="AC218" s="35">
        <v>3.52</v>
      </c>
      <c r="AD218" s="30">
        <v>8.7899999999999991</v>
      </c>
      <c r="AE218" s="30">
        <v>52.25</v>
      </c>
      <c r="AG218" s="30">
        <v>100</v>
      </c>
      <c r="AH218" s="30" t="s">
        <v>162</v>
      </c>
      <c r="AI218" s="30" t="s">
        <v>851</v>
      </c>
    </row>
    <row r="219" spans="1:35" ht="15" customHeight="1" x14ac:dyDescent="0.2">
      <c r="A219" s="27" t="s">
        <v>828</v>
      </c>
      <c r="B219" s="27" t="s">
        <v>156</v>
      </c>
      <c r="C219" s="27" t="s">
        <v>157</v>
      </c>
      <c r="D219" s="27" t="s">
        <v>829</v>
      </c>
      <c r="E219" s="28">
        <v>45358</v>
      </c>
      <c r="F219" s="28">
        <v>45393</v>
      </c>
      <c r="G219" s="27" t="s">
        <v>159</v>
      </c>
      <c r="H219" s="27" t="s">
        <v>237</v>
      </c>
      <c r="I219" s="27" t="s">
        <v>31</v>
      </c>
      <c r="J219" s="27" t="s">
        <v>161</v>
      </c>
      <c r="K219" s="28">
        <v>45323</v>
      </c>
      <c r="L219" s="28">
        <v>45351</v>
      </c>
      <c r="M219" s="29">
        <v>685</v>
      </c>
      <c r="N219" s="29">
        <v>223</v>
      </c>
      <c r="O219" s="29">
        <v>193</v>
      </c>
      <c r="P219" s="29">
        <v>269</v>
      </c>
      <c r="Q219" s="29">
        <v>31</v>
      </c>
      <c r="R219" s="29">
        <v>22</v>
      </c>
      <c r="S219" s="29">
        <v>5</v>
      </c>
      <c r="T219" s="29">
        <v>4</v>
      </c>
      <c r="U219" s="30">
        <v>15</v>
      </c>
      <c r="V219" s="30">
        <v>16.5</v>
      </c>
      <c r="W219" s="30">
        <v>204.89</v>
      </c>
      <c r="X219" s="30">
        <v>249.97</v>
      </c>
      <c r="Z219" s="30">
        <v>81.91</v>
      </c>
      <c r="AA219" s="30">
        <v>52.43</v>
      </c>
      <c r="AB219" s="30">
        <v>61.99</v>
      </c>
      <c r="AD219" s="30">
        <v>45.08</v>
      </c>
      <c r="AE219" s="30">
        <v>8.56</v>
      </c>
      <c r="AG219" s="30">
        <v>100</v>
      </c>
      <c r="AH219" s="30" t="s">
        <v>162</v>
      </c>
      <c r="AI219" s="30" t="s">
        <v>163</v>
      </c>
    </row>
    <row r="220" spans="1:35" ht="15" customHeight="1" x14ac:dyDescent="0.2">
      <c r="A220" s="27" t="s">
        <v>772</v>
      </c>
      <c r="B220" s="27" t="s">
        <v>156</v>
      </c>
      <c r="C220" s="27" t="s">
        <v>157</v>
      </c>
      <c r="D220" s="27" t="s">
        <v>773</v>
      </c>
      <c r="E220" s="28">
        <v>45390</v>
      </c>
      <c r="F220" s="28">
        <v>45425</v>
      </c>
      <c r="G220" s="27" t="s">
        <v>159</v>
      </c>
      <c r="H220" s="27" t="s">
        <v>237</v>
      </c>
      <c r="I220" s="27" t="s">
        <v>31</v>
      </c>
      <c r="J220" s="27" t="s">
        <v>161</v>
      </c>
      <c r="K220" s="28">
        <v>45352</v>
      </c>
      <c r="L220" s="28">
        <v>45382</v>
      </c>
      <c r="M220" s="29">
        <v>640</v>
      </c>
      <c r="N220" s="29">
        <v>208</v>
      </c>
      <c r="O220" s="29">
        <v>163</v>
      </c>
      <c r="P220" s="29">
        <v>269</v>
      </c>
      <c r="Q220" s="29">
        <v>38</v>
      </c>
      <c r="R220" s="29">
        <v>29</v>
      </c>
      <c r="S220" s="29">
        <v>5</v>
      </c>
      <c r="T220" s="29">
        <v>4</v>
      </c>
      <c r="U220" s="35">
        <v>15</v>
      </c>
      <c r="V220" s="30">
        <v>16.5</v>
      </c>
      <c r="W220" s="30">
        <v>194.29</v>
      </c>
      <c r="X220" s="30">
        <v>237.03</v>
      </c>
      <c r="Z220" s="30">
        <v>74.33</v>
      </c>
      <c r="AA220" s="30">
        <v>51.84</v>
      </c>
      <c r="AB220" s="30">
        <v>60.12</v>
      </c>
      <c r="AD220" s="30">
        <v>42.74</v>
      </c>
      <c r="AE220" s="30">
        <v>8</v>
      </c>
      <c r="AG220" s="30">
        <v>100</v>
      </c>
      <c r="AH220" s="30" t="s">
        <v>162</v>
      </c>
      <c r="AI220" s="30" t="s">
        <v>163</v>
      </c>
    </row>
    <row r="221" spans="1:35" ht="15" customHeight="1" x14ac:dyDescent="0.2">
      <c r="A221" s="27" t="s">
        <v>712</v>
      </c>
      <c r="B221" s="27" t="s">
        <v>156</v>
      </c>
      <c r="C221" s="27" t="s">
        <v>157</v>
      </c>
      <c r="D221" s="27" t="s">
        <v>713</v>
      </c>
      <c r="E221" s="28">
        <v>45419</v>
      </c>
      <c r="F221" s="28">
        <v>45454</v>
      </c>
      <c r="G221" s="27" t="s">
        <v>159</v>
      </c>
      <c r="H221" s="27" t="s">
        <v>237</v>
      </c>
      <c r="I221" s="27" t="s">
        <v>31</v>
      </c>
      <c r="J221" s="27" t="s">
        <v>161</v>
      </c>
      <c r="K221" s="28">
        <v>45383</v>
      </c>
      <c r="L221" s="28">
        <v>45412</v>
      </c>
      <c r="M221" s="29">
        <v>574</v>
      </c>
      <c r="N221" s="29">
        <v>144</v>
      </c>
      <c r="O221" s="29">
        <v>159</v>
      </c>
      <c r="P221" s="29">
        <v>271</v>
      </c>
      <c r="Q221" s="29">
        <v>22</v>
      </c>
      <c r="R221" s="29">
        <v>11</v>
      </c>
      <c r="S221" s="29">
        <v>9</v>
      </c>
      <c r="T221" s="29">
        <v>2</v>
      </c>
      <c r="U221" s="35">
        <v>15</v>
      </c>
      <c r="V221" s="30">
        <v>16.5</v>
      </c>
      <c r="W221" s="30">
        <v>189.77</v>
      </c>
      <c r="X221" s="30">
        <v>231.52</v>
      </c>
      <c r="Z221" s="30">
        <v>64.78</v>
      </c>
      <c r="AA221" s="30">
        <v>51</v>
      </c>
      <c r="AB221" s="30">
        <v>66.81</v>
      </c>
      <c r="AD221" s="30">
        <v>41.75</v>
      </c>
      <c r="AE221" s="30">
        <v>7.18</v>
      </c>
      <c r="AG221" s="30">
        <v>100</v>
      </c>
      <c r="AH221" s="30" t="s">
        <v>162</v>
      </c>
      <c r="AI221" s="30" t="s">
        <v>163</v>
      </c>
    </row>
    <row r="222" spans="1:35" ht="15" customHeight="1" x14ac:dyDescent="0.2">
      <c r="A222" s="27" t="s">
        <v>654</v>
      </c>
      <c r="B222" s="27" t="s">
        <v>156</v>
      </c>
      <c r="C222" s="27" t="s">
        <v>157</v>
      </c>
      <c r="D222" s="27" t="s">
        <v>655</v>
      </c>
      <c r="E222" s="28">
        <v>45449</v>
      </c>
      <c r="F222" s="28">
        <v>45484</v>
      </c>
      <c r="G222" s="27" t="s">
        <v>159</v>
      </c>
      <c r="H222" s="27" t="s">
        <v>237</v>
      </c>
      <c r="I222" s="27" t="s">
        <v>31</v>
      </c>
      <c r="J222" s="27" t="s">
        <v>161</v>
      </c>
      <c r="K222" s="28">
        <v>45413</v>
      </c>
      <c r="L222" s="28">
        <v>45417</v>
      </c>
      <c r="M222" s="29">
        <v>592</v>
      </c>
      <c r="N222" s="29">
        <v>190</v>
      </c>
      <c r="O222" s="29">
        <v>147</v>
      </c>
      <c r="P222" s="29">
        <v>255</v>
      </c>
      <c r="Q222" s="29">
        <v>45</v>
      </c>
      <c r="R222" s="29">
        <v>33</v>
      </c>
      <c r="S222" s="29">
        <v>9</v>
      </c>
      <c r="T222" s="29">
        <v>3</v>
      </c>
      <c r="U222" s="30">
        <v>15</v>
      </c>
      <c r="V222" s="30">
        <v>16.5</v>
      </c>
      <c r="W222" s="30">
        <v>197.37</v>
      </c>
      <c r="X222" s="30">
        <v>240.79</v>
      </c>
      <c r="Z222" s="30">
        <v>71.05</v>
      </c>
      <c r="AA222" s="30">
        <v>51.24</v>
      </c>
      <c r="AB222" s="30">
        <v>67.67</v>
      </c>
      <c r="AD222" s="30">
        <v>43.42</v>
      </c>
      <c r="AE222" s="30">
        <v>1.23</v>
      </c>
      <c r="AG222" s="30">
        <v>100</v>
      </c>
      <c r="AH222" s="30" t="s">
        <v>162</v>
      </c>
      <c r="AI222" s="30" t="s">
        <v>163</v>
      </c>
    </row>
    <row r="223" spans="1:35" ht="15" customHeight="1" x14ac:dyDescent="0.2">
      <c r="A223" s="27" t="s">
        <v>602</v>
      </c>
      <c r="B223" s="27" t="s">
        <v>156</v>
      </c>
      <c r="C223" s="27" t="s">
        <v>157</v>
      </c>
      <c r="D223" s="27" t="s">
        <v>603</v>
      </c>
      <c r="E223" s="28">
        <v>45478</v>
      </c>
      <c r="F223" s="28">
        <v>45513</v>
      </c>
      <c r="G223" s="27" t="s">
        <v>159</v>
      </c>
      <c r="H223" s="27" t="s">
        <v>237</v>
      </c>
      <c r="I223" s="27" t="s">
        <v>31</v>
      </c>
      <c r="J223" s="27" t="s">
        <v>161</v>
      </c>
      <c r="K223" s="28">
        <v>45444</v>
      </c>
      <c r="L223" s="28">
        <v>45473</v>
      </c>
      <c r="M223" s="29">
        <v>621</v>
      </c>
      <c r="N223" s="29">
        <v>171</v>
      </c>
      <c r="O223" s="29">
        <v>163</v>
      </c>
      <c r="P223" s="29">
        <v>287</v>
      </c>
      <c r="Q223" s="29">
        <v>31</v>
      </c>
      <c r="R223" s="29">
        <v>17</v>
      </c>
      <c r="S223" s="29">
        <v>10</v>
      </c>
      <c r="T223" s="29">
        <v>4</v>
      </c>
      <c r="U223" s="30">
        <v>15</v>
      </c>
      <c r="V223" s="30">
        <v>16.5</v>
      </c>
      <c r="W223" s="30">
        <v>211.28</v>
      </c>
      <c r="X223" s="30">
        <v>257.76</v>
      </c>
      <c r="Z223" s="30">
        <v>82.85</v>
      </c>
      <c r="AA223" s="30">
        <v>51.6</v>
      </c>
      <c r="AB223" s="30">
        <v>69.069999999999993</v>
      </c>
      <c r="AD223" s="30">
        <v>46.48</v>
      </c>
      <c r="AE223" s="30">
        <v>7.76</v>
      </c>
      <c r="AG223" s="30">
        <v>100</v>
      </c>
      <c r="AH223" s="30" t="s">
        <v>162</v>
      </c>
      <c r="AI223" s="30" t="s">
        <v>163</v>
      </c>
    </row>
    <row r="224" spans="1:35" ht="15" customHeight="1" x14ac:dyDescent="0.2">
      <c r="A224" s="27" t="s">
        <v>540</v>
      </c>
      <c r="B224" s="27" t="s">
        <v>156</v>
      </c>
      <c r="C224" s="27" t="s">
        <v>157</v>
      </c>
      <c r="D224" s="27" t="s">
        <v>541</v>
      </c>
      <c r="E224" s="28">
        <v>45511</v>
      </c>
      <c r="F224" s="28">
        <v>45546</v>
      </c>
      <c r="G224" s="27" t="s">
        <v>159</v>
      </c>
      <c r="H224" s="27" t="s">
        <v>237</v>
      </c>
      <c r="I224" s="27" t="s">
        <v>31</v>
      </c>
      <c r="J224" s="27" t="s">
        <v>161</v>
      </c>
      <c r="K224" s="28">
        <v>45474</v>
      </c>
      <c r="L224" s="28">
        <v>45504</v>
      </c>
      <c r="M224" s="29">
        <v>771</v>
      </c>
      <c r="N224" s="29">
        <v>330</v>
      </c>
      <c r="O224" s="29">
        <v>186</v>
      </c>
      <c r="P224" s="29">
        <v>255</v>
      </c>
      <c r="Q224" s="29">
        <v>225</v>
      </c>
      <c r="R224" s="29">
        <v>159</v>
      </c>
      <c r="S224" s="29">
        <v>53</v>
      </c>
      <c r="T224" s="29">
        <v>13</v>
      </c>
      <c r="U224" s="30">
        <v>15</v>
      </c>
      <c r="V224" s="30">
        <v>16.5</v>
      </c>
      <c r="W224" s="30">
        <v>258.45999999999998</v>
      </c>
      <c r="X224" s="30">
        <v>315.32</v>
      </c>
      <c r="Z224" s="30">
        <v>118.98</v>
      </c>
      <c r="AA224" s="30">
        <v>53.53</v>
      </c>
      <c r="AB224" s="30">
        <v>76.31</v>
      </c>
      <c r="AD224" s="30">
        <v>56.86</v>
      </c>
      <c r="AE224" s="30">
        <v>9.64</v>
      </c>
      <c r="AG224" s="30">
        <v>100</v>
      </c>
      <c r="AH224" s="30" t="s">
        <v>162</v>
      </c>
      <c r="AI224" s="30" t="s">
        <v>163</v>
      </c>
    </row>
    <row r="225" spans="1:35" ht="15" customHeight="1" x14ac:dyDescent="0.2">
      <c r="A225" s="27" t="s">
        <v>484</v>
      </c>
      <c r="B225" s="27" t="s">
        <v>156</v>
      </c>
      <c r="C225" s="27" t="s">
        <v>157</v>
      </c>
      <c r="D225" s="27" t="s">
        <v>485</v>
      </c>
      <c r="E225" s="28">
        <v>45541</v>
      </c>
      <c r="F225" s="28">
        <v>45576</v>
      </c>
      <c r="G225" s="27" t="s">
        <v>159</v>
      </c>
      <c r="H225" s="27" t="s">
        <v>237</v>
      </c>
      <c r="I225" s="27" t="s">
        <v>31</v>
      </c>
      <c r="J225" s="27" t="s">
        <v>161</v>
      </c>
      <c r="K225" s="28">
        <v>45505</v>
      </c>
      <c r="L225" s="28">
        <v>45535</v>
      </c>
      <c r="M225" s="29">
        <v>2933</v>
      </c>
      <c r="N225" s="29">
        <v>1096</v>
      </c>
      <c r="O225" s="29">
        <v>710</v>
      </c>
      <c r="P225" s="29">
        <v>1127</v>
      </c>
      <c r="Q225" s="29">
        <v>669</v>
      </c>
      <c r="R225" s="29">
        <v>442</v>
      </c>
      <c r="S225" s="29">
        <v>145</v>
      </c>
      <c r="T225" s="29">
        <v>82</v>
      </c>
      <c r="U225" s="30">
        <v>15</v>
      </c>
      <c r="V225" s="30">
        <v>16.5</v>
      </c>
      <c r="W225" s="30">
        <v>302.86</v>
      </c>
      <c r="X225" s="30">
        <v>369.49</v>
      </c>
      <c r="Z225" s="30">
        <v>149.53</v>
      </c>
      <c r="AA225" s="30">
        <v>55.82</v>
      </c>
      <c r="AB225" s="30">
        <v>84.89</v>
      </c>
      <c r="AD225" s="30">
        <v>66.63</v>
      </c>
      <c r="AE225" s="30">
        <v>11.86</v>
      </c>
      <c r="AG225" s="30">
        <v>100</v>
      </c>
      <c r="AH225" s="30" t="s">
        <v>162</v>
      </c>
      <c r="AI225" s="30" t="s">
        <v>163</v>
      </c>
    </row>
    <row r="226" spans="1:35" ht="15" customHeight="1" x14ac:dyDescent="0.2">
      <c r="A226" s="27" t="s">
        <v>422</v>
      </c>
      <c r="B226" s="27" t="s">
        <v>156</v>
      </c>
      <c r="C226" s="27" t="s">
        <v>157</v>
      </c>
      <c r="D226" s="27" t="s">
        <v>423</v>
      </c>
      <c r="E226" s="28">
        <v>45571</v>
      </c>
      <c r="F226" s="28">
        <v>45607</v>
      </c>
      <c r="G226" s="27" t="s">
        <v>159</v>
      </c>
      <c r="H226" s="27" t="s">
        <v>237</v>
      </c>
      <c r="I226" s="27" t="s">
        <v>31</v>
      </c>
      <c r="J226" s="27" t="s">
        <v>161</v>
      </c>
      <c r="K226" s="28">
        <v>45536</v>
      </c>
      <c r="L226" s="28">
        <v>45565</v>
      </c>
      <c r="M226" s="29">
        <v>705</v>
      </c>
      <c r="N226" s="29">
        <v>252</v>
      </c>
      <c r="O226" s="29">
        <v>190</v>
      </c>
      <c r="P226" s="29">
        <v>263</v>
      </c>
      <c r="Q226" s="29">
        <v>143</v>
      </c>
      <c r="R226" s="29">
        <v>106</v>
      </c>
      <c r="S226" s="29">
        <v>34</v>
      </c>
      <c r="T226" s="29">
        <v>3</v>
      </c>
      <c r="U226" s="30">
        <v>15</v>
      </c>
      <c r="V226" s="30">
        <v>16.5</v>
      </c>
      <c r="W226" s="30">
        <v>237.97</v>
      </c>
      <c r="X226" s="30">
        <v>290.32</v>
      </c>
      <c r="Z226" s="30">
        <v>103.35</v>
      </c>
      <c r="AA226" s="30">
        <v>52.68</v>
      </c>
      <c r="AB226" s="30">
        <v>73.13</v>
      </c>
      <c r="AD226" s="30">
        <v>52.35</v>
      </c>
      <c r="AE226" s="30">
        <v>8.81</v>
      </c>
      <c r="AG226" s="30">
        <v>100</v>
      </c>
      <c r="AH226" s="30" t="s">
        <v>162</v>
      </c>
      <c r="AI226" s="30" t="s">
        <v>163</v>
      </c>
    </row>
    <row r="227" spans="1:35" ht="15" customHeight="1" x14ac:dyDescent="0.2">
      <c r="A227" s="27" t="s">
        <v>368</v>
      </c>
      <c r="B227" s="27" t="s">
        <v>156</v>
      </c>
      <c r="C227" s="27" t="s">
        <v>157</v>
      </c>
      <c r="D227" s="27" t="s">
        <v>369</v>
      </c>
      <c r="E227" s="28">
        <v>45604</v>
      </c>
      <c r="F227" s="28">
        <v>45639</v>
      </c>
      <c r="G227" s="27" t="s">
        <v>159</v>
      </c>
      <c r="H227" s="27" t="s">
        <v>237</v>
      </c>
      <c r="I227" s="27" t="s">
        <v>31</v>
      </c>
      <c r="J227" s="27" t="s">
        <v>161</v>
      </c>
      <c r="K227" s="28">
        <v>45566</v>
      </c>
      <c r="L227" s="28">
        <v>45596</v>
      </c>
      <c r="M227" s="29">
        <v>756</v>
      </c>
      <c r="N227" s="29">
        <v>269</v>
      </c>
      <c r="O227" s="29">
        <v>212</v>
      </c>
      <c r="P227" s="29">
        <v>275</v>
      </c>
      <c r="Q227" s="29">
        <v>69</v>
      </c>
      <c r="R227" s="29">
        <v>60</v>
      </c>
      <c r="S227" s="29">
        <v>7</v>
      </c>
      <c r="T227" s="29">
        <v>2</v>
      </c>
      <c r="U227" s="30">
        <v>15</v>
      </c>
      <c r="V227" s="30">
        <v>16.5</v>
      </c>
      <c r="W227" s="30">
        <v>250.28</v>
      </c>
      <c r="X227" s="30">
        <v>305.33999999999997</v>
      </c>
      <c r="Z227" s="30">
        <v>111.92</v>
      </c>
      <c r="AA227" s="30">
        <v>53.33</v>
      </c>
      <c r="AB227" s="30">
        <v>75.58</v>
      </c>
      <c r="AD227" s="30">
        <v>55.06</v>
      </c>
      <c r="AE227" s="30">
        <v>9.4499999999999993</v>
      </c>
      <c r="AG227" s="30">
        <v>100</v>
      </c>
      <c r="AH227" s="30" t="s">
        <v>162</v>
      </c>
      <c r="AI227" s="30" t="s">
        <v>163</v>
      </c>
    </row>
    <row r="228" spans="1:35" ht="15" customHeight="1" x14ac:dyDescent="0.2">
      <c r="A228" s="27" t="s">
        <v>310</v>
      </c>
      <c r="B228" s="27" t="s">
        <v>156</v>
      </c>
      <c r="C228" s="27" t="s">
        <v>157</v>
      </c>
      <c r="D228" s="27" t="s">
        <v>311</v>
      </c>
      <c r="E228" s="28">
        <v>45632</v>
      </c>
      <c r="F228" s="28">
        <v>45667</v>
      </c>
      <c r="G228" s="27" t="s">
        <v>159</v>
      </c>
      <c r="H228" s="27" t="s">
        <v>237</v>
      </c>
      <c r="I228" s="27" t="s">
        <v>31</v>
      </c>
      <c r="J228" s="27" t="s">
        <v>161</v>
      </c>
      <c r="K228" s="28">
        <v>45597</v>
      </c>
      <c r="L228" s="28">
        <v>45626</v>
      </c>
      <c r="M228" s="29">
        <v>798</v>
      </c>
      <c r="N228" s="29">
        <v>231</v>
      </c>
      <c r="O228" s="29">
        <v>251</v>
      </c>
      <c r="P228" s="29">
        <v>316</v>
      </c>
      <c r="Q228" s="29">
        <v>28</v>
      </c>
      <c r="R228" s="29">
        <v>18</v>
      </c>
      <c r="S228" s="29">
        <v>8</v>
      </c>
      <c r="T228" s="29">
        <v>2</v>
      </c>
      <c r="U228" s="30">
        <v>15</v>
      </c>
      <c r="V228" s="30">
        <v>16.5</v>
      </c>
      <c r="W228" s="30">
        <v>271.76</v>
      </c>
      <c r="X228" s="30">
        <v>331.55</v>
      </c>
      <c r="Z228" s="30">
        <v>130.30000000000001</v>
      </c>
      <c r="AA228" s="30">
        <v>53.87</v>
      </c>
      <c r="AB228" s="30">
        <v>77.61</v>
      </c>
      <c r="AD228" s="30">
        <v>59.79</v>
      </c>
      <c r="AE228" s="30">
        <v>9.98</v>
      </c>
      <c r="AG228" s="30">
        <v>100</v>
      </c>
      <c r="AH228" s="30" t="s">
        <v>162</v>
      </c>
      <c r="AI228" s="30" t="s">
        <v>163</v>
      </c>
    </row>
    <row r="229" spans="1:35" ht="15" customHeight="1" x14ac:dyDescent="0.2">
      <c r="A229" s="27" t="s">
        <v>235</v>
      </c>
      <c r="B229" s="27" t="s">
        <v>156</v>
      </c>
      <c r="C229" s="27" t="s">
        <v>157</v>
      </c>
      <c r="D229" s="27" t="s">
        <v>236</v>
      </c>
      <c r="E229" s="28">
        <v>45665</v>
      </c>
      <c r="F229" s="28">
        <v>45700</v>
      </c>
      <c r="G229" s="27" t="s">
        <v>159</v>
      </c>
      <c r="H229" s="27" t="s">
        <v>237</v>
      </c>
      <c r="I229" s="27" t="s">
        <v>31</v>
      </c>
      <c r="J229" s="27" t="s">
        <v>161</v>
      </c>
      <c r="K229" s="28">
        <v>45627</v>
      </c>
      <c r="L229" s="28">
        <v>45657</v>
      </c>
      <c r="M229" s="29">
        <v>828</v>
      </c>
      <c r="N229" s="29">
        <v>245</v>
      </c>
      <c r="O229" s="29">
        <v>238</v>
      </c>
      <c r="P229" s="29">
        <v>345</v>
      </c>
      <c r="Q229" s="29">
        <v>38</v>
      </c>
      <c r="R229" s="29">
        <v>28</v>
      </c>
      <c r="S229" s="29">
        <v>8</v>
      </c>
      <c r="T229" s="29">
        <v>2</v>
      </c>
      <c r="U229" s="30">
        <v>15</v>
      </c>
      <c r="V229" s="30">
        <v>16.5</v>
      </c>
      <c r="W229" s="30">
        <v>288.12</v>
      </c>
      <c r="X229" s="30">
        <v>351.51</v>
      </c>
      <c r="Z229" s="30">
        <v>144.46</v>
      </c>
      <c r="AA229" s="30">
        <v>54.26</v>
      </c>
      <c r="AB229" s="30">
        <v>79.05</v>
      </c>
      <c r="AD229" s="30">
        <v>63.39</v>
      </c>
      <c r="AE229" s="30">
        <v>10.35</v>
      </c>
      <c r="AG229" s="30">
        <v>100</v>
      </c>
      <c r="AH229" s="30" t="s">
        <v>162</v>
      </c>
      <c r="AI229" s="30" t="s">
        <v>163</v>
      </c>
    </row>
    <row r="230" spans="1:35" ht="15" customHeight="1" x14ac:dyDescent="0.2">
      <c r="A230" s="27" t="s">
        <v>913</v>
      </c>
      <c r="B230" s="27" t="s">
        <v>839</v>
      </c>
      <c r="C230" s="27" t="s">
        <v>840</v>
      </c>
      <c r="D230" s="27" t="s">
        <v>914</v>
      </c>
      <c r="E230" s="28">
        <v>45349</v>
      </c>
      <c r="F230" s="28">
        <v>45379</v>
      </c>
      <c r="G230" s="27" t="s">
        <v>159</v>
      </c>
      <c r="H230" s="27" t="s">
        <v>915</v>
      </c>
      <c r="I230" s="27" t="s">
        <v>18</v>
      </c>
      <c r="J230" s="27" t="s">
        <v>843</v>
      </c>
      <c r="K230" s="28">
        <v>45292</v>
      </c>
      <c r="L230" s="28">
        <v>45322</v>
      </c>
      <c r="M230" s="29">
        <v>446</v>
      </c>
      <c r="N230" s="29">
        <v>123</v>
      </c>
      <c r="O230" s="29">
        <v>122</v>
      </c>
      <c r="P230" s="29">
        <v>201</v>
      </c>
      <c r="Q230" s="29">
        <v>228</v>
      </c>
      <c r="R230" s="29">
        <v>73</v>
      </c>
      <c r="S230" s="29">
        <v>46</v>
      </c>
      <c r="T230" s="29">
        <v>109</v>
      </c>
      <c r="U230" s="35">
        <v>4.5</v>
      </c>
      <c r="V230" s="30">
        <v>5</v>
      </c>
      <c r="W230" s="30">
        <v>127.32</v>
      </c>
      <c r="X230" s="30">
        <v>155.33000000000001</v>
      </c>
      <c r="Z230" s="30">
        <v>69.38</v>
      </c>
      <c r="AA230" s="30">
        <v>20.420000000000002</v>
      </c>
      <c r="AB230" s="30">
        <v>29.71</v>
      </c>
      <c r="AC230" s="35">
        <v>2.23</v>
      </c>
      <c r="AD230" s="30">
        <v>5.58</v>
      </c>
      <c r="AE230" s="30">
        <v>28.01</v>
      </c>
      <c r="AG230" s="30">
        <v>100</v>
      </c>
      <c r="AH230" s="30" t="s">
        <v>162</v>
      </c>
      <c r="AI230" s="30" t="s">
        <v>851</v>
      </c>
    </row>
    <row r="231" spans="1:35" ht="15" customHeight="1" x14ac:dyDescent="0.2">
      <c r="A231" s="27" t="s">
        <v>834</v>
      </c>
      <c r="B231" s="27" t="s">
        <v>156</v>
      </c>
      <c r="C231" s="27" t="s">
        <v>157</v>
      </c>
      <c r="D231" s="27" t="s">
        <v>835</v>
      </c>
      <c r="E231" s="28">
        <v>45358</v>
      </c>
      <c r="F231" s="28">
        <v>45393</v>
      </c>
      <c r="G231" s="27" t="s">
        <v>159</v>
      </c>
      <c r="H231" s="27" t="s">
        <v>246</v>
      </c>
      <c r="I231" s="27" t="s">
        <v>18</v>
      </c>
      <c r="J231" s="27" t="s">
        <v>161</v>
      </c>
      <c r="K231" s="28">
        <v>45323</v>
      </c>
      <c r="L231" s="28">
        <v>45351</v>
      </c>
      <c r="M231" s="29">
        <v>260</v>
      </c>
      <c r="N231" s="29">
        <v>78</v>
      </c>
      <c r="O231" s="29">
        <v>86</v>
      </c>
      <c r="P231" s="29">
        <v>96</v>
      </c>
      <c r="Q231" s="29">
        <v>207</v>
      </c>
      <c r="R231" s="29">
        <v>69</v>
      </c>
      <c r="S231" s="29">
        <v>48</v>
      </c>
      <c r="T231" s="29">
        <v>90</v>
      </c>
      <c r="U231" s="30">
        <v>4.5</v>
      </c>
      <c r="V231" s="30">
        <v>5</v>
      </c>
      <c r="W231" s="30">
        <v>74.59</v>
      </c>
      <c r="X231" s="30">
        <v>91</v>
      </c>
      <c r="Z231" s="30">
        <v>31.31</v>
      </c>
      <c r="AA231" s="30">
        <v>18.03</v>
      </c>
      <c r="AB231" s="30">
        <v>22</v>
      </c>
      <c r="AD231" s="30">
        <v>16.41</v>
      </c>
      <c r="AE231" s="30">
        <v>3.25</v>
      </c>
      <c r="AG231" s="30">
        <v>100</v>
      </c>
      <c r="AH231" s="30" t="s">
        <v>162</v>
      </c>
      <c r="AI231" s="30" t="s">
        <v>163</v>
      </c>
    </row>
    <row r="232" spans="1:35" ht="15" customHeight="1" x14ac:dyDescent="0.2">
      <c r="A232" s="27" t="s">
        <v>732</v>
      </c>
      <c r="B232" s="27" t="s">
        <v>156</v>
      </c>
      <c r="C232" s="27" t="s">
        <v>157</v>
      </c>
      <c r="D232" s="27" t="s">
        <v>733</v>
      </c>
      <c r="E232" s="28">
        <v>45393</v>
      </c>
      <c r="F232" s="28">
        <v>45428</v>
      </c>
      <c r="G232" s="27" t="s">
        <v>159</v>
      </c>
      <c r="H232" s="27" t="s">
        <v>246</v>
      </c>
      <c r="I232" s="27" t="s">
        <v>18</v>
      </c>
      <c r="J232" s="27" t="s">
        <v>161</v>
      </c>
      <c r="K232" s="28">
        <v>45352</v>
      </c>
      <c r="L232" s="28">
        <v>45382</v>
      </c>
      <c r="M232" s="29">
        <v>271</v>
      </c>
      <c r="N232" s="29">
        <v>71</v>
      </c>
      <c r="O232" s="29">
        <v>94</v>
      </c>
      <c r="P232" s="29">
        <v>106</v>
      </c>
      <c r="Q232" s="29">
        <v>217</v>
      </c>
      <c r="R232" s="29">
        <v>67</v>
      </c>
      <c r="S232" s="29">
        <v>51</v>
      </c>
      <c r="T232" s="29">
        <v>99</v>
      </c>
      <c r="U232" s="30">
        <v>4.5</v>
      </c>
      <c r="V232" s="30">
        <v>5</v>
      </c>
      <c r="W232" s="30">
        <v>75.59</v>
      </c>
      <c r="X232" s="30">
        <v>92.22</v>
      </c>
      <c r="Z232" s="30">
        <v>31.57</v>
      </c>
      <c r="AA232" s="30">
        <v>18.170000000000002</v>
      </c>
      <c r="AB232" s="30">
        <v>22.46</v>
      </c>
      <c r="AD232" s="30">
        <v>16.63</v>
      </c>
      <c r="AE232" s="30">
        <v>3.39</v>
      </c>
      <c r="AG232" s="30">
        <v>100</v>
      </c>
      <c r="AH232" s="30" t="s">
        <v>162</v>
      </c>
      <c r="AI232" s="30" t="s">
        <v>163</v>
      </c>
    </row>
    <row r="233" spans="1:35" ht="15" customHeight="1" x14ac:dyDescent="0.2">
      <c r="A233" s="27" t="s">
        <v>670</v>
      </c>
      <c r="B233" s="27" t="s">
        <v>156</v>
      </c>
      <c r="C233" s="27" t="s">
        <v>157</v>
      </c>
      <c r="D233" s="27" t="s">
        <v>671</v>
      </c>
      <c r="E233" s="28">
        <v>45424</v>
      </c>
      <c r="F233" s="28">
        <v>45460</v>
      </c>
      <c r="G233" s="27" t="s">
        <v>159</v>
      </c>
      <c r="H233" s="27" t="s">
        <v>246</v>
      </c>
      <c r="I233" s="27" t="s">
        <v>18</v>
      </c>
      <c r="J233" s="27" t="s">
        <v>161</v>
      </c>
      <c r="K233" s="28">
        <v>45383</v>
      </c>
      <c r="L233" s="28">
        <v>45412</v>
      </c>
      <c r="M233" s="29">
        <v>259</v>
      </c>
      <c r="N233" s="29">
        <v>73</v>
      </c>
      <c r="O233" s="29">
        <v>78</v>
      </c>
      <c r="P233" s="29">
        <v>108</v>
      </c>
      <c r="Q233" s="29">
        <v>0</v>
      </c>
      <c r="R233" s="29">
        <v>0</v>
      </c>
      <c r="S233" s="29">
        <v>0</v>
      </c>
      <c r="T233" s="29">
        <v>0</v>
      </c>
      <c r="U233" s="35">
        <v>4.5</v>
      </c>
      <c r="V233" s="30">
        <v>5</v>
      </c>
      <c r="W233" s="30">
        <v>76.27</v>
      </c>
      <c r="X233" s="30">
        <v>93.05</v>
      </c>
      <c r="Z233" s="30">
        <v>29.46</v>
      </c>
      <c r="AA233" s="30">
        <v>18.02</v>
      </c>
      <c r="AB233" s="30">
        <v>25.55</v>
      </c>
      <c r="AD233" s="30">
        <v>16.78</v>
      </c>
      <c r="AE233" s="30">
        <v>3.24</v>
      </c>
      <c r="AG233" s="30">
        <v>100</v>
      </c>
      <c r="AH233" s="30" t="s">
        <v>162</v>
      </c>
      <c r="AI233" s="30" t="s">
        <v>163</v>
      </c>
    </row>
    <row r="234" spans="1:35" ht="15" customHeight="1" x14ac:dyDescent="0.2">
      <c r="A234" s="27" t="s">
        <v>660</v>
      </c>
      <c r="B234" s="27" t="s">
        <v>156</v>
      </c>
      <c r="C234" s="27" t="s">
        <v>157</v>
      </c>
      <c r="D234" s="27" t="s">
        <v>661</v>
      </c>
      <c r="E234" s="28">
        <v>45449</v>
      </c>
      <c r="F234" s="28">
        <v>45484</v>
      </c>
      <c r="G234" s="27" t="s">
        <v>159</v>
      </c>
      <c r="H234" s="27" t="s">
        <v>246</v>
      </c>
      <c r="I234" s="27" t="s">
        <v>18</v>
      </c>
      <c r="J234" s="27" t="s">
        <v>161</v>
      </c>
      <c r="K234" s="28">
        <v>45383</v>
      </c>
      <c r="L234" s="28">
        <v>45414</v>
      </c>
      <c r="M234" s="29">
        <v>519</v>
      </c>
      <c r="N234" s="29">
        <v>161</v>
      </c>
      <c r="O234" s="29">
        <v>149</v>
      </c>
      <c r="P234" s="29">
        <v>209</v>
      </c>
      <c r="Q234" s="29">
        <v>439</v>
      </c>
      <c r="R234" s="29">
        <v>141</v>
      </c>
      <c r="S234" s="29">
        <v>96</v>
      </c>
      <c r="T234" s="29">
        <v>202</v>
      </c>
      <c r="U234" s="35">
        <v>4.5</v>
      </c>
      <c r="V234" s="30">
        <v>5</v>
      </c>
      <c r="W234" s="30">
        <v>78.5</v>
      </c>
      <c r="X234" s="30">
        <v>95.77</v>
      </c>
      <c r="Z234" s="30">
        <v>31.62</v>
      </c>
      <c r="AA234" s="30">
        <v>18.03</v>
      </c>
      <c r="AB234" s="30">
        <v>25.6</v>
      </c>
      <c r="AD234" s="30">
        <v>17.27</v>
      </c>
      <c r="AE234" s="30">
        <v>3.46</v>
      </c>
      <c r="AG234" s="30">
        <v>100</v>
      </c>
      <c r="AH234" s="30" t="s">
        <v>162</v>
      </c>
      <c r="AI234" s="30" t="s">
        <v>163</v>
      </c>
    </row>
    <row r="235" spans="1:35" ht="15" customHeight="1" x14ac:dyDescent="0.2">
      <c r="A235" s="27" t="s">
        <v>606</v>
      </c>
      <c r="B235" s="27" t="s">
        <v>156</v>
      </c>
      <c r="C235" s="27" t="s">
        <v>157</v>
      </c>
      <c r="D235" s="27" t="s">
        <v>607</v>
      </c>
      <c r="E235" s="28">
        <v>45478</v>
      </c>
      <c r="F235" s="28">
        <v>45513</v>
      </c>
      <c r="G235" s="27" t="s">
        <v>159</v>
      </c>
      <c r="H235" s="27" t="s">
        <v>246</v>
      </c>
      <c r="I235" s="27" t="s">
        <v>18</v>
      </c>
      <c r="J235" s="27" t="s">
        <v>161</v>
      </c>
      <c r="K235" s="28">
        <v>45444</v>
      </c>
      <c r="L235" s="28">
        <v>45473</v>
      </c>
      <c r="M235" s="29">
        <v>227</v>
      </c>
      <c r="N235" s="29">
        <v>62</v>
      </c>
      <c r="O235" s="29">
        <v>64</v>
      </c>
      <c r="P235" s="29">
        <v>101</v>
      </c>
      <c r="Q235" s="29">
        <v>213</v>
      </c>
      <c r="R235" s="29">
        <v>66</v>
      </c>
      <c r="S235" s="29">
        <v>52</v>
      </c>
      <c r="T235" s="29">
        <v>95</v>
      </c>
      <c r="U235" s="30">
        <v>4.5</v>
      </c>
      <c r="V235" s="30">
        <v>5</v>
      </c>
      <c r="W235" s="30">
        <v>74.760000000000005</v>
      </c>
      <c r="X235" s="30">
        <v>91.21</v>
      </c>
      <c r="Z235" s="30">
        <v>30.3</v>
      </c>
      <c r="AA235" s="30">
        <v>17.61</v>
      </c>
      <c r="AB235" s="30">
        <v>24.01</v>
      </c>
      <c r="AD235" s="30">
        <v>16.45</v>
      </c>
      <c r="AE235" s="30">
        <v>2.84</v>
      </c>
      <c r="AG235" s="30">
        <v>100</v>
      </c>
      <c r="AH235" s="30" t="s">
        <v>162</v>
      </c>
      <c r="AI235" s="30" t="s">
        <v>163</v>
      </c>
    </row>
    <row r="236" spans="1:35" ht="15" customHeight="1" x14ac:dyDescent="0.2">
      <c r="A236" s="27" t="s">
        <v>504</v>
      </c>
      <c r="B236" s="27" t="s">
        <v>156</v>
      </c>
      <c r="C236" s="27" t="s">
        <v>157</v>
      </c>
      <c r="D236" s="27" t="s">
        <v>505</v>
      </c>
      <c r="E236" s="28">
        <v>45513</v>
      </c>
      <c r="F236" s="28">
        <v>45548</v>
      </c>
      <c r="G236" s="27" t="s">
        <v>159</v>
      </c>
      <c r="H236" s="27" t="s">
        <v>246</v>
      </c>
      <c r="I236" s="27" t="s">
        <v>18</v>
      </c>
      <c r="J236" s="27" t="s">
        <v>161</v>
      </c>
      <c r="K236" s="28">
        <v>45474</v>
      </c>
      <c r="L236" s="28">
        <v>45504</v>
      </c>
      <c r="M236" s="29">
        <v>218</v>
      </c>
      <c r="N236" s="29">
        <v>67</v>
      </c>
      <c r="O236" s="29">
        <v>59</v>
      </c>
      <c r="P236" s="29">
        <v>92</v>
      </c>
      <c r="Q236" s="29">
        <v>216</v>
      </c>
      <c r="R236" s="29">
        <v>74</v>
      </c>
      <c r="S236" s="29">
        <v>50</v>
      </c>
      <c r="T236" s="29">
        <v>92</v>
      </c>
      <c r="U236" s="30">
        <v>4.5</v>
      </c>
      <c r="V236" s="30">
        <v>5</v>
      </c>
      <c r="W236" s="30">
        <v>77.5</v>
      </c>
      <c r="X236" s="30">
        <v>94.55</v>
      </c>
      <c r="Z236" s="30">
        <v>33.700000000000003</v>
      </c>
      <c r="AA236" s="30">
        <v>17.5</v>
      </c>
      <c r="AB236" s="30">
        <v>23.57</v>
      </c>
      <c r="AD236" s="30">
        <v>17.05</v>
      </c>
      <c r="AE236" s="30">
        <v>2.73</v>
      </c>
      <c r="AG236" s="30">
        <v>100</v>
      </c>
      <c r="AH236" s="30" t="s">
        <v>162</v>
      </c>
      <c r="AI236" s="30" t="s">
        <v>163</v>
      </c>
    </row>
    <row r="237" spans="1:35" ht="15" customHeight="1" x14ac:dyDescent="0.2">
      <c r="A237" s="27" t="s">
        <v>490</v>
      </c>
      <c r="B237" s="27" t="s">
        <v>156</v>
      </c>
      <c r="C237" s="27" t="s">
        <v>157</v>
      </c>
      <c r="D237" s="27" t="s">
        <v>491</v>
      </c>
      <c r="E237" s="28">
        <v>45541</v>
      </c>
      <c r="F237" s="28">
        <v>45576</v>
      </c>
      <c r="G237" s="27" t="s">
        <v>159</v>
      </c>
      <c r="H237" s="27" t="s">
        <v>246</v>
      </c>
      <c r="I237" s="27" t="s">
        <v>18</v>
      </c>
      <c r="J237" s="27" t="s">
        <v>161</v>
      </c>
      <c r="K237" s="28">
        <v>45505</v>
      </c>
      <c r="L237" s="28">
        <v>45535</v>
      </c>
      <c r="M237" s="29">
        <v>1177</v>
      </c>
      <c r="N237" s="29">
        <v>351</v>
      </c>
      <c r="O237" s="29">
        <v>332</v>
      </c>
      <c r="P237" s="29">
        <v>494</v>
      </c>
      <c r="Q237" s="29">
        <v>1081</v>
      </c>
      <c r="R237" s="29">
        <v>347</v>
      </c>
      <c r="S237" s="29">
        <v>249</v>
      </c>
      <c r="T237" s="29">
        <v>485</v>
      </c>
      <c r="U237" s="30">
        <v>4.5</v>
      </c>
      <c r="V237" s="30">
        <v>5</v>
      </c>
      <c r="W237" s="30">
        <v>77.489999999999995</v>
      </c>
      <c r="X237" s="30">
        <v>94.54</v>
      </c>
      <c r="Z237" s="30">
        <v>33.880000000000003</v>
      </c>
      <c r="AA237" s="30">
        <v>17.43</v>
      </c>
      <c r="AB237" s="30">
        <v>23.34</v>
      </c>
      <c r="AD237" s="30">
        <v>17.05</v>
      </c>
      <c r="AE237" s="30">
        <v>2.66</v>
      </c>
      <c r="AG237" s="30">
        <v>100</v>
      </c>
      <c r="AH237" s="30" t="s">
        <v>162</v>
      </c>
      <c r="AI237" s="30" t="s">
        <v>163</v>
      </c>
    </row>
    <row r="238" spans="1:35" ht="15" customHeight="1" x14ac:dyDescent="0.2">
      <c r="A238" s="27" t="s">
        <v>428</v>
      </c>
      <c r="B238" s="27" t="s">
        <v>156</v>
      </c>
      <c r="C238" s="27" t="s">
        <v>157</v>
      </c>
      <c r="D238" s="27" t="s">
        <v>429</v>
      </c>
      <c r="E238" s="28">
        <v>45571</v>
      </c>
      <c r="F238" s="28">
        <v>45607</v>
      </c>
      <c r="G238" s="27" t="s">
        <v>159</v>
      </c>
      <c r="H238" s="27" t="s">
        <v>246</v>
      </c>
      <c r="I238" s="27" t="s">
        <v>18</v>
      </c>
      <c r="J238" s="27" t="s">
        <v>161</v>
      </c>
      <c r="K238" s="28">
        <v>45536</v>
      </c>
      <c r="L238" s="28">
        <v>45565</v>
      </c>
      <c r="M238" s="29">
        <v>229</v>
      </c>
      <c r="N238" s="29">
        <v>67</v>
      </c>
      <c r="O238" s="29">
        <v>65</v>
      </c>
      <c r="P238" s="29">
        <v>97</v>
      </c>
      <c r="Q238" s="29">
        <v>216</v>
      </c>
      <c r="R238" s="29">
        <v>69</v>
      </c>
      <c r="S238" s="29">
        <v>49</v>
      </c>
      <c r="T238" s="29">
        <v>98</v>
      </c>
      <c r="U238" s="30">
        <v>4.5</v>
      </c>
      <c r="V238" s="30">
        <v>5</v>
      </c>
      <c r="W238" s="30">
        <v>78.14</v>
      </c>
      <c r="X238" s="30">
        <v>95.33</v>
      </c>
      <c r="Z238" s="30">
        <v>33.54</v>
      </c>
      <c r="AA238" s="30">
        <v>17.63</v>
      </c>
      <c r="AB238" s="30">
        <v>24.11</v>
      </c>
      <c r="AD238" s="30">
        <v>17.190000000000001</v>
      </c>
      <c r="AE238" s="30">
        <v>2.86</v>
      </c>
      <c r="AG238" s="30">
        <v>100</v>
      </c>
      <c r="AH238" s="30" t="s">
        <v>162</v>
      </c>
      <c r="AI238" s="30" t="s">
        <v>163</v>
      </c>
    </row>
    <row r="239" spans="1:35" ht="15" customHeight="1" x14ac:dyDescent="0.2">
      <c r="A239" s="27" t="s">
        <v>374</v>
      </c>
      <c r="B239" s="27" t="s">
        <v>156</v>
      </c>
      <c r="C239" s="27" t="s">
        <v>157</v>
      </c>
      <c r="D239" s="27" t="s">
        <v>375</v>
      </c>
      <c r="E239" s="28">
        <v>45604</v>
      </c>
      <c r="F239" s="28">
        <v>45639</v>
      </c>
      <c r="G239" s="27" t="s">
        <v>159</v>
      </c>
      <c r="H239" s="27" t="s">
        <v>246</v>
      </c>
      <c r="I239" s="27" t="s">
        <v>18</v>
      </c>
      <c r="J239" s="27" t="s">
        <v>161</v>
      </c>
      <c r="K239" s="28">
        <v>45566</v>
      </c>
      <c r="L239" s="28">
        <v>45596</v>
      </c>
      <c r="M239" s="29">
        <v>264</v>
      </c>
      <c r="N239" s="29">
        <v>77</v>
      </c>
      <c r="O239" s="29">
        <v>90</v>
      </c>
      <c r="P239" s="29">
        <v>97</v>
      </c>
      <c r="Q239" s="29">
        <v>220</v>
      </c>
      <c r="R239" s="29">
        <v>74</v>
      </c>
      <c r="S239" s="29">
        <v>50</v>
      </c>
      <c r="T239" s="29">
        <v>96</v>
      </c>
      <c r="U239" s="30">
        <v>4.5</v>
      </c>
      <c r="V239" s="30">
        <v>5</v>
      </c>
      <c r="W239" s="30">
        <v>86.34</v>
      </c>
      <c r="X239" s="30">
        <v>105.33</v>
      </c>
      <c r="Z239" s="30">
        <v>39.17</v>
      </c>
      <c r="AA239" s="30">
        <v>18.079999999999998</v>
      </c>
      <c r="AB239" s="30">
        <v>25.79</v>
      </c>
      <c r="AD239" s="30">
        <v>18.989999999999998</v>
      </c>
      <c r="AE239" s="30">
        <v>3.3</v>
      </c>
      <c r="AG239" s="30">
        <v>100</v>
      </c>
      <c r="AH239" s="30" t="s">
        <v>162</v>
      </c>
      <c r="AI239" s="30" t="s">
        <v>163</v>
      </c>
    </row>
    <row r="240" spans="1:35" ht="15" customHeight="1" x14ac:dyDescent="0.2">
      <c r="A240" s="27" t="s">
        <v>316</v>
      </c>
      <c r="B240" s="27" t="s">
        <v>156</v>
      </c>
      <c r="C240" s="27" t="s">
        <v>157</v>
      </c>
      <c r="D240" s="27" t="s">
        <v>317</v>
      </c>
      <c r="E240" s="28">
        <v>45632</v>
      </c>
      <c r="F240" s="28">
        <v>45667</v>
      </c>
      <c r="G240" s="27" t="s">
        <v>159</v>
      </c>
      <c r="H240" s="27" t="s">
        <v>246</v>
      </c>
      <c r="I240" s="27" t="s">
        <v>18</v>
      </c>
      <c r="J240" s="27" t="s">
        <v>161</v>
      </c>
      <c r="K240" s="28">
        <v>45597</v>
      </c>
      <c r="L240" s="28">
        <v>45626</v>
      </c>
      <c r="M240" s="29">
        <v>465</v>
      </c>
      <c r="N240" s="29">
        <v>132</v>
      </c>
      <c r="O240" s="29">
        <v>133</v>
      </c>
      <c r="P240" s="29">
        <v>200</v>
      </c>
      <c r="Q240" s="29">
        <v>232</v>
      </c>
      <c r="R240" s="29">
        <v>69</v>
      </c>
      <c r="S240" s="29">
        <v>56</v>
      </c>
      <c r="T240" s="29">
        <v>107</v>
      </c>
      <c r="U240" s="30">
        <v>4.5</v>
      </c>
      <c r="V240" s="30">
        <v>5</v>
      </c>
      <c r="W240" s="30">
        <v>137.43</v>
      </c>
      <c r="X240" s="30">
        <v>167.66</v>
      </c>
      <c r="Z240" s="30">
        <v>75.47</v>
      </c>
      <c r="AA240" s="30">
        <v>20.67</v>
      </c>
      <c r="AB240" s="30">
        <v>35.479999999999997</v>
      </c>
      <c r="AD240" s="30">
        <v>30.23</v>
      </c>
      <c r="AE240" s="30">
        <v>5.81</v>
      </c>
      <c r="AG240" s="30">
        <v>100</v>
      </c>
      <c r="AH240" s="30" t="s">
        <v>162</v>
      </c>
      <c r="AI240" s="30" t="s">
        <v>163</v>
      </c>
    </row>
    <row r="241" spans="1:35" ht="15" customHeight="1" x14ac:dyDescent="0.2">
      <c r="A241" s="27" t="s">
        <v>244</v>
      </c>
      <c r="B241" s="27" t="s">
        <v>156</v>
      </c>
      <c r="C241" s="27" t="s">
        <v>157</v>
      </c>
      <c r="D241" s="27" t="s">
        <v>245</v>
      </c>
      <c r="E241" s="28">
        <v>45665</v>
      </c>
      <c r="F241" s="28">
        <v>45700</v>
      </c>
      <c r="G241" s="27" t="s">
        <v>159</v>
      </c>
      <c r="H241" s="27" t="s">
        <v>246</v>
      </c>
      <c r="I241" s="27" t="s">
        <v>18</v>
      </c>
      <c r="J241" s="27" t="s">
        <v>161</v>
      </c>
      <c r="K241" s="28">
        <v>45627</v>
      </c>
      <c r="L241" s="28">
        <v>45657</v>
      </c>
      <c r="M241" s="29">
        <v>586</v>
      </c>
      <c r="N241" s="29">
        <v>163</v>
      </c>
      <c r="O241" s="29">
        <v>138</v>
      </c>
      <c r="P241" s="29">
        <v>285</v>
      </c>
      <c r="Q241" s="29">
        <v>243</v>
      </c>
      <c r="R241" s="29">
        <v>67</v>
      </c>
      <c r="S241" s="29">
        <v>52</v>
      </c>
      <c r="T241" s="29">
        <v>124</v>
      </c>
      <c r="U241" s="35">
        <v>4.5</v>
      </c>
      <c r="V241" s="30">
        <v>5</v>
      </c>
      <c r="W241" s="30">
        <v>171.53</v>
      </c>
      <c r="X241" s="30">
        <v>209.27</v>
      </c>
      <c r="Z241" s="30">
        <v>100.66</v>
      </c>
      <c r="AA241" s="30">
        <v>22.22</v>
      </c>
      <c r="AB241" s="30">
        <v>41.32</v>
      </c>
      <c r="AD241" s="30">
        <v>37.74</v>
      </c>
      <c r="AE241" s="30">
        <v>7.33</v>
      </c>
      <c r="AG241" s="30">
        <v>100</v>
      </c>
      <c r="AH241" s="30" t="s">
        <v>162</v>
      </c>
      <c r="AI241" s="30" t="s">
        <v>163</v>
      </c>
    </row>
    <row r="242" spans="1:35" ht="15" customHeight="1" x14ac:dyDescent="0.2">
      <c r="A242" s="27" t="s">
        <v>886</v>
      </c>
      <c r="B242" s="27" t="s">
        <v>839</v>
      </c>
      <c r="C242" s="27" t="s">
        <v>840</v>
      </c>
      <c r="D242" s="27" t="s">
        <v>887</v>
      </c>
      <c r="E242" s="28">
        <v>45350</v>
      </c>
      <c r="F242" s="28">
        <v>45380</v>
      </c>
      <c r="G242" s="27" t="s">
        <v>159</v>
      </c>
      <c r="H242" s="27" t="s">
        <v>888</v>
      </c>
      <c r="I242" s="27" t="s">
        <v>15</v>
      </c>
      <c r="J242" s="27" t="s">
        <v>843</v>
      </c>
      <c r="K242" s="28">
        <v>45292</v>
      </c>
      <c r="L242" s="28">
        <v>45322</v>
      </c>
      <c r="M242" s="29">
        <v>99</v>
      </c>
      <c r="N242" s="29">
        <v>51</v>
      </c>
      <c r="O242" s="29">
        <v>17</v>
      </c>
      <c r="P242" s="29">
        <v>31</v>
      </c>
      <c r="Q242" s="29">
        <v>32</v>
      </c>
      <c r="R242" s="29">
        <v>13</v>
      </c>
      <c r="S242" s="29">
        <v>6</v>
      </c>
      <c r="T242" s="29">
        <v>13</v>
      </c>
      <c r="U242" s="35">
        <v>3</v>
      </c>
      <c r="V242" s="30">
        <v>3.3</v>
      </c>
      <c r="W242" s="30">
        <v>40</v>
      </c>
      <c r="X242" s="30">
        <v>48.8</v>
      </c>
      <c r="Z242" s="30">
        <v>15.77</v>
      </c>
      <c r="AA242" s="30">
        <v>11</v>
      </c>
      <c r="AB242" s="30">
        <v>11.49</v>
      </c>
      <c r="AC242" s="35">
        <v>0.5</v>
      </c>
      <c r="AD242" s="30">
        <v>1.24</v>
      </c>
      <c r="AE242" s="30">
        <v>8.8000000000000007</v>
      </c>
      <c r="AG242" s="30">
        <v>100</v>
      </c>
      <c r="AH242" s="30" t="s">
        <v>162</v>
      </c>
      <c r="AI242" s="30" t="s">
        <v>851</v>
      </c>
    </row>
    <row r="243" spans="1:35" ht="15" customHeight="1" x14ac:dyDescent="0.2">
      <c r="A243" s="27" t="s">
        <v>824</v>
      </c>
      <c r="B243" s="27" t="s">
        <v>156</v>
      </c>
      <c r="C243" s="27" t="s">
        <v>157</v>
      </c>
      <c r="D243" s="27" t="s">
        <v>825</v>
      </c>
      <c r="E243" s="28">
        <v>45358</v>
      </c>
      <c r="F243" s="28">
        <v>45393</v>
      </c>
      <c r="G243" s="27" t="s">
        <v>159</v>
      </c>
      <c r="H243" s="27" t="s">
        <v>231</v>
      </c>
      <c r="I243" s="27" t="s">
        <v>15</v>
      </c>
      <c r="J243" s="27" t="s">
        <v>161</v>
      </c>
      <c r="K243" s="28">
        <v>45323</v>
      </c>
      <c r="L243" s="28">
        <v>45351</v>
      </c>
      <c r="M243" s="29">
        <v>97</v>
      </c>
      <c r="N243" s="29">
        <v>51</v>
      </c>
      <c r="O243" s="29">
        <v>19</v>
      </c>
      <c r="P243" s="29">
        <v>27</v>
      </c>
      <c r="Q243" s="29">
        <v>30</v>
      </c>
      <c r="R243" s="29">
        <v>14</v>
      </c>
      <c r="S243" s="29">
        <v>5</v>
      </c>
      <c r="T243" s="29">
        <v>11</v>
      </c>
      <c r="U243" s="35">
        <v>3</v>
      </c>
      <c r="V243" s="30">
        <v>3.3</v>
      </c>
      <c r="W243" s="30">
        <v>35.479999999999997</v>
      </c>
      <c r="X243" s="30">
        <v>43.29</v>
      </c>
      <c r="Z243" s="30">
        <v>11.88</v>
      </c>
      <c r="AA243" s="30">
        <v>10.98</v>
      </c>
      <c r="AB243" s="30">
        <v>11.41</v>
      </c>
      <c r="AD243" s="30">
        <v>7.81</v>
      </c>
      <c r="AE243" s="30">
        <v>1.21</v>
      </c>
      <c r="AG243" s="30">
        <v>100</v>
      </c>
      <c r="AH243" s="30" t="s">
        <v>162</v>
      </c>
      <c r="AI243" s="30" t="s">
        <v>163</v>
      </c>
    </row>
    <row r="244" spans="1:35" ht="15" customHeight="1" x14ac:dyDescent="0.2">
      <c r="A244" s="27" t="s">
        <v>730</v>
      </c>
      <c r="B244" s="27" t="s">
        <v>156</v>
      </c>
      <c r="C244" s="27" t="s">
        <v>157</v>
      </c>
      <c r="D244" s="27" t="s">
        <v>731</v>
      </c>
      <c r="E244" s="28">
        <v>45393</v>
      </c>
      <c r="F244" s="28">
        <v>45428</v>
      </c>
      <c r="G244" s="27" t="s">
        <v>159</v>
      </c>
      <c r="H244" s="27" t="s">
        <v>231</v>
      </c>
      <c r="I244" s="27" t="s">
        <v>15</v>
      </c>
      <c r="J244" s="27" t="s">
        <v>161</v>
      </c>
      <c r="K244" s="28">
        <v>45352</v>
      </c>
      <c r="L244" s="28">
        <v>45382</v>
      </c>
      <c r="M244" s="29">
        <v>87</v>
      </c>
      <c r="N244" s="29">
        <v>43</v>
      </c>
      <c r="O244" s="29">
        <v>19</v>
      </c>
      <c r="P244" s="29">
        <v>25</v>
      </c>
      <c r="Q244" s="29">
        <v>40</v>
      </c>
      <c r="R244" s="29">
        <v>16</v>
      </c>
      <c r="S244" s="29">
        <v>8</v>
      </c>
      <c r="T244" s="29">
        <v>16</v>
      </c>
      <c r="U244" s="30">
        <v>3</v>
      </c>
      <c r="V244" s="30">
        <v>3.3</v>
      </c>
      <c r="W244" s="30">
        <v>33.24</v>
      </c>
      <c r="X244" s="30">
        <v>40.549999999999997</v>
      </c>
      <c r="Z244" s="30">
        <v>10.3</v>
      </c>
      <c r="AA244" s="30">
        <v>10.85</v>
      </c>
      <c r="AB244" s="30">
        <v>11</v>
      </c>
      <c r="AD244" s="30">
        <v>7.31</v>
      </c>
      <c r="AE244" s="30">
        <v>1.0900000000000001</v>
      </c>
      <c r="AG244" s="30">
        <v>100</v>
      </c>
      <c r="AH244" s="30" t="s">
        <v>162</v>
      </c>
      <c r="AI244" s="30" t="s">
        <v>163</v>
      </c>
    </row>
    <row r="245" spans="1:35" ht="15" customHeight="1" x14ac:dyDescent="0.2">
      <c r="A245" s="27" t="s">
        <v>708</v>
      </c>
      <c r="B245" s="27" t="s">
        <v>156</v>
      </c>
      <c r="C245" s="27" t="s">
        <v>157</v>
      </c>
      <c r="D245" s="27" t="s">
        <v>709</v>
      </c>
      <c r="E245" s="28">
        <v>45419</v>
      </c>
      <c r="F245" s="28">
        <v>45454</v>
      </c>
      <c r="G245" s="27" t="s">
        <v>159</v>
      </c>
      <c r="H245" s="27" t="s">
        <v>231</v>
      </c>
      <c r="I245" s="27" t="s">
        <v>15</v>
      </c>
      <c r="J245" s="27" t="s">
        <v>161</v>
      </c>
      <c r="K245" s="28">
        <v>45383</v>
      </c>
      <c r="L245" s="28">
        <v>45392</v>
      </c>
      <c r="M245" s="29">
        <v>67</v>
      </c>
      <c r="N245" s="29">
        <v>29</v>
      </c>
      <c r="O245" s="29">
        <v>14</v>
      </c>
      <c r="P245" s="29">
        <v>24</v>
      </c>
      <c r="Q245" s="29">
        <v>14</v>
      </c>
      <c r="R245" s="29">
        <v>6</v>
      </c>
      <c r="S245" s="29">
        <v>3</v>
      </c>
      <c r="T245" s="29">
        <v>5</v>
      </c>
      <c r="U245" s="35">
        <v>3</v>
      </c>
      <c r="V245" s="30">
        <v>3.3</v>
      </c>
      <c r="W245" s="30">
        <v>30.98</v>
      </c>
      <c r="X245" s="30">
        <v>37.799999999999997</v>
      </c>
      <c r="Z245" s="30">
        <v>7.72</v>
      </c>
      <c r="AA245" s="30">
        <v>10.58</v>
      </c>
      <c r="AB245" s="30">
        <v>11.84</v>
      </c>
      <c r="AD245" s="30">
        <v>6.82</v>
      </c>
      <c r="AE245" s="30">
        <v>0.31</v>
      </c>
      <c r="AG245" s="30">
        <v>100</v>
      </c>
      <c r="AH245" s="30" t="s">
        <v>162</v>
      </c>
      <c r="AI245" s="30" t="s">
        <v>163</v>
      </c>
    </row>
    <row r="246" spans="1:35" ht="15" customHeight="1" x14ac:dyDescent="0.2">
      <c r="A246" s="27" t="s">
        <v>650</v>
      </c>
      <c r="B246" s="27" t="s">
        <v>156</v>
      </c>
      <c r="C246" s="27" t="s">
        <v>157</v>
      </c>
      <c r="D246" s="27" t="s">
        <v>651</v>
      </c>
      <c r="E246" s="28">
        <v>45449</v>
      </c>
      <c r="F246" s="28">
        <v>45484</v>
      </c>
      <c r="G246" s="27" t="s">
        <v>159</v>
      </c>
      <c r="H246" s="27" t="s">
        <v>231</v>
      </c>
      <c r="I246" s="27" t="s">
        <v>15</v>
      </c>
      <c r="J246" s="27" t="s">
        <v>161</v>
      </c>
      <c r="K246" s="28">
        <v>45413</v>
      </c>
      <c r="L246" s="28">
        <v>45443</v>
      </c>
      <c r="M246" s="29">
        <v>78</v>
      </c>
      <c r="N246" s="29">
        <v>34</v>
      </c>
      <c r="O246" s="29">
        <v>16</v>
      </c>
      <c r="P246" s="29">
        <v>28</v>
      </c>
      <c r="Q246" s="29">
        <v>0</v>
      </c>
      <c r="R246" s="29">
        <v>0</v>
      </c>
      <c r="S246" s="29">
        <v>0</v>
      </c>
      <c r="T246" s="29">
        <v>0</v>
      </c>
      <c r="U246" s="30">
        <v>3</v>
      </c>
      <c r="V246" s="30">
        <v>3.3</v>
      </c>
      <c r="W246" s="30">
        <v>33.56</v>
      </c>
      <c r="X246" s="30">
        <v>40.94</v>
      </c>
      <c r="Z246" s="30">
        <v>9.4700000000000006</v>
      </c>
      <c r="AA246" s="30">
        <v>10.74</v>
      </c>
      <c r="AB246" s="30">
        <v>12.37</v>
      </c>
      <c r="AD246" s="30">
        <v>7.38</v>
      </c>
      <c r="AE246" s="30">
        <v>0.98</v>
      </c>
      <c r="AG246" s="30">
        <v>100</v>
      </c>
      <c r="AH246" s="30" t="s">
        <v>162</v>
      </c>
      <c r="AI246" s="30" t="s">
        <v>163</v>
      </c>
    </row>
    <row r="247" spans="1:35" ht="15" customHeight="1" x14ac:dyDescent="0.2">
      <c r="A247" s="27" t="s">
        <v>598</v>
      </c>
      <c r="B247" s="27" t="s">
        <v>156</v>
      </c>
      <c r="C247" s="27" t="s">
        <v>157</v>
      </c>
      <c r="D247" s="27" t="s">
        <v>599</v>
      </c>
      <c r="E247" s="28">
        <v>45478</v>
      </c>
      <c r="F247" s="28">
        <v>45513</v>
      </c>
      <c r="G247" s="27" t="s">
        <v>159</v>
      </c>
      <c r="H247" s="27" t="s">
        <v>231</v>
      </c>
      <c r="I247" s="27" t="s">
        <v>15</v>
      </c>
      <c r="J247" s="27" t="s">
        <v>161</v>
      </c>
      <c r="K247" s="28">
        <v>45444</v>
      </c>
      <c r="L247" s="28">
        <v>45473</v>
      </c>
      <c r="M247" s="29">
        <v>49</v>
      </c>
      <c r="N247" s="29">
        <v>19</v>
      </c>
      <c r="O247" s="29">
        <v>11</v>
      </c>
      <c r="P247" s="29">
        <v>19</v>
      </c>
      <c r="Q247" s="29">
        <v>0</v>
      </c>
      <c r="R247" s="29">
        <v>0</v>
      </c>
      <c r="S247" s="29">
        <v>0</v>
      </c>
      <c r="T247" s="29">
        <v>0</v>
      </c>
      <c r="U247" s="30">
        <v>3</v>
      </c>
      <c r="V247" s="30">
        <v>3.3</v>
      </c>
      <c r="W247" s="30">
        <v>28.5</v>
      </c>
      <c r="X247" s="30">
        <v>34.770000000000003</v>
      </c>
      <c r="Z247" s="30">
        <v>6.56</v>
      </c>
      <c r="AA247" s="30">
        <v>10.36</v>
      </c>
      <c r="AB247" s="30">
        <v>10.97</v>
      </c>
      <c r="AD247" s="30">
        <v>6.27</v>
      </c>
      <c r="AE247" s="30">
        <v>0.61</v>
      </c>
      <c r="AG247" s="30">
        <v>100</v>
      </c>
      <c r="AH247" s="30" t="s">
        <v>162</v>
      </c>
      <c r="AI247" s="30" t="s">
        <v>163</v>
      </c>
    </row>
    <row r="248" spans="1:35" ht="15" customHeight="1" x14ac:dyDescent="0.2">
      <c r="A248" s="27" t="s">
        <v>536</v>
      </c>
      <c r="B248" s="27" t="s">
        <v>156</v>
      </c>
      <c r="C248" s="27" t="s">
        <v>157</v>
      </c>
      <c r="D248" s="27" t="s">
        <v>537</v>
      </c>
      <c r="E248" s="28">
        <v>45511</v>
      </c>
      <c r="F248" s="28">
        <v>45546</v>
      </c>
      <c r="G248" s="27" t="s">
        <v>159</v>
      </c>
      <c r="H248" s="27" t="s">
        <v>231</v>
      </c>
      <c r="I248" s="27" t="s">
        <v>15</v>
      </c>
      <c r="J248" s="27" t="s">
        <v>161</v>
      </c>
      <c r="K248" s="28">
        <v>45474</v>
      </c>
      <c r="L248" s="28">
        <v>45504</v>
      </c>
      <c r="M248" s="29">
        <v>89</v>
      </c>
      <c r="N248" s="29">
        <v>30</v>
      </c>
      <c r="O248" s="29">
        <v>20</v>
      </c>
      <c r="P248" s="29">
        <v>39</v>
      </c>
      <c r="Q248" s="29">
        <v>0</v>
      </c>
      <c r="R248" s="29">
        <v>0</v>
      </c>
      <c r="S248" s="29">
        <v>0</v>
      </c>
      <c r="T248" s="29">
        <v>0</v>
      </c>
      <c r="U248" s="30">
        <v>3</v>
      </c>
      <c r="V248" s="30">
        <v>3.3</v>
      </c>
      <c r="W248" s="30">
        <v>38.53</v>
      </c>
      <c r="X248" s="30">
        <v>47.01</v>
      </c>
      <c r="Z248" s="30">
        <v>13.64</v>
      </c>
      <c r="AA248" s="30">
        <v>10.88</v>
      </c>
      <c r="AB248" s="30">
        <v>12.9</v>
      </c>
      <c r="AD248" s="30">
        <v>8.48</v>
      </c>
      <c r="AE248" s="30">
        <v>1.1100000000000001</v>
      </c>
      <c r="AG248" s="30">
        <v>100</v>
      </c>
      <c r="AH248" s="30" t="s">
        <v>162</v>
      </c>
      <c r="AI248" s="30" t="s">
        <v>163</v>
      </c>
    </row>
    <row r="249" spans="1:35" ht="15" customHeight="1" x14ac:dyDescent="0.2">
      <c r="A249" s="27" t="s">
        <v>480</v>
      </c>
      <c r="B249" s="27" t="s">
        <v>156</v>
      </c>
      <c r="C249" s="27" t="s">
        <v>157</v>
      </c>
      <c r="D249" s="27" t="s">
        <v>481</v>
      </c>
      <c r="E249" s="28">
        <v>45541</v>
      </c>
      <c r="F249" s="28">
        <v>45576</v>
      </c>
      <c r="G249" s="27" t="s">
        <v>159</v>
      </c>
      <c r="H249" s="27" t="s">
        <v>231</v>
      </c>
      <c r="I249" s="27" t="s">
        <v>15</v>
      </c>
      <c r="J249" s="27" t="s">
        <v>161</v>
      </c>
      <c r="K249" s="28">
        <v>45505</v>
      </c>
      <c r="L249" s="28">
        <v>45535</v>
      </c>
      <c r="M249" s="29">
        <v>373</v>
      </c>
      <c r="N249" s="29">
        <v>165</v>
      </c>
      <c r="O249" s="29">
        <v>76</v>
      </c>
      <c r="P249" s="29">
        <v>132</v>
      </c>
      <c r="Q249" s="29">
        <v>14</v>
      </c>
      <c r="R249" s="29">
        <v>6</v>
      </c>
      <c r="S249" s="29">
        <v>3</v>
      </c>
      <c r="T249" s="29">
        <v>5</v>
      </c>
      <c r="U249" s="35">
        <v>3</v>
      </c>
      <c r="V249" s="30">
        <v>3.3</v>
      </c>
      <c r="W249" s="30">
        <v>38.94</v>
      </c>
      <c r="X249" s="30">
        <v>47.51</v>
      </c>
      <c r="Z249" s="30">
        <v>14.05</v>
      </c>
      <c r="AA249" s="30">
        <v>10.89</v>
      </c>
      <c r="AB249" s="30">
        <v>12.95</v>
      </c>
      <c r="AD249" s="30">
        <v>8.57</v>
      </c>
      <c r="AE249" s="30">
        <v>1.1299999999999999</v>
      </c>
      <c r="AG249" s="30">
        <v>100</v>
      </c>
      <c r="AH249" s="30" t="s">
        <v>162</v>
      </c>
      <c r="AI249" s="30" t="s">
        <v>163</v>
      </c>
    </row>
    <row r="250" spans="1:35" ht="15" customHeight="1" x14ac:dyDescent="0.2">
      <c r="A250" s="27" t="s">
        <v>418</v>
      </c>
      <c r="B250" s="27" t="s">
        <v>156</v>
      </c>
      <c r="C250" s="27" t="s">
        <v>157</v>
      </c>
      <c r="D250" s="27" t="s">
        <v>419</v>
      </c>
      <c r="E250" s="28">
        <v>45571</v>
      </c>
      <c r="F250" s="28">
        <v>45607</v>
      </c>
      <c r="G250" s="27" t="s">
        <v>159</v>
      </c>
      <c r="H250" s="27" t="s">
        <v>231</v>
      </c>
      <c r="I250" s="27" t="s">
        <v>15</v>
      </c>
      <c r="J250" s="27" t="s">
        <v>161</v>
      </c>
      <c r="K250" s="28">
        <v>45536</v>
      </c>
      <c r="L250" s="28">
        <v>45565</v>
      </c>
      <c r="M250" s="29">
        <v>54</v>
      </c>
      <c r="N250" s="29">
        <v>27</v>
      </c>
      <c r="O250" s="29">
        <v>11</v>
      </c>
      <c r="P250" s="29">
        <v>16</v>
      </c>
      <c r="Q250" s="29">
        <v>0</v>
      </c>
      <c r="R250" s="29">
        <v>0</v>
      </c>
      <c r="S250" s="29">
        <v>0</v>
      </c>
      <c r="T250" s="29">
        <v>0</v>
      </c>
      <c r="U250" s="35">
        <v>3</v>
      </c>
      <c r="V250" s="30">
        <v>3.3</v>
      </c>
      <c r="W250" s="30">
        <v>30.35</v>
      </c>
      <c r="X250" s="30">
        <v>37.03</v>
      </c>
      <c r="Z250" s="30">
        <v>8.0299999999999994</v>
      </c>
      <c r="AA250" s="30">
        <v>10.43</v>
      </c>
      <c r="AB250" s="30">
        <v>11.21</v>
      </c>
      <c r="AD250" s="30">
        <v>6.68</v>
      </c>
      <c r="AE250" s="30">
        <v>0.68</v>
      </c>
      <c r="AG250" s="30">
        <v>100</v>
      </c>
      <c r="AH250" s="30" t="s">
        <v>162</v>
      </c>
      <c r="AI250" s="30" t="s">
        <v>163</v>
      </c>
    </row>
    <row r="251" spans="1:35" ht="15" customHeight="1" x14ac:dyDescent="0.2">
      <c r="A251" s="27" t="s">
        <v>364</v>
      </c>
      <c r="B251" s="27" t="s">
        <v>156</v>
      </c>
      <c r="C251" s="27" t="s">
        <v>157</v>
      </c>
      <c r="D251" s="27" t="s">
        <v>365</v>
      </c>
      <c r="E251" s="28">
        <v>45604</v>
      </c>
      <c r="F251" s="28">
        <v>45639</v>
      </c>
      <c r="G251" s="27" t="s">
        <v>159</v>
      </c>
      <c r="H251" s="27" t="s">
        <v>231</v>
      </c>
      <c r="I251" s="27" t="s">
        <v>15</v>
      </c>
      <c r="J251" s="27" t="s">
        <v>161</v>
      </c>
      <c r="K251" s="28">
        <v>45566</v>
      </c>
      <c r="L251" s="28">
        <v>45596</v>
      </c>
      <c r="M251" s="29">
        <v>64</v>
      </c>
      <c r="N251" s="29">
        <v>38</v>
      </c>
      <c r="O251" s="29">
        <v>10</v>
      </c>
      <c r="P251" s="29">
        <v>16</v>
      </c>
      <c r="Q251" s="29">
        <v>0</v>
      </c>
      <c r="R251" s="29">
        <v>0</v>
      </c>
      <c r="S251" s="29">
        <v>0</v>
      </c>
      <c r="T251" s="29">
        <v>0</v>
      </c>
      <c r="U251" s="30">
        <v>3</v>
      </c>
      <c r="V251" s="30">
        <v>3.3</v>
      </c>
      <c r="W251" s="30">
        <v>32.71</v>
      </c>
      <c r="X251" s="30">
        <v>39.909999999999997</v>
      </c>
      <c r="Z251" s="30">
        <v>9.66</v>
      </c>
      <c r="AA251" s="30">
        <v>10.55</v>
      </c>
      <c r="AB251" s="30">
        <v>11.7</v>
      </c>
      <c r="AD251" s="30">
        <v>7.2</v>
      </c>
      <c r="AE251" s="30">
        <v>0.8</v>
      </c>
      <c r="AG251" s="30">
        <v>100</v>
      </c>
      <c r="AH251" s="30" t="s">
        <v>162</v>
      </c>
      <c r="AI251" s="30" t="s">
        <v>163</v>
      </c>
    </row>
    <row r="252" spans="1:35" ht="15" customHeight="1" x14ac:dyDescent="0.2">
      <c r="A252" s="27" t="s">
        <v>306</v>
      </c>
      <c r="B252" s="27" t="s">
        <v>156</v>
      </c>
      <c r="C252" s="27" t="s">
        <v>157</v>
      </c>
      <c r="D252" s="27" t="s">
        <v>307</v>
      </c>
      <c r="E252" s="28">
        <v>45632</v>
      </c>
      <c r="F252" s="28">
        <v>45667</v>
      </c>
      <c r="G252" s="27" t="s">
        <v>159</v>
      </c>
      <c r="H252" s="27" t="s">
        <v>231</v>
      </c>
      <c r="I252" s="27" t="s">
        <v>15</v>
      </c>
      <c r="J252" s="27" t="s">
        <v>161</v>
      </c>
      <c r="K252" s="28">
        <v>45597</v>
      </c>
      <c r="L252" s="28">
        <v>45626</v>
      </c>
      <c r="M252" s="29">
        <v>71</v>
      </c>
      <c r="N252" s="29">
        <v>41</v>
      </c>
      <c r="O252" s="29">
        <v>11</v>
      </c>
      <c r="P252" s="29">
        <v>19</v>
      </c>
      <c r="Q252" s="29">
        <v>0</v>
      </c>
      <c r="R252" s="29">
        <v>0</v>
      </c>
      <c r="S252" s="29">
        <v>0</v>
      </c>
      <c r="T252" s="29">
        <v>0</v>
      </c>
      <c r="U252" s="30">
        <v>3</v>
      </c>
      <c r="V252" s="30">
        <v>3.3</v>
      </c>
      <c r="W252" s="30">
        <v>35.54</v>
      </c>
      <c r="X252" s="30">
        <v>43.36</v>
      </c>
      <c r="Z252" s="30">
        <v>11.96</v>
      </c>
      <c r="AA252" s="30">
        <v>10.65</v>
      </c>
      <c r="AB252" s="30">
        <v>12.04</v>
      </c>
      <c r="AD252" s="30">
        <v>7.82</v>
      </c>
      <c r="AE252" s="30">
        <v>0.89</v>
      </c>
      <c r="AG252" s="30">
        <v>100</v>
      </c>
      <c r="AH252" s="30" t="s">
        <v>162</v>
      </c>
      <c r="AI252" s="30" t="s">
        <v>163</v>
      </c>
    </row>
    <row r="253" spans="1:35" ht="15" customHeight="1" x14ac:dyDescent="0.2">
      <c r="A253" s="27" t="s">
        <v>229</v>
      </c>
      <c r="B253" s="27" t="s">
        <v>156</v>
      </c>
      <c r="C253" s="27" t="s">
        <v>157</v>
      </c>
      <c r="D253" s="27" t="s">
        <v>230</v>
      </c>
      <c r="E253" s="28">
        <v>45665</v>
      </c>
      <c r="F253" s="28">
        <v>45700</v>
      </c>
      <c r="G253" s="27" t="s">
        <v>159</v>
      </c>
      <c r="H253" s="27" t="s">
        <v>231</v>
      </c>
      <c r="I253" s="27" t="s">
        <v>15</v>
      </c>
      <c r="J253" s="27" t="s">
        <v>161</v>
      </c>
      <c r="K253" s="28">
        <v>45627</v>
      </c>
      <c r="L253" s="28">
        <v>45657</v>
      </c>
      <c r="M253" s="29">
        <v>71</v>
      </c>
      <c r="N253" s="29">
        <v>39</v>
      </c>
      <c r="O253" s="29">
        <v>10</v>
      </c>
      <c r="P253" s="29">
        <v>22</v>
      </c>
      <c r="Q253" s="29">
        <v>0</v>
      </c>
      <c r="R253" s="29">
        <v>0</v>
      </c>
      <c r="S253" s="29">
        <v>0</v>
      </c>
      <c r="T253" s="29">
        <v>0</v>
      </c>
      <c r="U253" s="30">
        <v>3</v>
      </c>
      <c r="V253" s="30">
        <v>3.3</v>
      </c>
      <c r="W253" s="30">
        <v>36.44</v>
      </c>
      <c r="X253" s="30">
        <v>44.46</v>
      </c>
      <c r="Z253" s="30">
        <v>12.86</v>
      </c>
      <c r="AA253" s="30">
        <v>10.65</v>
      </c>
      <c r="AB253" s="30">
        <v>12.04</v>
      </c>
      <c r="AD253" s="30">
        <v>8.02</v>
      </c>
      <c r="AE253" s="30">
        <v>0.89</v>
      </c>
      <c r="AG253" s="30">
        <v>100</v>
      </c>
      <c r="AH253" s="30" t="s">
        <v>162</v>
      </c>
      <c r="AI253" s="30" t="s">
        <v>163</v>
      </c>
    </row>
    <row r="254" spans="1:35" ht="15" customHeight="1" x14ac:dyDescent="0.2">
      <c r="A254" s="27" t="s">
        <v>889</v>
      </c>
      <c r="B254" s="27" t="s">
        <v>839</v>
      </c>
      <c r="C254" s="27" t="s">
        <v>840</v>
      </c>
      <c r="D254" s="27" t="s">
        <v>890</v>
      </c>
      <c r="E254" s="28">
        <v>45350</v>
      </c>
      <c r="F254" s="28">
        <v>45380</v>
      </c>
      <c r="G254" s="27" t="s">
        <v>159</v>
      </c>
      <c r="H254" s="27" t="s">
        <v>891</v>
      </c>
      <c r="I254" s="27" t="s">
        <v>53</v>
      </c>
      <c r="J254" s="27" t="s">
        <v>843</v>
      </c>
      <c r="K254" s="28">
        <v>45292</v>
      </c>
      <c r="L254" s="28">
        <v>45322</v>
      </c>
      <c r="M254" s="29">
        <v>221</v>
      </c>
      <c r="N254" s="29">
        <v>31</v>
      </c>
      <c r="O254" s="29">
        <v>59</v>
      </c>
      <c r="P254" s="29">
        <v>131</v>
      </c>
      <c r="Q254" s="29">
        <v>206</v>
      </c>
      <c r="R254" s="29">
        <v>22</v>
      </c>
      <c r="S254" s="29">
        <v>54</v>
      </c>
      <c r="T254" s="29">
        <v>130</v>
      </c>
      <c r="U254" s="30">
        <v>3</v>
      </c>
      <c r="V254" s="30">
        <v>3.3</v>
      </c>
      <c r="W254" s="30">
        <v>66.66</v>
      </c>
      <c r="X254" s="30">
        <v>81.33</v>
      </c>
      <c r="Z254" s="30">
        <v>33.68</v>
      </c>
      <c r="AA254" s="30">
        <v>12.57</v>
      </c>
      <c r="AB254" s="30">
        <v>16.54</v>
      </c>
      <c r="AC254" s="35">
        <v>1.1100000000000001</v>
      </c>
      <c r="AD254" s="30">
        <v>2.76</v>
      </c>
      <c r="AE254" s="30">
        <v>14.67</v>
      </c>
      <c r="AG254" s="30">
        <v>100</v>
      </c>
      <c r="AH254" s="30" t="s">
        <v>162</v>
      </c>
      <c r="AI254" s="30" t="s">
        <v>851</v>
      </c>
    </row>
    <row r="255" spans="1:35" ht="15" customHeight="1" x14ac:dyDescent="0.2">
      <c r="A255" s="27" t="s">
        <v>798</v>
      </c>
      <c r="B255" s="27" t="s">
        <v>156</v>
      </c>
      <c r="C255" s="27" t="s">
        <v>157</v>
      </c>
      <c r="D255" s="27" t="s">
        <v>799</v>
      </c>
      <c r="E255" s="28">
        <v>45358</v>
      </c>
      <c r="F255" s="28">
        <v>45393</v>
      </c>
      <c r="G255" s="27" t="s">
        <v>159</v>
      </c>
      <c r="H255" s="27" t="s">
        <v>190</v>
      </c>
      <c r="I255" s="27" t="s">
        <v>53</v>
      </c>
      <c r="J255" s="27" t="s">
        <v>161</v>
      </c>
      <c r="K255" s="28">
        <v>45323</v>
      </c>
      <c r="L255" s="28">
        <v>45351</v>
      </c>
      <c r="M255" s="29">
        <v>187</v>
      </c>
      <c r="N255" s="29">
        <v>23</v>
      </c>
      <c r="O255" s="29">
        <v>52</v>
      </c>
      <c r="P255" s="29">
        <v>112</v>
      </c>
      <c r="Q255" s="29">
        <v>177</v>
      </c>
      <c r="R255" s="29">
        <v>15</v>
      </c>
      <c r="S255" s="29">
        <v>49</v>
      </c>
      <c r="T255" s="29">
        <v>113</v>
      </c>
      <c r="U255" s="30">
        <v>3</v>
      </c>
      <c r="V255" s="30">
        <v>3.3</v>
      </c>
      <c r="W255" s="30">
        <v>51.11</v>
      </c>
      <c r="X255" s="30">
        <v>62.35</v>
      </c>
      <c r="Z255" s="30">
        <v>21.5</v>
      </c>
      <c r="AA255" s="30">
        <v>12.13</v>
      </c>
      <c r="AB255" s="30">
        <v>15.14</v>
      </c>
      <c r="AD255" s="30">
        <v>11.24</v>
      </c>
      <c r="AE255" s="30">
        <v>2.34</v>
      </c>
      <c r="AG255" s="30">
        <v>100</v>
      </c>
      <c r="AH255" s="30" t="s">
        <v>162</v>
      </c>
      <c r="AI255" s="30" t="s">
        <v>163</v>
      </c>
    </row>
    <row r="256" spans="1:35" ht="15" customHeight="1" x14ac:dyDescent="0.2">
      <c r="A256" s="27" t="s">
        <v>750</v>
      </c>
      <c r="B256" s="27" t="s">
        <v>156</v>
      </c>
      <c r="C256" s="27" t="s">
        <v>157</v>
      </c>
      <c r="D256" s="27" t="s">
        <v>751</v>
      </c>
      <c r="E256" s="28">
        <v>45390</v>
      </c>
      <c r="F256" s="28">
        <v>45425</v>
      </c>
      <c r="G256" s="27" t="s">
        <v>159</v>
      </c>
      <c r="H256" s="27" t="s">
        <v>190</v>
      </c>
      <c r="I256" s="27" t="s">
        <v>53</v>
      </c>
      <c r="J256" s="27" t="s">
        <v>161</v>
      </c>
      <c r="K256" s="28">
        <v>45352</v>
      </c>
      <c r="L256" s="28">
        <v>45382</v>
      </c>
      <c r="M256" s="29">
        <v>178</v>
      </c>
      <c r="N256" s="29">
        <v>17</v>
      </c>
      <c r="O256" s="29">
        <v>52</v>
      </c>
      <c r="P256" s="29">
        <v>109</v>
      </c>
      <c r="Q256" s="29">
        <v>169</v>
      </c>
      <c r="R256" s="29">
        <v>9</v>
      </c>
      <c r="S256" s="29">
        <v>49</v>
      </c>
      <c r="T256" s="29">
        <v>111</v>
      </c>
      <c r="U256" s="30">
        <v>3</v>
      </c>
      <c r="V256" s="30">
        <v>3.3</v>
      </c>
      <c r="W256" s="30">
        <v>49.19</v>
      </c>
      <c r="X256" s="30">
        <v>60.01</v>
      </c>
      <c r="Z256" s="30">
        <v>20.170000000000002</v>
      </c>
      <c r="AA256" s="30">
        <v>12.02</v>
      </c>
      <c r="AB256" s="30">
        <v>14.77</v>
      </c>
      <c r="AD256" s="30">
        <v>10.82</v>
      </c>
      <c r="AE256" s="30">
        <v>2.23</v>
      </c>
      <c r="AG256" s="30">
        <v>100</v>
      </c>
      <c r="AH256" s="30" t="s">
        <v>162</v>
      </c>
      <c r="AI256" s="30" t="s">
        <v>163</v>
      </c>
    </row>
    <row r="257" spans="1:35" ht="15" customHeight="1" x14ac:dyDescent="0.2">
      <c r="A257" s="27" t="s">
        <v>666</v>
      </c>
      <c r="B257" s="27" t="s">
        <v>156</v>
      </c>
      <c r="C257" s="27" t="s">
        <v>157</v>
      </c>
      <c r="D257" s="27" t="s">
        <v>667</v>
      </c>
      <c r="E257" s="28">
        <v>45424</v>
      </c>
      <c r="F257" s="28">
        <v>45460</v>
      </c>
      <c r="G257" s="27" t="s">
        <v>159</v>
      </c>
      <c r="H257" s="27" t="s">
        <v>190</v>
      </c>
      <c r="I257" s="27" t="s">
        <v>53</v>
      </c>
      <c r="J257" s="27" t="s">
        <v>161</v>
      </c>
      <c r="K257" s="28">
        <v>45383</v>
      </c>
      <c r="L257" s="28">
        <v>45412</v>
      </c>
      <c r="M257" s="29">
        <v>149</v>
      </c>
      <c r="N257" s="29">
        <v>9</v>
      </c>
      <c r="O257" s="29">
        <v>34</v>
      </c>
      <c r="P257" s="29">
        <v>106</v>
      </c>
      <c r="Q257" s="29">
        <v>0</v>
      </c>
      <c r="R257" s="29">
        <v>0</v>
      </c>
      <c r="S257" s="29">
        <v>0</v>
      </c>
      <c r="T257" s="29">
        <v>0</v>
      </c>
      <c r="U257" s="30">
        <v>3</v>
      </c>
      <c r="V257" s="30">
        <v>3.3</v>
      </c>
      <c r="W257" s="30">
        <v>45.8</v>
      </c>
      <c r="X257" s="30">
        <v>55.88</v>
      </c>
      <c r="Z257" s="30">
        <v>16.510000000000002</v>
      </c>
      <c r="AA257" s="30">
        <v>11.64</v>
      </c>
      <c r="AB257" s="30">
        <v>15.79</v>
      </c>
      <c r="AD257" s="30">
        <v>10.08</v>
      </c>
      <c r="AE257" s="30">
        <v>1.86</v>
      </c>
      <c r="AG257" s="30">
        <v>100</v>
      </c>
      <c r="AH257" s="30" t="s">
        <v>162</v>
      </c>
      <c r="AI257" s="30" t="s">
        <v>163</v>
      </c>
    </row>
    <row r="258" spans="1:35" ht="15" customHeight="1" x14ac:dyDescent="0.2">
      <c r="A258" s="27" t="s">
        <v>624</v>
      </c>
      <c r="B258" s="27" t="s">
        <v>156</v>
      </c>
      <c r="C258" s="27" t="s">
        <v>157</v>
      </c>
      <c r="D258" s="27" t="s">
        <v>625</v>
      </c>
      <c r="E258" s="28">
        <v>45449</v>
      </c>
      <c r="F258" s="28">
        <v>45484</v>
      </c>
      <c r="G258" s="27" t="s">
        <v>159</v>
      </c>
      <c r="H258" s="27" t="s">
        <v>190</v>
      </c>
      <c r="I258" s="27" t="s">
        <v>53</v>
      </c>
      <c r="J258" s="27" t="s">
        <v>161</v>
      </c>
      <c r="K258" s="28">
        <v>45383</v>
      </c>
      <c r="L258" s="28">
        <v>45414</v>
      </c>
      <c r="M258" s="29">
        <v>289</v>
      </c>
      <c r="N258" s="29">
        <v>19</v>
      </c>
      <c r="O258" s="29">
        <v>66</v>
      </c>
      <c r="P258" s="29">
        <v>204</v>
      </c>
      <c r="Q258" s="29">
        <v>275</v>
      </c>
      <c r="R258" s="29">
        <v>4</v>
      </c>
      <c r="S258" s="29">
        <v>62</v>
      </c>
      <c r="T258" s="29">
        <v>209</v>
      </c>
      <c r="U258" s="30">
        <v>3</v>
      </c>
      <c r="V258" s="30">
        <v>3.3</v>
      </c>
      <c r="W258" s="30">
        <v>45.22</v>
      </c>
      <c r="X258" s="30">
        <v>55.17</v>
      </c>
      <c r="Z258" s="30">
        <v>16.57</v>
      </c>
      <c r="AA258" s="30">
        <v>11.55</v>
      </c>
      <c r="AB258" s="30">
        <v>15.34</v>
      </c>
      <c r="AD258" s="30">
        <v>9.9499999999999993</v>
      </c>
      <c r="AE258" s="30">
        <v>2.04</v>
      </c>
      <c r="AG258" s="30">
        <v>100</v>
      </c>
      <c r="AH258" s="30" t="s">
        <v>162</v>
      </c>
      <c r="AI258" s="30" t="s">
        <v>163</v>
      </c>
    </row>
    <row r="259" spans="1:35" ht="15" customHeight="1" x14ac:dyDescent="0.2">
      <c r="A259" s="27" t="s">
        <v>579</v>
      </c>
      <c r="B259" s="27" t="s">
        <v>156</v>
      </c>
      <c r="C259" s="27" t="s">
        <v>157</v>
      </c>
      <c r="D259" s="27" t="s">
        <v>580</v>
      </c>
      <c r="E259" s="28">
        <v>45478</v>
      </c>
      <c r="F259" s="28">
        <v>45513</v>
      </c>
      <c r="G259" s="27" t="s">
        <v>159</v>
      </c>
      <c r="H259" s="27" t="s">
        <v>190</v>
      </c>
      <c r="I259" s="27" t="s">
        <v>53</v>
      </c>
      <c r="J259" s="27" t="s">
        <v>161</v>
      </c>
      <c r="K259" s="28">
        <v>45444</v>
      </c>
      <c r="L259" s="28">
        <v>45473</v>
      </c>
      <c r="M259" s="29">
        <v>126</v>
      </c>
      <c r="N259" s="29">
        <v>10</v>
      </c>
      <c r="O259" s="29">
        <v>26</v>
      </c>
      <c r="P259" s="29">
        <v>90</v>
      </c>
      <c r="Q259" s="29">
        <v>117</v>
      </c>
      <c r="R259" s="29">
        <v>2</v>
      </c>
      <c r="S259" s="29">
        <v>23</v>
      </c>
      <c r="T259" s="29">
        <v>92</v>
      </c>
      <c r="U259" s="35">
        <v>3</v>
      </c>
      <c r="V259" s="30">
        <v>3.3</v>
      </c>
      <c r="W259" s="30">
        <v>44.07</v>
      </c>
      <c r="X259" s="30">
        <v>53.77</v>
      </c>
      <c r="Z259" s="30">
        <v>16.46</v>
      </c>
      <c r="AA259" s="30">
        <v>11.35</v>
      </c>
      <c r="AB259" s="30">
        <v>14.68</v>
      </c>
      <c r="AD259" s="30">
        <v>9.6999999999999993</v>
      </c>
      <c r="AE259" s="30">
        <v>1.58</v>
      </c>
      <c r="AG259" s="30">
        <v>100</v>
      </c>
      <c r="AH259" s="30" t="s">
        <v>162</v>
      </c>
      <c r="AI259" s="30" t="s">
        <v>163</v>
      </c>
    </row>
    <row r="260" spans="1:35" ht="15" customHeight="1" x14ac:dyDescent="0.2">
      <c r="A260" s="27" t="s">
        <v>518</v>
      </c>
      <c r="B260" s="27" t="s">
        <v>156</v>
      </c>
      <c r="C260" s="27" t="s">
        <v>157</v>
      </c>
      <c r="D260" s="27" t="s">
        <v>519</v>
      </c>
      <c r="E260" s="28">
        <v>45511</v>
      </c>
      <c r="F260" s="28">
        <v>45546</v>
      </c>
      <c r="G260" s="27" t="s">
        <v>159</v>
      </c>
      <c r="H260" s="27" t="s">
        <v>190</v>
      </c>
      <c r="I260" s="27" t="s">
        <v>53</v>
      </c>
      <c r="J260" s="27" t="s">
        <v>161</v>
      </c>
      <c r="K260" s="28">
        <v>45474</v>
      </c>
      <c r="L260" s="28">
        <v>45504</v>
      </c>
      <c r="M260" s="29">
        <v>133</v>
      </c>
      <c r="N260" s="29">
        <v>27</v>
      </c>
      <c r="O260" s="29">
        <v>30</v>
      </c>
      <c r="P260" s="29">
        <v>76</v>
      </c>
      <c r="Q260" s="29">
        <v>120</v>
      </c>
      <c r="R260" s="29">
        <v>13</v>
      </c>
      <c r="S260" s="29">
        <v>26</v>
      </c>
      <c r="T260" s="29">
        <v>81</v>
      </c>
      <c r="U260" s="30">
        <v>3</v>
      </c>
      <c r="V260" s="30">
        <v>3.3</v>
      </c>
      <c r="W260" s="30">
        <v>48.51</v>
      </c>
      <c r="X260" s="30">
        <v>59.18</v>
      </c>
      <c r="Z260" s="30">
        <v>20.39</v>
      </c>
      <c r="AA260" s="30">
        <v>11.44</v>
      </c>
      <c r="AB260" s="30">
        <v>15.02</v>
      </c>
      <c r="AD260" s="30">
        <v>10.67</v>
      </c>
      <c r="AE260" s="30">
        <v>1.66</v>
      </c>
      <c r="AG260" s="30">
        <v>100</v>
      </c>
      <c r="AH260" s="30" t="s">
        <v>162</v>
      </c>
      <c r="AI260" s="30" t="s">
        <v>163</v>
      </c>
    </row>
    <row r="261" spans="1:35" ht="15" customHeight="1" x14ac:dyDescent="0.2">
      <c r="A261" s="27" t="s">
        <v>456</v>
      </c>
      <c r="B261" s="27" t="s">
        <v>156</v>
      </c>
      <c r="C261" s="27" t="s">
        <v>157</v>
      </c>
      <c r="D261" s="27" t="s">
        <v>457</v>
      </c>
      <c r="E261" s="28">
        <v>45541</v>
      </c>
      <c r="F261" s="28">
        <v>45576</v>
      </c>
      <c r="G261" s="27" t="s">
        <v>159</v>
      </c>
      <c r="H261" s="27" t="s">
        <v>190</v>
      </c>
      <c r="I261" s="27" t="s">
        <v>53</v>
      </c>
      <c r="J261" s="27" t="s">
        <v>161</v>
      </c>
      <c r="K261" s="28">
        <v>45505</v>
      </c>
      <c r="L261" s="28">
        <v>45535</v>
      </c>
      <c r="M261" s="29">
        <v>697</v>
      </c>
      <c r="N261" s="29">
        <v>80</v>
      </c>
      <c r="O261" s="29">
        <v>158</v>
      </c>
      <c r="P261" s="29">
        <v>459</v>
      </c>
      <c r="Q261" s="29">
        <v>677</v>
      </c>
      <c r="R261" s="29">
        <v>39</v>
      </c>
      <c r="S261" s="29">
        <v>151</v>
      </c>
      <c r="T261" s="29">
        <v>487</v>
      </c>
      <c r="U261" s="35">
        <v>3</v>
      </c>
      <c r="V261" s="30">
        <v>3.3</v>
      </c>
      <c r="W261" s="30">
        <v>52.97</v>
      </c>
      <c r="X261" s="30">
        <v>64.62</v>
      </c>
      <c r="Z261" s="30">
        <v>23.58</v>
      </c>
      <c r="AA261" s="30">
        <v>11.64</v>
      </c>
      <c r="AB261" s="30">
        <v>15.79</v>
      </c>
      <c r="AD261" s="30">
        <v>11.65</v>
      </c>
      <c r="AE261" s="30">
        <v>1.86</v>
      </c>
      <c r="AG261" s="30">
        <v>100</v>
      </c>
      <c r="AH261" s="30" t="s">
        <v>162</v>
      </c>
      <c r="AI261" s="30" t="s">
        <v>163</v>
      </c>
    </row>
    <row r="262" spans="1:35" ht="15" customHeight="1" x14ac:dyDescent="0.2">
      <c r="A262" s="27" t="s">
        <v>396</v>
      </c>
      <c r="B262" s="27" t="s">
        <v>156</v>
      </c>
      <c r="C262" s="27" t="s">
        <v>157</v>
      </c>
      <c r="D262" s="27" t="s">
        <v>397</v>
      </c>
      <c r="E262" s="28">
        <v>45571</v>
      </c>
      <c r="F262" s="28">
        <v>45607</v>
      </c>
      <c r="G262" s="27" t="s">
        <v>159</v>
      </c>
      <c r="H262" s="27" t="s">
        <v>190</v>
      </c>
      <c r="I262" s="27" t="s">
        <v>53</v>
      </c>
      <c r="J262" s="27" t="s">
        <v>161</v>
      </c>
      <c r="K262" s="28">
        <v>45536</v>
      </c>
      <c r="L262" s="28">
        <v>45565</v>
      </c>
      <c r="M262" s="29">
        <v>135</v>
      </c>
      <c r="N262" s="29">
        <v>15</v>
      </c>
      <c r="O262" s="29">
        <v>35</v>
      </c>
      <c r="P262" s="29">
        <v>85</v>
      </c>
      <c r="Q262" s="29">
        <v>148</v>
      </c>
      <c r="R262" s="29">
        <v>10</v>
      </c>
      <c r="S262" s="29">
        <v>38</v>
      </c>
      <c r="T262" s="29">
        <v>100</v>
      </c>
      <c r="U262" s="35">
        <v>3</v>
      </c>
      <c r="V262" s="30">
        <v>3.3</v>
      </c>
      <c r="W262" s="30">
        <v>47.62</v>
      </c>
      <c r="X262" s="30">
        <v>58.1</v>
      </c>
      <c r="Z262" s="30">
        <v>19.350000000000001</v>
      </c>
      <c r="AA262" s="30">
        <v>11.46</v>
      </c>
      <c r="AB262" s="30">
        <v>15.12</v>
      </c>
      <c r="AD262" s="30">
        <v>10.48</v>
      </c>
      <c r="AE262" s="30">
        <v>1.69</v>
      </c>
      <c r="AG262" s="30">
        <v>100</v>
      </c>
      <c r="AH262" s="30" t="s">
        <v>162</v>
      </c>
      <c r="AI262" s="30" t="s">
        <v>163</v>
      </c>
    </row>
    <row r="263" spans="1:35" ht="15" customHeight="1" x14ac:dyDescent="0.2">
      <c r="A263" s="27" t="s">
        <v>338</v>
      </c>
      <c r="B263" s="27" t="s">
        <v>156</v>
      </c>
      <c r="C263" s="27" t="s">
        <v>157</v>
      </c>
      <c r="D263" s="27" t="s">
        <v>339</v>
      </c>
      <c r="E263" s="28">
        <v>45604</v>
      </c>
      <c r="F263" s="28">
        <v>45639</v>
      </c>
      <c r="G263" s="27" t="s">
        <v>159</v>
      </c>
      <c r="H263" s="27" t="s">
        <v>190</v>
      </c>
      <c r="I263" s="27" t="s">
        <v>53</v>
      </c>
      <c r="J263" s="27" t="s">
        <v>161</v>
      </c>
      <c r="K263" s="28">
        <v>45566</v>
      </c>
      <c r="L263" s="28">
        <v>45596</v>
      </c>
      <c r="M263" s="29">
        <v>164</v>
      </c>
      <c r="N263" s="29">
        <v>30</v>
      </c>
      <c r="O263" s="29">
        <v>46</v>
      </c>
      <c r="P263" s="29">
        <v>88</v>
      </c>
      <c r="Q263" s="29">
        <v>186</v>
      </c>
      <c r="R263" s="29">
        <v>19</v>
      </c>
      <c r="S263" s="29">
        <v>53</v>
      </c>
      <c r="T263" s="29">
        <v>114</v>
      </c>
      <c r="U263" s="30">
        <v>3</v>
      </c>
      <c r="V263" s="30">
        <v>3.3</v>
      </c>
      <c r="W263" s="30">
        <v>54.18</v>
      </c>
      <c r="X263" s="30">
        <v>66.099999999999994</v>
      </c>
      <c r="Z263" s="30">
        <v>23.78</v>
      </c>
      <c r="AA263" s="30">
        <v>11.84</v>
      </c>
      <c r="AB263" s="30">
        <v>16.510000000000002</v>
      </c>
      <c r="AD263" s="30">
        <v>11.92</v>
      </c>
      <c r="AE263" s="30">
        <v>2.0499999999999998</v>
      </c>
      <c r="AG263" s="30">
        <v>100</v>
      </c>
      <c r="AH263" s="30" t="s">
        <v>162</v>
      </c>
      <c r="AI263" s="30" t="s">
        <v>163</v>
      </c>
    </row>
    <row r="264" spans="1:35" ht="15" customHeight="1" x14ac:dyDescent="0.2">
      <c r="A264" s="27" t="s">
        <v>280</v>
      </c>
      <c r="B264" s="27" t="s">
        <v>156</v>
      </c>
      <c r="C264" s="27" t="s">
        <v>157</v>
      </c>
      <c r="D264" s="27" t="s">
        <v>281</v>
      </c>
      <c r="E264" s="28">
        <v>45632</v>
      </c>
      <c r="F264" s="28">
        <v>45667</v>
      </c>
      <c r="G264" s="27" t="s">
        <v>159</v>
      </c>
      <c r="H264" s="27" t="s">
        <v>190</v>
      </c>
      <c r="I264" s="27" t="s">
        <v>53</v>
      </c>
      <c r="J264" s="27" t="s">
        <v>161</v>
      </c>
      <c r="K264" s="28">
        <v>45597</v>
      </c>
      <c r="L264" s="28">
        <v>45626</v>
      </c>
      <c r="M264" s="29">
        <v>181</v>
      </c>
      <c r="N264" s="29">
        <v>29</v>
      </c>
      <c r="O264" s="29">
        <v>44</v>
      </c>
      <c r="P264" s="29">
        <v>108</v>
      </c>
      <c r="Q264" s="29">
        <v>211</v>
      </c>
      <c r="R264" s="29">
        <v>25</v>
      </c>
      <c r="S264" s="29">
        <v>54</v>
      </c>
      <c r="T264" s="29">
        <v>132</v>
      </c>
      <c r="U264" s="30">
        <v>3</v>
      </c>
      <c r="V264" s="30">
        <v>3.3</v>
      </c>
      <c r="W264" s="30">
        <v>60.17</v>
      </c>
      <c r="X264" s="30">
        <v>73.41</v>
      </c>
      <c r="Z264" s="30">
        <v>28.51</v>
      </c>
      <c r="AA264" s="30">
        <v>12.06</v>
      </c>
      <c r="AB264" s="30">
        <v>17.34</v>
      </c>
      <c r="AD264" s="30">
        <v>13.24</v>
      </c>
      <c r="AE264" s="30">
        <v>2.2599999999999998</v>
      </c>
      <c r="AG264" s="30">
        <v>100</v>
      </c>
      <c r="AH264" s="30" t="s">
        <v>162</v>
      </c>
      <c r="AI264" s="30" t="s">
        <v>163</v>
      </c>
    </row>
    <row r="265" spans="1:35" ht="15" customHeight="1" x14ac:dyDescent="0.2">
      <c r="A265" s="27" t="s">
        <v>188</v>
      </c>
      <c r="B265" s="27" t="s">
        <v>156</v>
      </c>
      <c r="C265" s="27" t="s">
        <v>157</v>
      </c>
      <c r="D265" s="27" t="s">
        <v>189</v>
      </c>
      <c r="E265" s="28">
        <v>45665</v>
      </c>
      <c r="F265" s="28">
        <v>45700</v>
      </c>
      <c r="G265" s="27" t="s">
        <v>159</v>
      </c>
      <c r="H265" s="27" t="s">
        <v>190</v>
      </c>
      <c r="I265" s="27" t="s">
        <v>53</v>
      </c>
      <c r="J265" s="27" t="s">
        <v>161</v>
      </c>
      <c r="K265" s="28">
        <v>45627</v>
      </c>
      <c r="L265" s="28">
        <v>45657</v>
      </c>
      <c r="M265" s="29">
        <v>184</v>
      </c>
      <c r="N265" s="29">
        <v>25</v>
      </c>
      <c r="O265" s="29">
        <v>48</v>
      </c>
      <c r="P265" s="29">
        <v>111</v>
      </c>
      <c r="Q265" s="29">
        <v>203</v>
      </c>
      <c r="R265" s="29">
        <v>23</v>
      </c>
      <c r="S265" s="29">
        <v>51</v>
      </c>
      <c r="T265" s="29">
        <v>129</v>
      </c>
      <c r="U265" s="30">
        <v>3</v>
      </c>
      <c r="V265" s="30">
        <v>3.3</v>
      </c>
      <c r="W265" s="30">
        <v>62.5</v>
      </c>
      <c r="X265" s="30">
        <v>76.25</v>
      </c>
      <c r="Z265" s="30">
        <v>30.63</v>
      </c>
      <c r="AA265" s="30">
        <v>12.09</v>
      </c>
      <c r="AB265" s="30">
        <v>17.48</v>
      </c>
      <c r="AD265" s="30">
        <v>13.75</v>
      </c>
      <c r="AE265" s="30">
        <v>2.2999999999999998</v>
      </c>
      <c r="AG265" s="30">
        <v>100</v>
      </c>
      <c r="AH265" s="30" t="s">
        <v>162</v>
      </c>
      <c r="AI265" s="30" t="s">
        <v>163</v>
      </c>
    </row>
    <row r="266" spans="1:35" ht="15" customHeight="1" x14ac:dyDescent="0.2">
      <c r="A266" s="27" t="s">
        <v>874</v>
      </c>
      <c r="B266" s="27" t="s">
        <v>839</v>
      </c>
      <c r="C266" s="27" t="s">
        <v>840</v>
      </c>
      <c r="D266" s="27" t="s">
        <v>875</v>
      </c>
      <c r="E266" s="28">
        <v>45350</v>
      </c>
      <c r="F266" s="28">
        <v>45380</v>
      </c>
      <c r="G266" s="27" t="s">
        <v>159</v>
      </c>
      <c r="H266" s="27" t="s">
        <v>876</v>
      </c>
      <c r="I266" s="27" t="s">
        <v>50</v>
      </c>
      <c r="J266" s="27" t="s">
        <v>843</v>
      </c>
      <c r="K266" s="28">
        <v>45292</v>
      </c>
      <c r="L266" s="28">
        <v>45322</v>
      </c>
      <c r="M266" s="29">
        <v>351</v>
      </c>
      <c r="N266" s="29">
        <v>102</v>
      </c>
      <c r="O266" s="29">
        <v>78</v>
      </c>
      <c r="P266" s="29">
        <v>171</v>
      </c>
      <c r="Q266" s="29">
        <v>81</v>
      </c>
      <c r="R266" s="29">
        <v>25</v>
      </c>
      <c r="S266" s="29">
        <v>18</v>
      </c>
      <c r="T266" s="29">
        <v>38</v>
      </c>
      <c r="U266" s="35">
        <v>6</v>
      </c>
      <c r="V266" s="30">
        <v>6.6</v>
      </c>
      <c r="W266" s="30">
        <v>112.83</v>
      </c>
      <c r="X266" s="30">
        <v>137.65</v>
      </c>
      <c r="Z266" s="30">
        <v>54.38</v>
      </c>
      <c r="AA266" s="30">
        <v>23.33</v>
      </c>
      <c r="AB266" s="30">
        <v>28.97</v>
      </c>
      <c r="AC266" s="35">
        <v>1.76</v>
      </c>
      <c r="AD266" s="30">
        <v>4.3899999999999997</v>
      </c>
      <c r="AE266" s="30">
        <v>24.82</v>
      </c>
      <c r="AG266" s="30">
        <v>100</v>
      </c>
      <c r="AH266" s="30" t="s">
        <v>162</v>
      </c>
      <c r="AI266" s="30" t="s">
        <v>851</v>
      </c>
    </row>
    <row r="267" spans="1:35" ht="15" customHeight="1" x14ac:dyDescent="0.2">
      <c r="A267" s="27" t="s">
        <v>784</v>
      </c>
      <c r="B267" s="27" t="s">
        <v>156</v>
      </c>
      <c r="C267" s="27" t="s">
        <v>157</v>
      </c>
      <c r="D267" s="27" t="s">
        <v>785</v>
      </c>
      <c r="E267" s="28">
        <v>45358</v>
      </c>
      <c r="F267" s="28">
        <v>45393</v>
      </c>
      <c r="G267" s="27" t="s">
        <v>159</v>
      </c>
      <c r="H267" s="27" t="s">
        <v>166</v>
      </c>
      <c r="I267" s="27" t="s">
        <v>50</v>
      </c>
      <c r="J267" s="27" t="s">
        <v>161</v>
      </c>
      <c r="K267" s="28">
        <v>45323</v>
      </c>
      <c r="L267" s="28">
        <v>45351</v>
      </c>
      <c r="M267" s="29">
        <v>310</v>
      </c>
      <c r="N267" s="29">
        <v>91</v>
      </c>
      <c r="O267" s="29">
        <v>81</v>
      </c>
      <c r="P267" s="29">
        <v>138</v>
      </c>
      <c r="Q267" s="29">
        <v>56</v>
      </c>
      <c r="R267" s="29">
        <v>19</v>
      </c>
      <c r="S267" s="29">
        <v>13</v>
      </c>
      <c r="T267" s="29">
        <v>24</v>
      </c>
      <c r="U267" s="30">
        <v>6</v>
      </c>
      <c r="V267" s="30">
        <v>6.6</v>
      </c>
      <c r="W267" s="30">
        <v>90.7</v>
      </c>
      <c r="X267" s="30">
        <v>110.65</v>
      </c>
      <c r="Z267" s="30">
        <v>36.74</v>
      </c>
      <c r="AA267" s="30">
        <v>22.81</v>
      </c>
      <c r="AB267" s="30">
        <v>27.27</v>
      </c>
      <c r="AD267" s="30">
        <v>19.95</v>
      </c>
      <c r="AE267" s="30">
        <v>3.88</v>
      </c>
      <c r="AG267" s="30">
        <v>100</v>
      </c>
      <c r="AH267" s="30" t="s">
        <v>162</v>
      </c>
      <c r="AI267" s="30" t="s">
        <v>163</v>
      </c>
    </row>
    <row r="268" spans="1:35" ht="15" customHeight="1" x14ac:dyDescent="0.2">
      <c r="A268" s="27" t="s">
        <v>736</v>
      </c>
      <c r="B268" s="27" t="s">
        <v>156</v>
      </c>
      <c r="C268" s="27" t="s">
        <v>157</v>
      </c>
      <c r="D268" s="27" t="s">
        <v>737</v>
      </c>
      <c r="E268" s="28">
        <v>45390</v>
      </c>
      <c r="F268" s="28">
        <v>45425</v>
      </c>
      <c r="G268" s="27" t="s">
        <v>159</v>
      </c>
      <c r="H268" s="27" t="s">
        <v>166</v>
      </c>
      <c r="I268" s="27" t="s">
        <v>50</v>
      </c>
      <c r="J268" s="27" t="s">
        <v>161</v>
      </c>
      <c r="K268" s="28">
        <v>45352</v>
      </c>
      <c r="L268" s="28">
        <v>45382</v>
      </c>
      <c r="M268" s="29">
        <v>305</v>
      </c>
      <c r="N268" s="29">
        <v>85</v>
      </c>
      <c r="O268" s="29">
        <v>81</v>
      </c>
      <c r="P268" s="29">
        <v>139</v>
      </c>
      <c r="Q268" s="29">
        <v>3</v>
      </c>
      <c r="R268" s="29">
        <v>1</v>
      </c>
      <c r="S268" s="29">
        <v>1</v>
      </c>
      <c r="T268" s="29">
        <v>1</v>
      </c>
      <c r="U268" s="30">
        <v>6</v>
      </c>
      <c r="V268" s="30">
        <v>6.6</v>
      </c>
      <c r="W268" s="30">
        <v>88.91</v>
      </c>
      <c r="X268" s="30">
        <v>108.47</v>
      </c>
      <c r="Z268" s="30">
        <v>35.299999999999997</v>
      </c>
      <c r="AA268" s="30">
        <v>22.74</v>
      </c>
      <c r="AB268" s="30">
        <v>27.06</v>
      </c>
      <c r="AD268" s="30">
        <v>19.559999999999999</v>
      </c>
      <c r="AE268" s="30">
        <v>3.81</v>
      </c>
      <c r="AG268" s="30">
        <v>100</v>
      </c>
      <c r="AH268" s="30" t="s">
        <v>162</v>
      </c>
      <c r="AI268" s="30" t="s">
        <v>163</v>
      </c>
    </row>
    <row r="269" spans="1:35" ht="15" customHeight="1" x14ac:dyDescent="0.2">
      <c r="A269" s="27" t="s">
        <v>674</v>
      </c>
      <c r="B269" s="27" t="s">
        <v>156</v>
      </c>
      <c r="C269" s="27" t="s">
        <v>157</v>
      </c>
      <c r="D269" s="27" t="s">
        <v>675</v>
      </c>
      <c r="E269" s="28">
        <v>45419</v>
      </c>
      <c r="F269" s="28">
        <v>45454</v>
      </c>
      <c r="G269" s="27" t="s">
        <v>159</v>
      </c>
      <c r="H269" s="27" t="s">
        <v>166</v>
      </c>
      <c r="I269" s="27" t="s">
        <v>50</v>
      </c>
      <c r="J269" s="27" t="s">
        <v>161</v>
      </c>
      <c r="K269" s="28">
        <v>45383</v>
      </c>
      <c r="L269" s="28">
        <v>45412</v>
      </c>
      <c r="M269" s="29">
        <v>246</v>
      </c>
      <c r="N269" s="29">
        <v>66</v>
      </c>
      <c r="O269" s="29">
        <v>56</v>
      </c>
      <c r="P269" s="29">
        <v>124</v>
      </c>
      <c r="Q269" s="29">
        <v>0</v>
      </c>
      <c r="R269" s="29">
        <v>0</v>
      </c>
      <c r="S269" s="29">
        <v>0</v>
      </c>
      <c r="T269" s="29">
        <v>0</v>
      </c>
      <c r="U269" s="30">
        <v>6</v>
      </c>
      <c r="V269" s="30">
        <v>6.6</v>
      </c>
      <c r="W269" s="30">
        <v>81.290000000000006</v>
      </c>
      <c r="X269" s="30">
        <v>99.17</v>
      </c>
      <c r="Z269" s="30">
        <v>27.58</v>
      </c>
      <c r="AA269" s="30">
        <v>21.98</v>
      </c>
      <c r="AB269" s="30">
        <v>28.65</v>
      </c>
      <c r="AD269" s="30">
        <v>17.88</v>
      </c>
      <c r="AE269" s="30">
        <v>3.08</v>
      </c>
      <c r="AG269" s="30">
        <v>100</v>
      </c>
      <c r="AH269" s="30" t="s">
        <v>162</v>
      </c>
      <c r="AI269" s="30" t="s">
        <v>163</v>
      </c>
    </row>
    <row r="270" spans="1:35" ht="15" customHeight="1" x14ac:dyDescent="0.2">
      <c r="A270" s="27" t="s">
        <v>610</v>
      </c>
      <c r="B270" s="27" t="s">
        <v>156</v>
      </c>
      <c r="C270" s="27" t="s">
        <v>157</v>
      </c>
      <c r="D270" s="27" t="s">
        <v>611</v>
      </c>
      <c r="E270" s="28">
        <v>45449</v>
      </c>
      <c r="F270" s="28">
        <v>45484</v>
      </c>
      <c r="G270" s="27" t="s">
        <v>159</v>
      </c>
      <c r="H270" s="27" t="s">
        <v>166</v>
      </c>
      <c r="I270" s="27" t="s">
        <v>50</v>
      </c>
      <c r="J270" s="27" t="s">
        <v>161</v>
      </c>
      <c r="K270" s="28">
        <v>45413</v>
      </c>
      <c r="L270" s="28">
        <v>45443</v>
      </c>
      <c r="M270" s="29">
        <v>262</v>
      </c>
      <c r="N270" s="29">
        <v>73</v>
      </c>
      <c r="O270" s="29">
        <v>67</v>
      </c>
      <c r="P270" s="29">
        <v>122</v>
      </c>
      <c r="Q270" s="29">
        <v>2</v>
      </c>
      <c r="R270" s="29">
        <v>1</v>
      </c>
      <c r="S270" s="29">
        <v>0</v>
      </c>
      <c r="T270" s="29">
        <v>1</v>
      </c>
      <c r="U270" s="30">
        <v>6</v>
      </c>
      <c r="V270" s="30">
        <v>6.6</v>
      </c>
      <c r="W270" s="30">
        <v>86.63</v>
      </c>
      <c r="X270" s="30">
        <v>105.69</v>
      </c>
      <c r="Z270" s="30">
        <v>31.74</v>
      </c>
      <c r="AA270" s="30">
        <v>22.19</v>
      </c>
      <c r="AB270" s="30">
        <v>29.42</v>
      </c>
      <c r="AD270" s="30">
        <v>19.059999999999999</v>
      </c>
      <c r="AE270" s="30">
        <v>3.28</v>
      </c>
      <c r="AG270" s="30">
        <v>100</v>
      </c>
      <c r="AH270" s="30" t="s">
        <v>162</v>
      </c>
      <c r="AI270" s="30" t="s">
        <v>163</v>
      </c>
    </row>
    <row r="271" spans="1:35" ht="15" customHeight="1" x14ac:dyDescent="0.2">
      <c r="A271" s="27" t="s">
        <v>567</v>
      </c>
      <c r="B271" s="27" t="s">
        <v>156</v>
      </c>
      <c r="C271" s="27" t="s">
        <v>157</v>
      </c>
      <c r="D271" s="27" t="s">
        <v>568</v>
      </c>
      <c r="E271" s="28">
        <v>45478</v>
      </c>
      <c r="F271" s="28">
        <v>45513</v>
      </c>
      <c r="G271" s="27" t="s">
        <v>159</v>
      </c>
      <c r="H271" s="27" t="s">
        <v>166</v>
      </c>
      <c r="I271" s="27" t="s">
        <v>50</v>
      </c>
      <c r="J271" s="27" t="s">
        <v>161</v>
      </c>
      <c r="K271" s="28">
        <v>45444</v>
      </c>
      <c r="L271" s="28">
        <v>45473</v>
      </c>
      <c r="M271" s="29">
        <v>263</v>
      </c>
      <c r="N271" s="29">
        <v>71</v>
      </c>
      <c r="O271" s="29">
        <v>68</v>
      </c>
      <c r="P271" s="29">
        <v>124</v>
      </c>
      <c r="Q271" s="29">
        <v>0</v>
      </c>
      <c r="R271" s="29">
        <v>0</v>
      </c>
      <c r="S271" s="29">
        <v>0</v>
      </c>
      <c r="T271" s="29">
        <v>0</v>
      </c>
      <c r="U271" s="30">
        <v>6</v>
      </c>
      <c r="V271" s="30">
        <v>6.6</v>
      </c>
      <c r="W271" s="30">
        <v>89.97</v>
      </c>
      <c r="X271" s="30">
        <v>109.76</v>
      </c>
      <c r="Z271" s="30">
        <v>35.01</v>
      </c>
      <c r="AA271" s="30">
        <v>22.2</v>
      </c>
      <c r="AB271" s="30">
        <v>29.47</v>
      </c>
      <c r="AD271" s="30">
        <v>19.79</v>
      </c>
      <c r="AE271" s="30">
        <v>3.29</v>
      </c>
      <c r="AG271" s="30">
        <v>100</v>
      </c>
      <c r="AH271" s="30" t="s">
        <v>162</v>
      </c>
      <c r="AI271" s="30" t="s">
        <v>163</v>
      </c>
    </row>
    <row r="272" spans="1:35" ht="15" customHeight="1" x14ac:dyDescent="0.2">
      <c r="A272" s="27" t="s">
        <v>492</v>
      </c>
      <c r="B272" s="27" t="s">
        <v>156</v>
      </c>
      <c r="C272" s="27" t="s">
        <v>157</v>
      </c>
      <c r="D272" s="27" t="s">
        <v>493</v>
      </c>
      <c r="E272" s="28">
        <v>45515</v>
      </c>
      <c r="F272" s="28">
        <v>45551</v>
      </c>
      <c r="G272" s="27" t="s">
        <v>159</v>
      </c>
      <c r="H272" s="27" t="s">
        <v>166</v>
      </c>
      <c r="I272" s="27" t="s">
        <v>50</v>
      </c>
      <c r="J272" s="27" t="s">
        <v>161</v>
      </c>
      <c r="K272" s="28">
        <v>45474</v>
      </c>
      <c r="L272" s="28">
        <v>45504</v>
      </c>
      <c r="M272" s="29">
        <v>235</v>
      </c>
      <c r="N272" s="29">
        <v>70</v>
      </c>
      <c r="O272" s="29">
        <v>57</v>
      </c>
      <c r="P272" s="29">
        <v>108</v>
      </c>
      <c r="Q272" s="29">
        <v>1</v>
      </c>
      <c r="R272" s="29">
        <v>0</v>
      </c>
      <c r="S272" s="29">
        <v>1</v>
      </c>
      <c r="T272" s="29">
        <v>0</v>
      </c>
      <c r="U272" s="30">
        <v>6</v>
      </c>
      <c r="V272" s="30">
        <v>6.6</v>
      </c>
      <c r="W272" s="30">
        <v>89.07</v>
      </c>
      <c r="X272" s="30">
        <v>108.67</v>
      </c>
      <c r="Z272" s="30">
        <v>36.17</v>
      </c>
      <c r="AA272" s="30">
        <v>21.84</v>
      </c>
      <c r="AB272" s="30">
        <v>28.12</v>
      </c>
      <c r="AD272" s="30">
        <v>19.600000000000001</v>
      </c>
      <c r="AE272" s="30">
        <v>2.94</v>
      </c>
      <c r="AG272" s="30">
        <v>100</v>
      </c>
      <c r="AH272" s="30" t="s">
        <v>162</v>
      </c>
      <c r="AI272" s="30" t="s">
        <v>163</v>
      </c>
    </row>
    <row r="273" spans="1:35" ht="15" customHeight="1" x14ac:dyDescent="0.2">
      <c r="A273" s="27" t="s">
        <v>442</v>
      </c>
      <c r="B273" s="27" t="s">
        <v>156</v>
      </c>
      <c r="C273" s="27" t="s">
        <v>157</v>
      </c>
      <c r="D273" s="27" t="s">
        <v>443</v>
      </c>
      <c r="E273" s="28">
        <v>45541</v>
      </c>
      <c r="F273" s="28">
        <v>45576</v>
      </c>
      <c r="G273" s="27" t="s">
        <v>159</v>
      </c>
      <c r="H273" s="27" t="s">
        <v>166</v>
      </c>
      <c r="I273" s="27" t="s">
        <v>50</v>
      </c>
      <c r="J273" s="27" t="s">
        <v>161</v>
      </c>
      <c r="K273" s="28">
        <v>45505</v>
      </c>
      <c r="L273" s="28">
        <v>45535</v>
      </c>
      <c r="M273" s="29">
        <v>248</v>
      </c>
      <c r="N273" s="29">
        <v>65</v>
      </c>
      <c r="O273" s="29">
        <v>65</v>
      </c>
      <c r="P273" s="29">
        <v>118</v>
      </c>
      <c r="Q273" s="29">
        <v>7</v>
      </c>
      <c r="R273" s="29">
        <v>3</v>
      </c>
      <c r="S273" s="29">
        <v>1</v>
      </c>
      <c r="T273" s="29">
        <v>3</v>
      </c>
      <c r="U273" s="35">
        <v>6</v>
      </c>
      <c r="V273" s="30">
        <v>6.6</v>
      </c>
      <c r="W273" s="30">
        <v>93.35</v>
      </c>
      <c r="X273" s="30">
        <v>113.89</v>
      </c>
      <c r="Z273" s="30">
        <v>39.51</v>
      </c>
      <c r="AA273" s="30">
        <v>22</v>
      </c>
      <c r="AB273" s="30">
        <v>28.74</v>
      </c>
      <c r="AD273" s="30">
        <v>20.54</v>
      </c>
      <c r="AE273" s="30">
        <v>3.1</v>
      </c>
      <c r="AG273" s="30">
        <v>100</v>
      </c>
      <c r="AH273" s="30" t="s">
        <v>162</v>
      </c>
      <c r="AI273" s="30" t="s">
        <v>163</v>
      </c>
    </row>
    <row r="274" spans="1:35" ht="15" customHeight="1" x14ac:dyDescent="0.2">
      <c r="A274" s="27" t="s">
        <v>384</v>
      </c>
      <c r="B274" s="27" t="s">
        <v>156</v>
      </c>
      <c r="C274" s="27" t="s">
        <v>157</v>
      </c>
      <c r="D274" s="27" t="s">
        <v>385</v>
      </c>
      <c r="E274" s="28">
        <v>45571</v>
      </c>
      <c r="F274" s="28">
        <v>45607</v>
      </c>
      <c r="G274" s="27" t="s">
        <v>159</v>
      </c>
      <c r="H274" s="27" t="s">
        <v>166</v>
      </c>
      <c r="I274" s="27" t="s">
        <v>50</v>
      </c>
      <c r="J274" s="27" t="s">
        <v>161</v>
      </c>
      <c r="K274" s="28">
        <v>45536</v>
      </c>
      <c r="L274" s="28">
        <v>45565</v>
      </c>
      <c r="M274" s="29">
        <v>240</v>
      </c>
      <c r="N274" s="29">
        <v>65</v>
      </c>
      <c r="O274" s="29">
        <v>60</v>
      </c>
      <c r="P274" s="29">
        <v>115</v>
      </c>
      <c r="Q274" s="29">
        <v>3</v>
      </c>
      <c r="R274" s="29">
        <v>1</v>
      </c>
      <c r="S274" s="29">
        <v>1</v>
      </c>
      <c r="T274" s="29">
        <v>1</v>
      </c>
      <c r="U274" s="35">
        <v>6</v>
      </c>
      <c r="V274" s="30">
        <v>6.6</v>
      </c>
      <c r="W274" s="30">
        <v>88.06</v>
      </c>
      <c r="X274" s="30">
        <v>107.43</v>
      </c>
      <c r="Z274" s="30">
        <v>34.799999999999997</v>
      </c>
      <c r="AA274" s="30">
        <v>21.9</v>
      </c>
      <c r="AB274" s="30">
        <v>28.36</v>
      </c>
      <c r="AD274" s="30">
        <v>19.37</v>
      </c>
      <c r="AE274" s="30">
        <v>3</v>
      </c>
      <c r="AG274" s="30">
        <v>100</v>
      </c>
      <c r="AH274" s="30" t="s">
        <v>162</v>
      </c>
      <c r="AI274" s="30" t="s">
        <v>163</v>
      </c>
    </row>
    <row r="275" spans="1:35" ht="15" customHeight="1" x14ac:dyDescent="0.2">
      <c r="A275" s="27" t="s">
        <v>324</v>
      </c>
      <c r="B275" s="27" t="s">
        <v>156</v>
      </c>
      <c r="C275" s="27" t="s">
        <v>157</v>
      </c>
      <c r="D275" s="27" t="s">
        <v>325</v>
      </c>
      <c r="E275" s="28">
        <v>45604</v>
      </c>
      <c r="F275" s="28">
        <v>45639</v>
      </c>
      <c r="G275" s="27" t="s">
        <v>159</v>
      </c>
      <c r="H275" s="27" t="s">
        <v>166</v>
      </c>
      <c r="I275" s="27" t="s">
        <v>50</v>
      </c>
      <c r="J275" s="27" t="s">
        <v>161</v>
      </c>
      <c r="K275" s="28">
        <v>45566</v>
      </c>
      <c r="L275" s="28">
        <v>45596</v>
      </c>
      <c r="M275" s="29">
        <v>267</v>
      </c>
      <c r="N275" s="29">
        <v>75</v>
      </c>
      <c r="O275" s="29">
        <v>77</v>
      </c>
      <c r="P275" s="29">
        <v>115</v>
      </c>
      <c r="Q275" s="29">
        <v>0</v>
      </c>
      <c r="R275" s="29">
        <v>0</v>
      </c>
      <c r="S275" s="29">
        <v>0</v>
      </c>
      <c r="T275" s="29">
        <v>0</v>
      </c>
      <c r="U275" s="35">
        <v>6</v>
      </c>
      <c r="V275" s="30">
        <v>6.6</v>
      </c>
      <c r="W275" s="30">
        <v>94.57</v>
      </c>
      <c r="X275" s="30">
        <v>115.38</v>
      </c>
      <c r="Z275" s="30">
        <v>39.31</v>
      </c>
      <c r="AA275" s="30">
        <v>22.26</v>
      </c>
      <c r="AB275" s="30">
        <v>29.66</v>
      </c>
      <c r="AD275" s="30">
        <v>20.81</v>
      </c>
      <c r="AE275" s="30">
        <v>3.34</v>
      </c>
      <c r="AG275" s="30">
        <v>100</v>
      </c>
      <c r="AH275" s="30" t="s">
        <v>162</v>
      </c>
      <c r="AI275" s="30" t="s">
        <v>163</v>
      </c>
    </row>
    <row r="276" spans="1:35" ht="15" customHeight="1" x14ac:dyDescent="0.2">
      <c r="A276" s="27" t="s">
        <v>266</v>
      </c>
      <c r="B276" s="27" t="s">
        <v>156</v>
      </c>
      <c r="C276" s="27" t="s">
        <v>157</v>
      </c>
      <c r="D276" s="27" t="s">
        <v>267</v>
      </c>
      <c r="E276" s="28">
        <v>45632</v>
      </c>
      <c r="F276" s="28">
        <v>45667</v>
      </c>
      <c r="G276" s="27" t="s">
        <v>159</v>
      </c>
      <c r="H276" s="27" t="s">
        <v>166</v>
      </c>
      <c r="I276" s="27" t="s">
        <v>50</v>
      </c>
      <c r="J276" s="27" t="s">
        <v>161</v>
      </c>
      <c r="K276" s="28">
        <v>45597</v>
      </c>
      <c r="L276" s="28">
        <v>45626</v>
      </c>
      <c r="M276" s="29">
        <v>537</v>
      </c>
      <c r="N276" s="29">
        <v>152</v>
      </c>
      <c r="O276" s="29">
        <v>174</v>
      </c>
      <c r="P276" s="29">
        <v>211</v>
      </c>
      <c r="Q276" s="29">
        <v>8</v>
      </c>
      <c r="R276" s="29">
        <v>2</v>
      </c>
      <c r="S276" s="29">
        <v>2</v>
      </c>
      <c r="T276" s="29">
        <v>4</v>
      </c>
      <c r="U276" s="30">
        <v>6</v>
      </c>
      <c r="V276" s="30">
        <v>6.6</v>
      </c>
      <c r="W276" s="30">
        <v>162.69999999999999</v>
      </c>
      <c r="X276" s="30">
        <v>198.49</v>
      </c>
      <c r="Z276" s="30">
        <v>87.59</v>
      </c>
      <c r="AA276" s="30">
        <v>25.73</v>
      </c>
      <c r="AB276" s="30">
        <v>42.67</v>
      </c>
      <c r="AD276" s="30">
        <v>35.79</v>
      </c>
      <c r="AE276" s="30">
        <v>6.71</v>
      </c>
      <c r="AG276" s="30">
        <v>100</v>
      </c>
      <c r="AH276" s="30" t="s">
        <v>162</v>
      </c>
      <c r="AI276" s="30" t="s">
        <v>163</v>
      </c>
    </row>
    <row r="277" spans="1:35" ht="15" customHeight="1" x14ac:dyDescent="0.2">
      <c r="A277" s="27" t="s">
        <v>164</v>
      </c>
      <c r="B277" s="27" t="s">
        <v>156</v>
      </c>
      <c r="C277" s="27" t="s">
        <v>157</v>
      </c>
      <c r="D277" s="27" t="s">
        <v>165</v>
      </c>
      <c r="E277" s="28">
        <v>45665</v>
      </c>
      <c r="F277" s="28">
        <v>45700</v>
      </c>
      <c r="G277" s="27" t="s">
        <v>159</v>
      </c>
      <c r="H277" s="27" t="s">
        <v>166</v>
      </c>
      <c r="I277" s="27" t="s">
        <v>50</v>
      </c>
      <c r="J277" s="27" t="s">
        <v>161</v>
      </c>
      <c r="K277" s="28">
        <v>45627</v>
      </c>
      <c r="L277" s="28">
        <v>45657</v>
      </c>
      <c r="M277" s="29">
        <v>382</v>
      </c>
      <c r="N277" s="29">
        <v>101</v>
      </c>
      <c r="O277" s="29">
        <v>88</v>
      </c>
      <c r="P277" s="29">
        <v>193</v>
      </c>
      <c r="Q277" s="29">
        <v>10</v>
      </c>
      <c r="R277" s="29">
        <v>2</v>
      </c>
      <c r="S277" s="29">
        <v>2</v>
      </c>
      <c r="T277" s="29">
        <v>6</v>
      </c>
      <c r="U277" s="30">
        <v>6</v>
      </c>
      <c r="V277" s="30">
        <v>6.6</v>
      </c>
      <c r="W277" s="30">
        <v>128.97999999999999</v>
      </c>
      <c r="X277" s="30">
        <v>157.36000000000001</v>
      </c>
      <c r="Z277" s="30">
        <v>65.260000000000005</v>
      </c>
      <c r="AA277" s="30">
        <v>23.73</v>
      </c>
      <c r="AB277" s="30">
        <v>35.21</v>
      </c>
      <c r="AD277" s="30">
        <v>28.38</v>
      </c>
      <c r="AE277" s="30">
        <v>4.78</v>
      </c>
      <c r="AG277" s="30">
        <v>100</v>
      </c>
      <c r="AH277" s="30" t="s">
        <v>162</v>
      </c>
      <c r="AI277" s="30" t="s">
        <v>163</v>
      </c>
    </row>
    <row r="278" spans="1:35" ht="15" customHeight="1" x14ac:dyDescent="0.2">
      <c r="A278" s="27" t="s">
        <v>848</v>
      </c>
      <c r="B278" s="27" t="s">
        <v>839</v>
      </c>
      <c r="C278" s="27" t="s">
        <v>840</v>
      </c>
      <c r="D278" s="27" t="s">
        <v>849</v>
      </c>
      <c r="E278" s="28">
        <v>45350</v>
      </c>
      <c r="F278" s="28">
        <v>45380</v>
      </c>
      <c r="G278" s="27" t="s">
        <v>159</v>
      </c>
      <c r="H278" s="27" t="s">
        <v>850</v>
      </c>
      <c r="I278" s="27" t="s">
        <v>69</v>
      </c>
      <c r="J278" s="27" t="s">
        <v>843</v>
      </c>
      <c r="K278" s="28">
        <v>45292</v>
      </c>
      <c r="L278" s="28">
        <v>45322</v>
      </c>
      <c r="M278" s="29">
        <v>4031</v>
      </c>
      <c r="N278" s="29">
        <v>2739</v>
      </c>
      <c r="O278" s="29">
        <v>475</v>
      </c>
      <c r="P278" s="29">
        <v>817</v>
      </c>
      <c r="Q278" s="29">
        <v>104</v>
      </c>
      <c r="R278" s="29">
        <v>57</v>
      </c>
      <c r="S278" s="29">
        <v>14</v>
      </c>
      <c r="T278" s="29">
        <v>33</v>
      </c>
      <c r="U278" s="35">
        <v>15</v>
      </c>
      <c r="V278" s="30">
        <v>16.5</v>
      </c>
      <c r="W278" s="30">
        <v>1019.34</v>
      </c>
      <c r="X278" s="30">
        <v>1243.5899999999999</v>
      </c>
      <c r="Z278" s="30">
        <v>652.72</v>
      </c>
      <c r="AA278" s="30">
        <v>95.42</v>
      </c>
      <c r="AB278" s="30">
        <v>200.65</v>
      </c>
      <c r="AC278" s="35">
        <v>20.16</v>
      </c>
      <c r="AD278" s="30">
        <v>50.39</v>
      </c>
      <c r="AE278" s="30">
        <v>224.25</v>
      </c>
      <c r="AG278" s="30">
        <v>100</v>
      </c>
      <c r="AH278" s="30" t="s">
        <v>162</v>
      </c>
      <c r="AI278" s="30" t="s">
        <v>851</v>
      </c>
    </row>
    <row r="279" spans="1:35" ht="15" customHeight="1" x14ac:dyDescent="0.2">
      <c r="A279" s="27" t="s">
        <v>786</v>
      </c>
      <c r="B279" s="27" t="s">
        <v>156</v>
      </c>
      <c r="C279" s="27" t="s">
        <v>157</v>
      </c>
      <c r="D279" s="27" t="s">
        <v>787</v>
      </c>
      <c r="E279" s="28">
        <v>45358</v>
      </c>
      <c r="F279" s="28">
        <v>45393</v>
      </c>
      <c r="G279" s="27" t="s">
        <v>159</v>
      </c>
      <c r="H279" s="27" t="s">
        <v>169</v>
      </c>
      <c r="I279" s="27" t="s">
        <v>69</v>
      </c>
      <c r="J279" s="27" t="s">
        <v>161</v>
      </c>
      <c r="K279" s="28">
        <v>45323</v>
      </c>
      <c r="L279" s="28">
        <v>45351</v>
      </c>
      <c r="M279" s="29">
        <v>3981</v>
      </c>
      <c r="N279" s="29">
        <v>2847</v>
      </c>
      <c r="O279" s="29">
        <v>467</v>
      </c>
      <c r="P279" s="29">
        <v>667</v>
      </c>
      <c r="Q279" s="29">
        <v>86</v>
      </c>
      <c r="R279" s="29">
        <v>46</v>
      </c>
      <c r="S279" s="29">
        <v>18</v>
      </c>
      <c r="T279" s="29">
        <v>22</v>
      </c>
      <c r="U279" s="30">
        <v>15</v>
      </c>
      <c r="V279" s="30">
        <v>16.5</v>
      </c>
      <c r="W279" s="30">
        <v>839.45</v>
      </c>
      <c r="X279" s="30">
        <v>1024.1300000000001</v>
      </c>
      <c r="Z279" s="30">
        <v>496.33</v>
      </c>
      <c r="AA279" s="30">
        <v>94.78</v>
      </c>
      <c r="AB279" s="30">
        <v>198.58</v>
      </c>
      <c r="AD279" s="30">
        <v>184.68</v>
      </c>
      <c r="AE279" s="30">
        <v>49.76</v>
      </c>
      <c r="AG279" s="30">
        <v>100</v>
      </c>
      <c r="AH279" s="30" t="s">
        <v>162</v>
      </c>
      <c r="AI279" s="30" t="s">
        <v>163</v>
      </c>
    </row>
    <row r="280" spans="1:35" ht="15" customHeight="1" x14ac:dyDescent="0.2">
      <c r="A280" s="27" t="s">
        <v>738</v>
      </c>
      <c r="B280" s="27" t="s">
        <v>156</v>
      </c>
      <c r="C280" s="27" t="s">
        <v>157</v>
      </c>
      <c r="D280" s="27" t="s">
        <v>739</v>
      </c>
      <c r="E280" s="28">
        <v>45390</v>
      </c>
      <c r="F280" s="28">
        <v>45425</v>
      </c>
      <c r="G280" s="27" t="s">
        <v>159</v>
      </c>
      <c r="H280" s="27" t="s">
        <v>169</v>
      </c>
      <c r="I280" s="27" t="s">
        <v>69</v>
      </c>
      <c r="J280" s="27" t="s">
        <v>161</v>
      </c>
      <c r="K280" s="28">
        <v>45352</v>
      </c>
      <c r="L280" s="28">
        <v>45382</v>
      </c>
      <c r="M280" s="29">
        <v>3538</v>
      </c>
      <c r="N280" s="29">
        <v>2504</v>
      </c>
      <c r="O280" s="29">
        <v>402</v>
      </c>
      <c r="P280" s="29">
        <v>632</v>
      </c>
      <c r="Q280" s="29">
        <v>74</v>
      </c>
      <c r="R280" s="29">
        <v>49</v>
      </c>
      <c r="S280" s="29">
        <v>13</v>
      </c>
      <c r="T280" s="29">
        <v>12</v>
      </c>
      <c r="U280" s="30">
        <v>15</v>
      </c>
      <c r="V280" s="30">
        <v>16.5</v>
      </c>
      <c r="W280" s="30">
        <v>737.35</v>
      </c>
      <c r="X280" s="30">
        <v>899.57</v>
      </c>
      <c r="Z280" s="30">
        <v>423.81</v>
      </c>
      <c r="AA280" s="30">
        <v>89.09</v>
      </c>
      <c r="AB280" s="30">
        <v>180.22</v>
      </c>
      <c r="AD280" s="30">
        <v>162.22</v>
      </c>
      <c r="AE280" s="30">
        <v>44.23</v>
      </c>
      <c r="AG280" s="30">
        <v>100</v>
      </c>
      <c r="AH280" s="30" t="s">
        <v>162</v>
      </c>
      <c r="AI280" s="30" t="s">
        <v>163</v>
      </c>
    </row>
    <row r="281" spans="1:35" ht="15" customHeight="1" x14ac:dyDescent="0.2">
      <c r="A281" s="27" t="s">
        <v>676</v>
      </c>
      <c r="B281" s="27" t="s">
        <v>156</v>
      </c>
      <c r="C281" s="27" t="s">
        <v>157</v>
      </c>
      <c r="D281" s="27" t="s">
        <v>677</v>
      </c>
      <c r="E281" s="28">
        <v>45419</v>
      </c>
      <c r="F281" s="28">
        <v>45454</v>
      </c>
      <c r="G281" s="27" t="s">
        <v>159</v>
      </c>
      <c r="H281" s="27" t="s">
        <v>169</v>
      </c>
      <c r="I281" s="27" t="s">
        <v>69</v>
      </c>
      <c r="J281" s="27" t="s">
        <v>161</v>
      </c>
      <c r="K281" s="28">
        <v>45383</v>
      </c>
      <c r="L281" s="28">
        <v>45412</v>
      </c>
      <c r="M281" s="29">
        <v>2656</v>
      </c>
      <c r="N281" s="29">
        <v>1862</v>
      </c>
      <c r="O281" s="29">
        <v>277</v>
      </c>
      <c r="P281" s="29">
        <v>517</v>
      </c>
      <c r="Q281" s="29">
        <v>103</v>
      </c>
      <c r="R281" s="29">
        <v>63</v>
      </c>
      <c r="S281" s="29">
        <v>18</v>
      </c>
      <c r="T281" s="29">
        <v>22</v>
      </c>
      <c r="U281" s="35">
        <v>15</v>
      </c>
      <c r="V281" s="30">
        <v>16.5</v>
      </c>
      <c r="W281" s="30">
        <v>574.22</v>
      </c>
      <c r="X281" s="30">
        <v>700.55</v>
      </c>
      <c r="Z281" s="30">
        <v>296.10000000000002</v>
      </c>
      <c r="AA281" s="30">
        <v>77.75</v>
      </c>
      <c r="AB281" s="30">
        <v>167.17</v>
      </c>
      <c r="AD281" s="30">
        <v>126.33</v>
      </c>
      <c r="AE281" s="30">
        <v>33.200000000000003</v>
      </c>
      <c r="AG281" s="30">
        <v>100</v>
      </c>
      <c r="AH281" s="30" t="s">
        <v>162</v>
      </c>
      <c r="AI281" s="30" t="s">
        <v>163</v>
      </c>
    </row>
    <row r="282" spans="1:35" ht="15" customHeight="1" x14ac:dyDescent="0.2">
      <c r="A282" s="27" t="s">
        <v>612</v>
      </c>
      <c r="B282" s="27" t="s">
        <v>156</v>
      </c>
      <c r="C282" s="27" t="s">
        <v>157</v>
      </c>
      <c r="D282" s="27" t="s">
        <v>613</v>
      </c>
      <c r="E282" s="28">
        <v>45449</v>
      </c>
      <c r="F282" s="28">
        <v>45484</v>
      </c>
      <c r="G282" s="27" t="s">
        <v>159</v>
      </c>
      <c r="H282" s="27" t="s">
        <v>169</v>
      </c>
      <c r="I282" s="27" t="s">
        <v>69</v>
      </c>
      <c r="J282" s="27" t="s">
        <v>161</v>
      </c>
      <c r="K282" s="28">
        <v>45413</v>
      </c>
      <c r="L282" s="28">
        <v>45417</v>
      </c>
      <c r="M282" s="29">
        <v>2900</v>
      </c>
      <c r="N282" s="29">
        <v>2272</v>
      </c>
      <c r="O282" s="29">
        <v>243</v>
      </c>
      <c r="P282" s="29">
        <v>385</v>
      </c>
      <c r="Q282" s="29">
        <v>41</v>
      </c>
      <c r="R282" s="29">
        <v>30</v>
      </c>
      <c r="S282" s="29">
        <v>7</v>
      </c>
      <c r="T282" s="29">
        <v>4</v>
      </c>
      <c r="U282" s="35">
        <v>15</v>
      </c>
      <c r="V282" s="30">
        <v>16.5</v>
      </c>
      <c r="W282" s="30">
        <v>643.74</v>
      </c>
      <c r="X282" s="30">
        <v>785.36</v>
      </c>
      <c r="Z282" s="30">
        <v>347.68</v>
      </c>
      <c r="AA282" s="30">
        <v>80.89</v>
      </c>
      <c r="AB282" s="30">
        <v>178.92</v>
      </c>
      <c r="AD282" s="30">
        <v>141.62</v>
      </c>
      <c r="AE282" s="30">
        <v>4.71</v>
      </c>
      <c r="AG282" s="30">
        <v>100</v>
      </c>
      <c r="AH282" s="30" t="s">
        <v>162</v>
      </c>
      <c r="AI282" s="30" t="s">
        <v>163</v>
      </c>
    </row>
    <row r="283" spans="1:35" ht="15" customHeight="1" x14ac:dyDescent="0.2">
      <c r="A283" s="27" t="s">
        <v>569</v>
      </c>
      <c r="B283" s="27" t="s">
        <v>156</v>
      </c>
      <c r="C283" s="27" t="s">
        <v>157</v>
      </c>
      <c r="D283" s="27" t="s">
        <v>570</v>
      </c>
      <c r="E283" s="28">
        <v>45478</v>
      </c>
      <c r="F283" s="28">
        <v>45513</v>
      </c>
      <c r="G283" s="27" t="s">
        <v>159</v>
      </c>
      <c r="H283" s="27" t="s">
        <v>169</v>
      </c>
      <c r="I283" s="27" t="s">
        <v>69</v>
      </c>
      <c r="J283" s="27" t="s">
        <v>161</v>
      </c>
      <c r="K283" s="28">
        <v>45444</v>
      </c>
      <c r="L283" s="28">
        <v>45473</v>
      </c>
      <c r="M283" s="29">
        <v>1020</v>
      </c>
      <c r="N283" s="29">
        <v>569</v>
      </c>
      <c r="O283" s="29">
        <v>142</v>
      </c>
      <c r="P283" s="29">
        <v>309</v>
      </c>
      <c r="Q283" s="29">
        <v>41</v>
      </c>
      <c r="R283" s="29">
        <v>19</v>
      </c>
      <c r="S283" s="29">
        <v>9</v>
      </c>
      <c r="T283" s="29">
        <v>13</v>
      </c>
      <c r="U283" s="30">
        <v>15</v>
      </c>
      <c r="V283" s="30">
        <v>16.5</v>
      </c>
      <c r="W283" s="30">
        <v>293.62</v>
      </c>
      <c r="X283" s="30">
        <v>358.22</v>
      </c>
      <c r="Z283" s="30">
        <v>135.85</v>
      </c>
      <c r="AA283" s="30">
        <v>56.72</v>
      </c>
      <c r="AB283" s="30">
        <v>88.3</v>
      </c>
      <c r="AD283" s="30">
        <v>64.599999999999994</v>
      </c>
      <c r="AE283" s="30">
        <v>12.75</v>
      </c>
      <c r="AG283" s="30">
        <v>100</v>
      </c>
      <c r="AH283" s="30" t="s">
        <v>162</v>
      </c>
      <c r="AI283" s="30" t="s">
        <v>163</v>
      </c>
    </row>
    <row r="284" spans="1:35" ht="15" customHeight="1" x14ac:dyDescent="0.2">
      <c r="A284" s="27" t="s">
        <v>508</v>
      </c>
      <c r="B284" s="27" t="s">
        <v>156</v>
      </c>
      <c r="C284" s="27" t="s">
        <v>157</v>
      </c>
      <c r="D284" s="27" t="s">
        <v>509</v>
      </c>
      <c r="E284" s="28">
        <v>45511</v>
      </c>
      <c r="F284" s="28">
        <v>45546</v>
      </c>
      <c r="G284" s="27" t="s">
        <v>159</v>
      </c>
      <c r="H284" s="27" t="s">
        <v>169</v>
      </c>
      <c r="I284" s="27" t="s">
        <v>69</v>
      </c>
      <c r="J284" s="27" t="s">
        <v>161</v>
      </c>
      <c r="K284" s="28">
        <v>45474</v>
      </c>
      <c r="L284" s="28">
        <v>45504</v>
      </c>
      <c r="M284" s="29">
        <v>336</v>
      </c>
      <c r="N284" s="29">
        <v>14</v>
      </c>
      <c r="O284" s="29">
        <v>93</v>
      </c>
      <c r="P284" s="29">
        <v>229</v>
      </c>
      <c r="Q284" s="29">
        <v>22</v>
      </c>
      <c r="R284" s="29">
        <v>4</v>
      </c>
      <c r="S284" s="29">
        <v>7</v>
      </c>
      <c r="T284" s="29">
        <v>11</v>
      </c>
      <c r="U284" s="30">
        <v>15</v>
      </c>
      <c r="V284" s="30">
        <v>16.5</v>
      </c>
      <c r="W284" s="30">
        <v>158.97</v>
      </c>
      <c r="X284" s="30">
        <v>193.94</v>
      </c>
      <c r="Z284" s="30">
        <v>51.5</v>
      </c>
      <c r="AA284" s="30">
        <v>47.94</v>
      </c>
      <c r="AB284" s="30">
        <v>55.33</v>
      </c>
      <c r="AD284" s="30">
        <v>34.97</v>
      </c>
      <c r="AE284" s="30">
        <v>4.2</v>
      </c>
      <c r="AG284" s="30">
        <v>100</v>
      </c>
      <c r="AH284" s="30" t="s">
        <v>162</v>
      </c>
      <c r="AI284" s="30" t="s">
        <v>163</v>
      </c>
    </row>
    <row r="285" spans="1:35" ht="15" customHeight="1" x14ac:dyDescent="0.2">
      <c r="A285" s="27" t="s">
        <v>444</v>
      </c>
      <c r="B285" s="27" t="s">
        <v>156</v>
      </c>
      <c r="C285" s="27" t="s">
        <v>157</v>
      </c>
      <c r="D285" s="27" t="s">
        <v>445</v>
      </c>
      <c r="E285" s="28">
        <v>45541</v>
      </c>
      <c r="F285" s="28">
        <v>45576</v>
      </c>
      <c r="G285" s="27" t="s">
        <v>159</v>
      </c>
      <c r="H285" s="27" t="s">
        <v>169</v>
      </c>
      <c r="I285" s="27" t="s">
        <v>69</v>
      </c>
      <c r="J285" s="27" t="s">
        <v>161</v>
      </c>
      <c r="K285" s="28">
        <v>45505</v>
      </c>
      <c r="L285" s="28">
        <v>45535</v>
      </c>
      <c r="M285" s="29">
        <v>4511</v>
      </c>
      <c r="N285" s="29">
        <v>2869</v>
      </c>
      <c r="O285" s="29">
        <v>552</v>
      </c>
      <c r="P285" s="29">
        <v>1090</v>
      </c>
      <c r="Q285" s="29">
        <v>111</v>
      </c>
      <c r="R285" s="29">
        <v>58</v>
      </c>
      <c r="S285" s="29">
        <v>24</v>
      </c>
      <c r="T285" s="29">
        <v>29</v>
      </c>
      <c r="U285" s="30">
        <v>15</v>
      </c>
      <c r="V285" s="30">
        <v>16.5</v>
      </c>
      <c r="W285" s="30">
        <v>145.63999999999999</v>
      </c>
      <c r="X285" s="30">
        <v>177.68</v>
      </c>
      <c r="Z285" s="30">
        <v>40.630000000000003</v>
      </c>
      <c r="AA285" s="30">
        <v>46.9</v>
      </c>
      <c r="AB285" s="30">
        <v>51.43</v>
      </c>
      <c r="AD285" s="30">
        <v>32.04</v>
      </c>
      <c r="AE285" s="30">
        <v>3.19</v>
      </c>
      <c r="AG285" s="30">
        <v>100</v>
      </c>
      <c r="AH285" s="30" t="s">
        <v>162</v>
      </c>
      <c r="AI285" s="30" t="s">
        <v>163</v>
      </c>
    </row>
    <row r="286" spans="1:35" ht="15" customHeight="1" x14ac:dyDescent="0.2">
      <c r="A286" s="27" t="s">
        <v>326</v>
      </c>
      <c r="B286" s="27" t="s">
        <v>156</v>
      </c>
      <c r="C286" s="27" t="s">
        <v>157</v>
      </c>
      <c r="D286" s="27" t="s">
        <v>327</v>
      </c>
      <c r="E286" s="28">
        <v>45604</v>
      </c>
      <c r="F286" s="28">
        <v>45639</v>
      </c>
      <c r="G286" s="27" t="s">
        <v>159</v>
      </c>
      <c r="H286" s="27" t="s">
        <v>169</v>
      </c>
      <c r="I286" s="27" t="s">
        <v>69</v>
      </c>
      <c r="J286" s="27" t="s">
        <v>161</v>
      </c>
      <c r="K286" s="28">
        <v>45566</v>
      </c>
      <c r="L286" s="28">
        <v>45596</v>
      </c>
      <c r="M286" s="29">
        <v>4320</v>
      </c>
      <c r="N286" s="29">
        <v>3467</v>
      </c>
      <c r="O286" s="29">
        <v>385</v>
      </c>
      <c r="P286" s="29">
        <v>468</v>
      </c>
      <c r="Q286" s="29">
        <v>93</v>
      </c>
      <c r="R286" s="29">
        <v>58</v>
      </c>
      <c r="S286" s="29">
        <v>22</v>
      </c>
      <c r="T286" s="29">
        <v>13</v>
      </c>
      <c r="U286" s="30">
        <v>15</v>
      </c>
      <c r="V286" s="30">
        <v>16.5</v>
      </c>
      <c r="W286" s="30">
        <v>1059.8399999999999</v>
      </c>
      <c r="X286" s="30">
        <v>1293</v>
      </c>
      <c r="Z286" s="30">
        <v>659.33</v>
      </c>
      <c r="AA286" s="30">
        <v>99.13</v>
      </c>
      <c r="AB286" s="30">
        <v>247.38</v>
      </c>
      <c r="AD286" s="30">
        <v>233.16</v>
      </c>
      <c r="AE286" s="30">
        <v>54</v>
      </c>
      <c r="AG286" s="30">
        <v>100</v>
      </c>
      <c r="AH286" s="30" t="s">
        <v>162</v>
      </c>
      <c r="AI286" s="30" t="s">
        <v>163</v>
      </c>
    </row>
    <row r="287" spans="1:35" ht="15" customHeight="1" x14ac:dyDescent="0.2">
      <c r="A287" s="27" t="s">
        <v>268</v>
      </c>
      <c r="B287" s="27" t="s">
        <v>156</v>
      </c>
      <c r="C287" s="27" t="s">
        <v>157</v>
      </c>
      <c r="D287" s="27" t="s">
        <v>269</v>
      </c>
      <c r="E287" s="28">
        <v>45632</v>
      </c>
      <c r="F287" s="28">
        <v>45667</v>
      </c>
      <c r="G287" s="27" t="s">
        <v>159</v>
      </c>
      <c r="H287" s="27" t="s">
        <v>169</v>
      </c>
      <c r="I287" s="27" t="s">
        <v>69</v>
      </c>
      <c r="J287" s="27" t="s">
        <v>161</v>
      </c>
      <c r="K287" s="28">
        <v>45597</v>
      </c>
      <c r="L287" s="28">
        <v>45626</v>
      </c>
      <c r="M287" s="29">
        <v>4078</v>
      </c>
      <c r="N287" s="29">
        <v>3004</v>
      </c>
      <c r="O287" s="29">
        <v>446</v>
      </c>
      <c r="P287" s="29">
        <v>628</v>
      </c>
      <c r="Q287" s="29">
        <v>106</v>
      </c>
      <c r="R287" s="29">
        <v>71</v>
      </c>
      <c r="S287" s="29">
        <v>29</v>
      </c>
      <c r="T287" s="29">
        <v>6</v>
      </c>
      <c r="U287" s="30">
        <v>15</v>
      </c>
      <c r="V287" s="30">
        <v>16.5</v>
      </c>
      <c r="W287" s="30">
        <v>1087.01</v>
      </c>
      <c r="X287" s="30">
        <v>1326.15</v>
      </c>
      <c r="Z287" s="30">
        <v>704.29</v>
      </c>
      <c r="AA287" s="30">
        <v>96.03</v>
      </c>
      <c r="AB287" s="30">
        <v>235.71</v>
      </c>
      <c r="AD287" s="30">
        <v>239.14</v>
      </c>
      <c r="AE287" s="30">
        <v>50.98</v>
      </c>
      <c r="AG287" s="30">
        <v>100</v>
      </c>
      <c r="AH287" s="30" t="s">
        <v>162</v>
      </c>
      <c r="AI287" s="30" t="s">
        <v>163</v>
      </c>
    </row>
    <row r="288" spans="1:35" ht="15" customHeight="1" x14ac:dyDescent="0.2">
      <c r="A288" s="27" t="s">
        <v>167</v>
      </c>
      <c r="B288" s="27" t="s">
        <v>156</v>
      </c>
      <c r="C288" s="27" t="s">
        <v>157</v>
      </c>
      <c r="D288" s="27" t="s">
        <v>168</v>
      </c>
      <c r="E288" s="28">
        <v>45665</v>
      </c>
      <c r="F288" s="28">
        <v>45700</v>
      </c>
      <c r="G288" s="27" t="s">
        <v>159</v>
      </c>
      <c r="H288" s="27" t="s">
        <v>169</v>
      </c>
      <c r="I288" s="27" t="s">
        <v>69</v>
      </c>
      <c r="J288" s="27" t="s">
        <v>161</v>
      </c>
      <c r="K288" s="28">
        <v>45627</v>
      </c>
      <c r="L288" s="28">
        <v>45657</v>
      </c>
      <c r="M288" s="29">
        <v>3774</v>
      </c>
      <c r="N288" s="29">
        <v>2494</v>
      </c>
      <c r="O288" s="29">
        <v>505</v>
      </c>
      <c r="P288" s="29">
        <v>775</v>
      </c>
      <c r="Q288" s="29">
        <v>105</v>
      </c>
      <c r="R288" s="29">
        <v>56</v>
      </c>
      <c r="S288" s="29">
        <v>35</v>
      </c>
      <c r="T288" s="29">
        <v>14</v>
      </c>
      <c r="U288" s="30">
        <v>15</v>
      </c>
      <c r="V288" s="30">
        <v>16.5</v>
      </c>
      <c r="W288" s="30">
        <v>1063.55</v>
      </c>
      <c r="X288" s="30">
        <v>1297.53</v>
      </c>
      <c r="Z288" s="30">
        <v>703.2</v>
      </c>
      <c r="AA288" s="30">
        <v>92.11</v>
      </c>
      <c r="AB288" s="30">
        <v>221.06</v>
      </c>
      <c r="AD288" s="30">
        <v>233.98</v>
      </c>
      <c r="AE288" s="30">
        <v>47.18</v>
      </c>
      <c r="AG288" s="30">
        <v>100</v>
      </c>
      <c r="AH288" s="30" t="s">
        <v>162</v>
      </c>
      <c r="AI288" s="30" t="s">
        <v>163</v>
      </c>
    </row>
    <row r="289" spans="1:35" ht="15" customHeight="1" x14ac:dyDescent="0.2">
      <c r="A289" s="27" t="s">
        <v>788</v>
      </c>
      <c r="B289" s="27" t="s">
        <v>156</v>
      </c>
      <c r="C289" s="27" t="s">
        <v>157</v>
      </c>
      <c r="D289" s="27" t="s">
        <v>789</v>
      </c>
      <c r="E289" s="28">
        <v>45358</v>
      </c>
      <c r="F289" s="28">
        <v>45393</v>
      </c>
      <c r="G289" s="27" t="s">
        <v>159</v>
      </c>
      <c r="H289" s="27" t="s">
        <v>172</v>
      </c>
      <c r="I289" s="27" t="s">
        <v>173</v>
      </c>
      <c r="J289" s="27" t="s">
        <v>161</v>
      </c>
      <c r="K289" s="28">
        <v>45323</v>
      </c>
      <c r="L289" s="28">
        <v>45351</v>
      </c>
      <c r="M289" s="29">
        <v>11</v>
      </c>
      <c r="N289" s="29">
        <v>4</v>
      </c>
      <c r="O289" s="29">
        <v>3</v>
      </c>
      <c r="P289" s="29">
        <v>4</v>
      </c>
      <c r="Q289" s="29">
        <v>0</v>
      </c>
      <c r="R289" s="29">
        <v>0</v>
      </c>
      <c r="S289" s="29">
        <v>0</v>
      </c>
      <c r="T289" s="29">
        <v>0</v>
      </c>
      <c r="U289" s="30">
        <v>3</v>
      </c>
      <c r="V289" s="30">
        <v>3.3</v>
      </c>
      <c r="W289" s="30">
        <v>19.079999999999998</v>
      </c>
      <c r="X289" s="30">
        <v>23.28</v>
      </c>
      <c r="Z289" s="30">
        <v>1.23</v>
      </c>
      <c r="AA289" s="30">
        <v>9.8699999999999992</v>
      </c>
      <c r="AB289" s="30">
        <v>7.84</v>
      </c>
      <c r="AD289" s="30">
        <v>4.2</v>
      </c>
      <c r="AE289" s="30">
        <v>0.14000000000000001</v>
      </c>
      <c r="AG289" s="30">
        <v>100</v>
      </c>
      <c r="AH289" s="30" t="s">
        <v>162</v>
      </c>
      <c r="AI289" s="30" t="s">
        <v>163</v>
      </c>
    </row>
    <row r="290" spans="1:35" ht="15" customHeight="1" x14ac:dyDescent="0.2">
      <c r="A290" s="27" t="s">
        <v>740</v>
      </c>
      <c r="B290" s="27" t="s">
        <v>156</v>
      </c>
      <c r="C290" s="27" t="s">
        <v>157</v>
      </c>
      <c r="D290" s="27" t="s">
        <v>741</v>
      </c>
      <c r="E290" s="28">
        <v>45390</v>
      </c>
      <c r="F290" s="28">
        <v>45425</v>
      </c>
      <c r="G290" s="27" t="s">
        <v>159</v>
      </c>
      <c r="H290" s="27" t="s">
        <v>172</v>
      </c>
      <c r="I290" s="27" t="s">
        <v>173</v>
      </c>
      <c r="J290" s="27" t="s">
        <v>161</v>
      </c>
      <c r="K290" s="28">
        <v>45352</v>
      </c>
      <c r="L290" s="28">
        <v>45382</v>
      </c>
      <c r="M290" s="29">
        <v>13</v>
      </c>
      <c r="N290" s="29">
        <v>4</v>
      </c>
      <c r="O290" s="29">
        <v>3</v>
      </c>
      <c r="P290" s="29">
        <v>6</v>
      </c>
      <c r="Q290" s="29">
        <v>0</v>
      </c>
      <c r="R290" s="29">
        <v>0</v>
      </c>
      <c r="S290" s="29">
        <v>0</v>
      </c>
      <c r="T290" s="29">
        <v>0</v>
      </c>
      <c r="U290" s="35">
        <v>3</v>
      </c>
      <c r="V290" s="30">
        <v>3.3</v>
      </c>
      <c r="W290" s="30">
        <v>19.46</v>
      </c>
      <c r="X290" s="30">
        <v>23.74</v>
      </c>
      <c r="Z290" s="30">
        <v>1.47</v>
      </c>
      <c r="AA290" s="30">
        <v>9.9</v>
      </c>
      <c r="AB290" s="30">
        <v>7.93</v>
      </c>
      <c r="AD290" s="30">
        <v>4.28</v>
      </c>
      <c r="AE290" s="30">
        <v>0.16</v>
      </c>
      <c r="AG290" s="30">
        <v>100</v>
      </c>
      <c r="AH290" s="30" t="s">
        <v>162</v>
      </c>
      <c r="AI290" s="30" t="s">
        <v>163</v>
      </c>
    </row>
    <row r="291" spans="1:35" ht="15" customHeight="1" x14ac:dyDescent="0.2">
      <c r="A291" s="27" t="s">
        <v>614</v>
      </c>
      <c r="B291" s="27" t="s">
        <v>156</v>
      </c>
      <c r="C291" s="27" t="s">
        <v>157</v>
      </c>
      <c r="D291" s="27" t="s">
        <v>615</v>
      </c>
      <c r="E291" s="28">
        <v>45449</v>
      </c>
      <c r="F291" s="28">
        <v>45484</v>
      </c>
      <c r="G291" s="27" t="s">
        <v>159</v>
      </c>
      <c r="H291" s="27" t="s">
        <v>172</v>
      </c>
      <c r="I291" s="27" t="s">
        <v>173</v>
      </c>
      <c r="J291" s="27" t="s">
        <v>161</v>
      </c>
      <c r="K291" s="28">
        <v>45413</v>
      </c>
      <c r="L291" s="28">
        <v>45443</v>
      </c>
      <c r="M291" s="29">
        <v>12</v>
      </c>
      <c r="N291" s="29">
        <v>4</v>
      </c>
      <c r="O291" s="29">
        <v>3</v>
      </c>
      <c r="P291" s="29">
        <v>5</v>
      </c>
      <c r="Q291" s="29">
        <v>0</v>
      </c>
      <c r="R291" s="29">
        <v>0</v>
      </c>
      <c r="S291" s="29">
        <v>0</v>
      </c>
      <c r="T291" s="29">
        <v>0</v>
      </c>
      <c r="U291" s="35">
        <v>3</v>
      </c>
      <c r="V291" s="30">
        <v>3.3</v>
      </c>
      <c r="W291" s="30">
        <v>20.65</v>
      </c>
      <c r="X291" s="30">
        <v>25.19</v>
      </c>
      <c r="Z291" s="30">
        <v>1.43</v>
      </c>
      <c r="AA291" s="30">
        <v>9.8800000000000008</v>
      </c>
      <c r="AB291" s="30">
        <v>9.19</v>
      </c>
      <c r="AD291" s="30">
        <v>4.54</v>
      </c>
      <c r="AE291" s="30">
        <v>0.15</v>
      </c>
      <c r="AG291" s="30">
        <v>100</v>
      </c>
      <c r="AH291" s="30" t="s">
        <v>162</v>
      </c>
      <c r="AI291" s="30" t="s">
        <v>163</v>
      </c>
    </row>
    <row r="292" spans="1:35" ht="15" customHeight="1" x14ac:dyDescent="0.2">
      <c r="A292" s="27" t="s">
        <v>571</v>
      </c>
      <c r="B292" s="27" t="s">
        <v>156</v>
      </c>
      <c r="C292" s="27" t="s">
        <v>157</v>
      </c>
      <c r="D292" s="27" t="s">
        <v>572</v>
      </c>
      <c r="E292" s="28">
        <v>45478</v>
      </c>
      <c r="F292" s="28">
        <v>45513</v>
      </c>
      <c r="G292" s="27" t="s">
        <v>159</v>
      </c>
      <c r="H292" s="27" t="s">
        <v>172</v>
      </c>
      <c r="I292" s="27" t="s">
        <v>173</v>
      </c>
      <c r="J292" s="27" t="s">
        <v>161</v>
      </c>
      <c r="K292" s="28">
        <v>45444</v>
      </c>
      <c r="L292" s="28">
        <v>45473</v>
      </c>
      <c r="M292" s="29">
        <v>12</v>
      </c>
      <c r="N292" s="29">
        <v>3</v>
      </c>
      <c r="O292" s="29">
        <v>3</v>
      </c>
      <c r="P292" s="29">
        <v>6</v>
      </c>
      <c r="Q292" s="29">
        <v>0</v>
      </c>
      <c r="R292" s="29">
        <v>0</v>
      </c>
      <c r="S292" s="29">
        <v>0</v>
      </c>
      <c r="T292" s="29">
        <v>0</v>
      </c>
      <c r="U292" s="35">
        <v>3</v>
      </c>
      <c r="V292" s="30">
        <v>3.3</v>
      </c>
      <c r="W292" s="30">
        <v>20.79</v>
      </c>
      <c r="X292" s="30">
        <v>25.36</v>
      </c>
      <c r="Z292" s="30">
        <v>1.57</v>
      </c>
      <c r="AA292" s="30">
        <v>9.8800000000000008</v>
      </c>
      <c r="AB292" s="30">
        <v>9.19</v>
      </c>
      <c r="AD292" s="30">
        <v>4.57</v>
      </c>
      <c r="AE292" s="30">
        <v>0.15</v>
      </c>
      <c r="AG292" s="30">
        <v>100</v>
      </c>
      <c r="AH292" s="30" t="s">
        <v>162</v>
      </c>
      <c r="AI292" s="30" t="s">
        <v>163</v>
      </c>
    </row>
    <row r="293" spans="1:35" ht="15" customHeight="1" x14ac:dyDescent="0.2">
      <c r="A293" s="27" t="s">
        <v>496</v>
      </c>
      <c r="B293" s="27" t="s">
        <v>156</v>
      </c>
      <c r="C293" s="27" t="s">
        <v>157</v>
      </c>
      <c r="D293" s="27" t="s">
        <v>497</v>
      </c>
      <c r="E293" s="28">
        <v>45514</v>
      </c>
      <c r="F293" s="28">
        <v>45551</v>
      </c>
      <c r="G293" s="27" t="s">
        <v>159</v>
      </c>
      <c r="H293" s="27" t="s">
        <v>172</v>
      </c>
      <c r="I293" s="27" t="s">
        <v>173</v>
      </c>
      <c r="J293" s="27" t="s">
        <v>161</v>
      </c>
      <c r="K293" s="28">
        <v>45474</v>
      </c>
      <c r="L293" s="28">
        <v>45504</v>
      </c>
      <c r="M293" s="29">
        <v>13</v>
      </c>
      <c r="N293" s="29">
        <v>5</v>
      </c>
      <c r="O293" s="29">
        <v>3</v>
      </c>
      <c r="P293" s="29">
        <v>5</v>
      </c>
      <c r="Q293" s="29">
        <v>0</v>
      </c>
      <c r="R293" s="29">
        <v>0</v>
      </c>
      <c r="S293" s="29">
        <v>0</v>
      </c>
      <c r="T293" s="29">
        <v>0</v>
      </c>
      <c r="U293" s="30">
        <v>3</v>
      </c>
      <c r="V293" s="30">
        <v>3.3</v>
      </c>
      <c r="W293" s="30">
        <v>21.36</v>
      </c>
      <c r="X293" s="30">
        <v>26.06</v>
      </c>
      <c r="Z293" s="30">
        <v>2.0699999999999998</v>
      </c>
      <c r="AA293" s="30">
        <v>9.9</v>
      </c>
      <c r="AB293" s="30">
        <v>9.23</v>
      </c>
      <c r="AD293" s="30">
        <v>4.7</v>
      </c>
      <c r="AE293" s="30">
        <v>0.16</v>
      </c>
      <c r="AG293" s="30">
        <v>100</v>
      </c>
      <c r="AH293" s="30" t="s">
        <v>162</v>
      </c>
      <c r="AI293" s="30" t="s">
        <v>163</v>
      </c>
    </row>
    <row r="294" spans="1:35" ht="15" customHeight="1" x14ac:dyDescent="0.2">
      <c r="A294" s="27" t="s">
        <v>446</v>
      </c>
      <c r="B294" s="27" t="s">
        <v>156</v>
      </c>
      <c r="C294" s="27" t="s">
        <v>157</v>
      </c>
      <c r="D294" s="27" t="s">
        <v>447</v>
      </c>
      <c r="E294" s="28">
        <v>45541</v>
      </c>
      <c r="F294" s="28">
        <v>45576</v>
      </c>
      <c r="G294" s="27" t="s">
        <v>159</v>
      </c>
      <c r="H294" s="27" t="s">
        <v>172</v>
      </c>
      <c r="I294" s="27" t="s">
        <v>173</v>
      </c>
      <c r="J294" s="27" t="s">
        <v>161</v>
      </c>
      <c r="K294" s="28">
        <v>45505</v>
      </c>
      <c r="L294" s="28">
        <v>45535</v>
      </c>
      <c r="M294" s="29">
        <v>12</v>
      </c>
      <c r="N294" s="29">
        <v>4</v>
      </c>
      <c r="O294" s="29">
        <v>3</v>
      </c>
      <c r="P294" s="29">
        <v>5</v>
      </c>
      <c r="Q294" s="29">
        <v>0</v>
      </c>
      <c r="R294" s="29">
        <v>0</v>
      </c>
      <c r="S294" s="29">
        <v>0</v>
      </c>
      <c r="T294" s="29">
        <v>0</v>
      </c>
      <c r="U294" s="30">
        <v>3</v>
      </c>
      <c r="V294" s="30">
        <v>3.3</v>
      </c>
      <c r="W294" s="30">
        <v>21.1</v>
      </c>
      <c r="X294" s="30">
        <v>25.74</v>
      </c>
      <c r="Z294" s="30">
        <v>1.88</v>
      </c>
      <c r="AA294" s="30">
        <v>9.8800000000000008</v>
      </c>
      <c r="AB294" s="30">
        <v>9.19</v>
      </c>
      <c r="AD294" s="30">
        <v>4.6399999999999997</v>
      </c>
      <c r="AE294" s="30">
        <v>0.15</v>
      </c>
      <c r="AG294" s="30">
        <v>100</v>
      </c>
      <c r="AH294" s="30" t="s">
        <v>162</v>
      </c>
      <c r="AI294" s="30" t="s">
        <v>163</v>
      </c>
    </row>
    <row r="295" spans="1:35" ht="15" customHeight="1" x14ac:dyDescent="0.2">
      <c r="A295" s="27" t="s">
        <v>386</v>
      </c>
      <c r="B295" s="27" t="s">
        <v>156</v>
      </c>
      <c r="C295" s="27" t="s">
        <v>157</v>
      </c>
      <c r="D295" s="27" t="s">
        <v>387</v>
      </c>
      <c r="E295" s="28">
        <v>45571</v>
      </c>
      <c r="F295" s="28">
        <v>45607</v>
      </c>
      <c r="G295" s="27" t="s">
        <v>159</v>
      </c>
      <c r="H295" s="27" t="s">
        <v>172</v>
      </c>
      <c r="I295" s="27" t="s">
        <v>173</v>
      </c>
      <c r="J295" s="27" t="s">
        <v>161</v>
      </c>
      <c r="K295" s="28">
        <v>45536</v>
      </c>
      <c r="L295" s="28">
        <v>45565</v>
      </c>
      <c r="M295" s="29">
        <v>12</v>
      </c>
      <c r="N295" s="29">
        <v>4</v>
      </c>
      <c r="O295" s="29">
        <v>3</v>
      </c>
      <c r="P295" s="29">
        <v>5</v>
      </c>
      <c r="Q295" s="29">
        <v>0</v>
      </c>
      <c r="R295" s="29">
        <v>0</v>
      </c>
      <c r="S295" s="29">
        <v>0</v>
      </c>
      <c r="T295" s="29">
        <v>0</v>
      </c>
      <c r="U295" s="30">
        <v>3</v>
      </c>
      <c r="V295" s="30">
        <v>3.3</v>
      </c>
      <c r="W295" s="30">
        <v>20.93</v>
      </c>
      <c r="X295" s="30">
        <v>25.53</v>
      </c>
      <c r="Z295" s="30">
        <v>1.71</v>
      </c>
      <c r="AA295" s="30">
        <v>9.8800000000000008</v>
      </c>
      <c r="AB295" s="30">
        <v>9.19</v>
      </c>
      <c r="AD295" s="30">
        <v>4.5999999999999996</v>
      </c>
      <c r="AE295" s="30">
        <v>0.15</v>
      </c>
      <c r="AG295" s="30">
        <v>100</v>
      </c>
      <c r="AH295" s="30" t="s">
        <v>162</v>
      </c>
      <c r="AI295" s="30" t="s">
        <v>163</v>
      </c>
    </row>
    <row r="296" spans="1:35" ht="15" customHeight="1" x14ac:dyDescent="0.2">
      <c r="A296" s="27" t="s">
        <v>328</v>
      </c>
      <c r="B296" s="27" t="s">
        <v>156</v>
      </c>
      <c r="C296" s="27" t="s">
        <v>157</v>
      </c>
      <c r="D296" s="27" t="s">
        <v>329</v>
      </c>
      <c r="E296" s="28">
        <v>45604</v>
      </c>
      <c r="F296" s="28">
        <v>45639</v>
      </c>
      <c r="G296" s="27" t="s">
        <v>159</v>
      </c>
      <c r="H296" s="27" t="s">
        <v>172</v>
      </c>
      <c r="I296" s="27" t="s">
        <v>173</v>
      </c>
      <c r="J296" s="27" t="s">
        <v>161</v>
      </c>
      <c r="K296" s="28">
        <v>45566</v>
      </c>
      <c r="L296" s="28">
        <v>45596</v>
      </c>
      <c r="M296" s="29">
        <v>12</v>
      </c>
      <c r="N296" s="29">
        <v>4</v>
      </c>
      <c r="O296" s="29">
        <v>3</v>
      </c>
      <c r="P296" s="29">
        <v>5</v>
      </c>
      <c r="Q296" s="29">
        <v>0</v>
      </c>
      <c r="R296" s="29">
        <v>0</v>
      </c>
      <c r="S296" s="29">
        <v>0</v>
      </c>
      <c r="T296" s="29">
        <v>0</v>
      </c>
      <c r="U296" s="30">
        <v>3</v>
      </c>
      <c r="V296" s="30">
        <v>3.3</v>
      </c>
      <c r="W296" s="30">
        <v>20.95</v>
      </c>
      <c r="X296" s="30">
        <v>25.56</v>
      </c>
      <c r="Z296" s="30">
        <v>1.73</v>
      </c>
      <c r="AA296" s="30">
        <v>9.8800000000000008</v>
      </c>
      <c r="AB296" s="30">
        <v>9.19</v>
      </c>
      <c r="AD296" s="30">
        <v>4.6100000000000003</v>
      </c>
      <c r="AE296" s="30">
        <v>0.15</v>
      </c>
      <c r="AG296" s="30">
        <v>100</v>
      </c>
      <c r="AH296" s="30" t="s">
        <v>162</v>
      </c>
      <c r="AI296" s="30" t="s">
        <v>163</v>
      </c>
    </row>
    <row r="297" spans="1:35" ht="15" customHeight="1" x14ac:dyDescent="0.2">
      <c r="A297" s="27" t="s">
        <v>270</v>
      </c>
      <c r="B297" s="27" t="s">
        <v>156</v>
      </c>
      <c r="C297" s="27" t="s">
        <v>157</v>
      </c>
      <c r="D297" s="27" t="s">
        <v>271</v>
      </c>
      <c r="E297" s="28">
        <v>45632</v>
      </c>
      <c r="F297" s="28">
        <v>45667</v>
      </c>
      <c r="G297" s="27" t="s">
        <v>159</v>
      </c>
      <c r="H297" s="27" t="s">
        <v>172</v>
      </c>
      <c r="I297" s="27" t="s">
        <v>173</v>
      </c>
      <c r="J297" s="27" t="s">
        <v>161</v>
      </c>
      <c r="K297" s="28">
        <v>45597</v>
      </c>
      <c r="L297" s="28">
        <v>45626</v>
      </c>
      <c r="M297" s="29">
        <v>11</v>
      </c>
      <c r="N297" s="29">
        <v>3</v>
      </c>
      <c r="O297" s="29">
        <v>3</v>
      </c>
      <c r="P297" s="29">
        <v>5</v>
      </c>
      <c r="Q297" s="29">
        <v>0</v>
      </c>
      <c r="R297" s="29">
        <v>0</v>
      </c>
      <c r="S297" s="29">
        <v>0</v>
      </c>
      <c r="T297" s="29">
        <v>0</v>
      </c>
      <c r="U297" s="35">
        <v>3</v>
      </c>
      <c r="V297" s="30">
        <v>3.3</v>
      </c>
      <c r="W297" s="30">
        <v>20.9</v>
      </c>
      <c r="X297" s="30">
        <v>25.5</v>
      </c>
      <c r="Z297" s="30">
        <v>1.75</v>
      </c>
      <c r="AA297" s="30">
        <v>9.8699999999999992</v>
      </c>
      <c r="AB297" s="30">
        <v>9.14</v>
      </c>
      <c r="AD297" s="30">
        <v>4.5999999999999996</v>
      </c>
      <c r="AE297" s="30">
        <v>0.14000000000000001</v>
      </c>
      <c r="AG297" s="30">
        <v>100</v>
      </c>
      <c r="AH297" s="30" t="s">
        <v>162</v>
      </c>
      <c r="AI297" s="30" t="s">
        <v>163</v>
      </c>
    </row>
    <row r="298" spans="1:35" ht="15" customHeight="1" x14ac:dyDescent="0.2">
      <c r="A298" s="27" t="s">
        <v>170</v>
      </c>
      <c r="B298" s="27" t="s">
        <v>156</v>
      </c>
      <c r="C298" s="27" t="s">
        <v>157</v>
      </c>
      <c r="D298" s="27" t="s">
        <v>171</v>
      </c>
      <c r="E298" s="28">
        <v>45665</v>
      </c>
      <c r="F298" s="28">
        <v>45700</v>
      </c>
      <c r="G298" s="27" t="s">
        <v>159</v>
      </c>
      <c r="H298" s="27" t="s">
        <v>172</v>
      </c>
      <c r="I298" s="27" t="s">
        <v>173</v>
      </c>
      <c r="J298" s="27" t="s">
        <v>161</v>
      </c>
      <c r="K298" s="28">
        <v>45627</v>
      </c>
      <c r="L298" s="28">
        <v>45657</v>
      </c>
      <c r="M298" s="29">
        <v>12</v>
      </c>
      <c r="N298" s="29">
        <v>4</v>
      </c>
      <c r="O298" s="29">
        <v>2</v>
      </c>
      <c r="P298" s="29">
        <v>6</v>
      </c>
      <c r="Q298" s="29">
        <v>0</v>
      </c>
      <c r="R298" s="29">
        <v>0</v>
      </c>
      <c r="S298" s="29">
        <v>0</v>
      </c>
      <c r="T298" s="29">
        <v>0</v>
      </c>
      <c r="U298" s="35">
        <v>3</v>
      </c>
      <c r="V298" s="30">
        <v>3.3</v>
      </c>
      <c r="W298" s="30">
        <v>21.24</v>
      </c>
      <c r="X298" s="30">
        <v>25.91</v>
      </c>
      <c r="Z298" s="30">
        <v>2.02</v>
      </c>
      <c r="AA298" s="30">
        <v>9.8800000000000008</v>
      </c>
      <c r="AB298" s="30">
        <v>9.19</v>
      </c>
      <c r="AD298" s="30">
        <v>4.67</v>
      </c>
      <c r="AE298" s="30">
        <v>0.15</v>
      </c>
      <c r="AG298" s="30">
        <v>100</v>
      </c>
      <c r="AH298" s="30" t="s">
        <v>162</v>
      </c>
      <c r="AI298" s="30" t="s">
        <v>163</v>
      </c>
    </row>
    <row r="299" spans="1:35" ht="15" customHeight="1" x14ac:dyDescent="0.2">
      <c r="A299" s="27" t="s">
        <v>818</v>
      </c>
      <c r="B299" s="27" t="s">
        <v>156</v>
      </c>
      <c r="C299" s="27" t="s">
        <v>157</v>
      </c>
      <c r="D299" s="27" t="s">
        <v>819</v>
      </c>
      <c r="E299" s="28">
        <v>45358</v>
      </c>
      <c r="F299" s="28">
        <v>45393</v>
      </c>
      <c r="G299" s="27" t="s">
        <v>159</v>
      </c>
      <c r="H299" s="27" t="s">
        <v>221</v>
      </c>
      <c r="I299" s="27" t="s">
        <v>222</v>
      </c>
      <c r="J299" s="27" t="s">
        <v>161</v>
      </c>
      <c r="K299" s="28">
        <v>45323</v>
      </c>
      <c r="L299" s="28">
        <v>45351</v>
      </c>
      <c r="M299" s="29">
        <v>35</v>
      </c>
      <c r="N299" s="29">
        <v>10</v>
      </c>
      <c r="O299" s="29">
        <v>9</v>
      </c>
      <c r="P299" s="29">
        <v>16</v>
      </c>
      <c r="Q299" s="29">
        <v>0</v>
      </c>
      <c r="R299" s="29">
        <v>0</v>
      </c>
      <c r="S299" s="29">
        <v>0</v>
      </c>
      <c r="T299" s="29">
        <v>0</v>
      </c>
      <c r="U299" s="35">
        <v>3</v>
      </c>
      <c r="V299" s="30">
        <v>3.3</v>
      </c>
      <c r="W299" s="30">
        <v>23.64</v>
      </c>
      <c r="X299" s="30">
        <v>28.84</v>
      </c>
      <c r="Z299" s="30">
        <v>4.18</v>
      </c>
      <c r="AA299" s="30">
        <v>10.18</v>
      </c>
      <c r="AB299" s="30">
        <v>8.84</v>
      </c>
      <c r="AD299" s="30">
        <v>5.2</v>
      </c>
      <c r="AE299" s="30">
        <v>0.44</v>
      </c>
      <c r="AG299" s="30">
        <v>100</v>
      </c>
      <c r="AH299" s="30" t="s">
        <v>162</v>
      </c>
      <c r="AI299" s="30" t="s">
        <v>163</v>
      </c>
    </row>
    <row r="300" spans="1:35" ht="15" customHeight="1" x14ac:dyDescent="0.2">
      <c r="A300" s="27" t="s">
        <v>766</v>
      </c>
      <c r="B300" s="27" t="s">
        <v>156</v>
      </c>
      <c r="C300" s="27" t="s">
        <v>157</v>
      </c>
      <c r="D300" s="27" t="s">
        <v>767</v>
      </c>
      <c r="E300" s="28">
        <v>45390</v>
      </c>
      <c r="F300" s="28">
        <v>45425</v>
      </c>
      <c r="G300" s="27" t="s">
        <v>159</v>
      </c>
      <c r="H300" s="27" t="s">
        <v>221</v>
      </c>
      <c r="I300" s="27" t="s">
        <v>222</v>
      </c>
      <c r="J300" s="27" t="s">
        <v>161</v>
      </c>
      <c r="K300" s="28">
        <v>45352</v>
      </c>
      <c r="L300" s="28">
        <v>45382</v>
      </c>
      <c r="M300" s="29">
        <v>35</v>
      </c>
      <c r="N300" s="29">
        <v>10</v>
      </c>
      <c r="O300" s="29">
        <v>8</v>
      </c>
      <c r="P300" s="29">
        <v>17</v>
      </c>
      <c r="Q300" s="29">
        <v>0</v>
      </c>
      <c r="R300" s="29">
        <v>0</v>
      </c>
      <c r="S300" s="29">
        <v>0</v>
      </c>
      <c r="T300" s="29">
        <v>0</v>
      </c>
      <c r="U300" s="30">
        <v>3</v>
      </c>
      <c r="V300" s="30">
        <v>3.3</v>
      </c>
      <c r="W300" s="30">
        <v>23.53</v>
      </c>
      <c r="X300" s="30">
        <v>28.71</v>
      </c>
      <c r="Z300" s="30">
        <v>4.07</v>
      </c>
      <c r="AA300" s="30">
        <v>10.18</v>
      </c>
      <c r="AB300" s="30">
        <v>8.84</v>
      </c>
      <c r="AD300" s="30">
        <v>5.18</v>
      </c>
      <c r="AE300" s="30">
        <v>0.44</v>
      </c>
      <c r="AG300" s="30">
        <v>100</v>
      </c>
      <c r="AH300" s="30" t="s">
        <v>162</v>
      </c>
      <c r="AI300" s="30" t="s">
        <v>163</v>
      </c>
    </row>
    <row r="301" spans="1:35" ht="15" customHeight="1" x14ac:dyDescent="0.2">
      <c r="A301" s="27" t="s">
        <v>702</v>
      </c>
      <c r="B301" s="27" t="s">
        <v>156</v>
      </c>
      <c r="C301" s="27" t="s">
        <v>157</v>
      </c>
      <c r="D301" s="27" t="s">
        <v>703</v>
      </c>
      <c r="E301" s="28">
        <v>45419</v>
      </c>
      <c r="F301" s="28">
        <v>45454</v>
      </c>
      <c r="G301" s="27" t="s">
        <v>159</v>
      </c>
      <c r="H301" s="27" t="s">
        <v>221</v>
      </c>
      <c r="I301" s="27" t="s">
        <v>222</v>
      </c>
      <c r="J301" s="27" t="s">
        <v>161</v>
      </c>
      <c r="K301" s="28">
        <v>45383</v>
      </c>
      <c r="L301" s="28">
        <v>45412</v>
      </c>
      <c r="M301" s="29">
        <v>29</v>
      </c>
      <c r="N301" s="29">
        <v>8</v>
      </c>
      <c r="O301" s="29">
        <v>6</v>
      </c>
      <c r="P301" s="29">
        <v>15</v>
      </c>
      <c r="Q301" s="29">
        <v>0</v>
      </c>
      <c r="R301" s="29">
        <v>0</v>
      </c>
      <c r="S301" s="29">
        <v>0</v>
      </c>
      <c r="T301" s="29">
        <v>0</v>
      </c>
      <c r="U301" s="30">
        <v>3</v>
      </c>
      <c r="V301" s="30">
        <v>3.3</v>
      </c>
      <c r="W301" s="30">
        <v>23.82</v>
      </c>
      <c r="X301" s="30">
        <v>29.06</v>
      </c>
      <c r="Z301" s="30">
        <v>3.34</v>
      </c>
      <c r="AA301" s="30">
        <v>10.11</v>
      </c>
      <c r="AB301" s="30">
        <v>10.01</v>
      </c>
      <c r="AD301" s="30">
        <v>5.24</v>
      </c>
      <c r="AE301" s="30">
        <v>0.36</v>
      </c>
      <c r="AG301" s="30">
        <v>100</v>
      </c>
      <c r="AH301" s="30" t="s">
        <v>162</v>
      </c>
      <c r="AI301" s="30" t="s">
        <v>163</v>
      </c>
    </row>
    <row r="302" spans="1:35" ht="15" customHeight="1" x14ac:dyDescent="0.2">
      <c r="A302" s="27" t="s">
        <v>644</v>
      </c>
      <c r="B302" s="27" t="s">
        <v>156</v>
      </c>
      <c r="C302" s="27" t="s">
        <v>157</v>
      </c>
      <c r="D302" s="27" t="s">
        <v>645</v>
      </c>
      <c r="E302" s="28">
        <v>45449</v>
      </c>
      <c r="F302" s="28">
        <v>45484</v>
      </c>
      <c r="G302" s="27" t="s">
        <v>159</v>
      </c>
      <c r="H302" s="27" t="s">
        <v>221</v>
      </c>
      <c r="I302" s="27" t="s">
        <v>222</v>
      </c>
      <c r="J302" s="27" t="s">
        <v>161</v>
      </c>
      <c r="K302" s="28">
        <v>45413</v>
      </c>
      <c r="L302" s="28">
        <v>45432</v>
      </c>
      <c r="M302" s="29">
        <v>19</v>
      </c>
      <c r="N302" s="29">
        <v>6</v>
      </c>
      <c r="O302" s="29">
        <v>4</v>
      </c>
      <c r="P302" s="29">
        <v>9</v>
      </c>
      <c r="Q302" s="29">
        <v>0</v>
      </c>
      <c r="R302" s="29">
        <v>0</v>
      </c>
      <c r="S302" s="29">
        <v>0</v>
      </c>
      <c r="T302" s="29">
        <v>0</v>
      </c>
      <c r="U302" s="35">
        <v>3</v>
      </c>
      <c r="V302" s="30">
        <v>3.3</v>
      </c>
      <c r="W302" s="30">
        <v>21.84</v>
      </c>
      <c r="X302" s="30">
        <v>26.64</v>
      </c>
      <c r="Z302" s="30">
        <v>2.1</v>
      </c>
      <c r="AA302" s="30">
        <v>9.9700000000000006</v>
      </c>
      <c r="AB302" s="30">
        <v>9.5299999999999994</v>
      </c>
      <c r="AD302" s="30">
        <v>4.8</v>
      </c>
      <c r="AE302" s="30">
        <v>0.15</v>
      </c>
      <c r="AG302" s="30">
        <v>100</v>
      </c>
      <c r="AH302" s="30" t="s">
        <v>162</v>
      </c>
      <c r="AI302" s="30" t="s">
        <v>163</v>
      </c>
    </row>
    <row r="303" spans="1:35" ht="15" customHeight="1" x14ac:dyDescent="0.2">
      <c r="A303" s="27" t="s">
        <v>552</v>
      </c>
      <c r="B303" s="27" t="s">
        <v>156</v>
      </c>
      <c r="C303" s="27" t="s">
        <v>157</v>
      </c>
      <c r="D303" s="27" t="s">
        <v>553</v>
      </c>
      <c r="E303" s="28">
        <v>45483</v>
      </c>
      <c r="F303" s="28">
        <v>45518</v>
      </c>
      <c r="G303" s="27" t="s">
        <v>159</v>
      </c>
      <c r="H303" s="27" t="s">
        <v>221</v>
      </c>
      <c r="I303" s="27" t="s">
        <v>222</v>
      </c>
      <c r="J303" s="27" t="s">
        <v>161</v>
      </c>
      <c r="K303" s="28">
        <v>45444</v>
      </c>
      <c r="L303" s="28">
        <v>45473</v>
      </c>
      <c r="M303" s="29">
        <v>23</v>
      </c>
      <c r="N303" s="29">
        <v>6</v>
      </c>
      <c r="O303" s="29">
        <v>6</v>
      </c>
      <c r="P303" s="29">
        <v>11</v>
      </c>
      <c r="Q303" s="29">
        <v>0</v>
      </c>
      <c r="R303" s="29">
        <v>0</v>
      </c>
      <c r="S303" s="29">
        <v>0</v>
      </c>
      <c r="T303" s="29">
        <v>0</v>
      </c>
      <c r="U303" s="30">
        <v>3</v>
      </c>
      <c r="V303" s="30">
        <v>3.3</v>
      </c>
      <c r="W303" s="30">
        <v>23.19</v>
      </c>
      <c r="X303" s="30">
        <v>28.29</v>
      </c>
      <c r="Z303" s="30">
        <v>3.15</v>
      </c>
      <c r="AA303" s="30">
        <v>10.029999999999999</v>
      </c>
      <c r="AB303" s="30">
        <v>9.7200000000000006</v>
      </c>
      <c r="AD303" s="30">
        <v>5.0999999999999996</v>
      </c>
      <c r="AE303" s="30">
        <v>0.28999999999999998</v>
      </c>
      <c r="AG303" s="30">
        <v>100</v>
      </c>
      <c r="AH303" s="30" t="s">
        <v>162</v>
      </c>
      <c r="AI303" s="30" t="s">
        <v>163</v>
      </c>
    </row>
    <row r="304" spans="1:35" ht="15" customHeight="1" x14ac:dyDescent="0.2">
      <c r="A304" s="27" t="s">
        <v>498</v>
      </c>
      <c r="B304" s="27" t="s">
        <v>156</v>
      </c>
      <c r="C304" s="27" t="s">
        <v>157</v>
      </c>
      <c r="D304" s="27" t="s">
        <v>499</v>
      </c>
      <c r="E304" s="28">
        <v>45514</v>
      </c>
      <c r="F304" s="28">
        <v>45551</v>
      </c>
      <c r="G304" s="27" t="s">
        <v>159</v>
      </c>
      <c r="H304" s="27" t="s">
        <v>221</v>
      </c>
      <c r="I304" s="27" t="s">
        <v>222</v>
      </c>
      <c r="J304" s="27" t="s">
        <v>161</v>
      </c>
      <c r="K304" s="28">
        <v>45474</v>
      </c>
      <c r="L304" s="28">
        <v>45491</v>
      </c>
      <c r="M304" s="29">
        <v>27</v>
      </c>
      <c r="N304" s="29">
        <v>9</v>
      </c>
      <c r="O304" s="29">
        <v>6</v>
      </c>
      <c r="P304" s="29">
        <v>12</v>
      </c>
      <c r="Q304" s="29">
        <v>0</v>
      </c>
      <c r="R304" s="29">
        <v>0</v>
      </c>
      <c r="S304" s="29">
        <v>0</v>
      </c>
      <c r="T304" s="29">
        <v>0</v>
      </c>
      <c r="U304" s="30">
        <v>3</v>
      </c>
      <c r="V304" s="30">
        <v>3.3</v>
      </c>
      <c r="W304" s="30">
        <v>24.47</v>
      </c>
      <c r="X304" s="30">
        <v>29.85</v>
      </c>
      <c r="Z304" s="30">
        <v>4.1500000000000004</v>
      </c>
      <c r="AA304" s="30">
        <v>10.07</v>
      </c>
      <c r="AB304" s="30">
        <v>9.91</v>
      </c>
      <c r="AD304" s="30">
        <v>5.38</v>
      </c>
      <c r="AE304" s="30">
        <v>0.19</v>
      </c>
      <c r="AG304" s="30">
        <v>100</v>
      </c>
      <c r="AH304" s="30" t="s">
        <v>162</v>
      </c>
      <c r="AI304" s="30" t="s">
        <v>163</v>
      </c>
    </row>
    <row r="305" spans="1:35" ht="15" customHeight="1" x14ac:dyDescent="0.2">
      <c r="A305" s="27" t="s">
        <v>474</v>
      </c>
      <c r="B305" s="27" t="s">
        <v>156</v>
      </c>
      <c r="C305" s="27" t="s">
        <v>157</v>
      </c>
      <c r="D305" s="27" t="s">
        <v>475</v>
      </c>
      <c r="E305" s="28">
        <v>45541</v>
      </c>
      <c r="F305" s="28">
        <v>45576</v>
      </c>
      <c r="G305" s="27" t="s">
        <v>159</v>
      </c>
      <c r="H305" s="27" t="s">
        <v>221</v>
      </c>
      <c r="I305" s="27" t="s">
        <v>222</v>
      </c>
      <c r="J305" s="27" t="s">
        <v>161</v>
      </c>
      <c r="K305" s="28">
        <v>45505</v>
      </c>
      <c r="L305" s="28">
        <v>45535</v>
      </c>
      <c r="M305" s="29">
        <v>94</v>
      </c>
      <c r="N305" s="29">
        <v>28</v>
      </c>
      <c r="O305" s="29">
        <v>22</v>
      </c>
      <c r="P305" s="29">
        <v>44</v>
      </c>
      <c r="Q305" s="29">
        <v>0</v>
      </c>
      <c r="R305" s="29">
        <v>0</v>
      </c>
      <c r="S305" s="29">
        <v>0</v>
      </c>
      <c r="T305" s="29">
        <v>0</v>
      </c>
      <c r="U305" s="30">
        <v>3</v>
      </c>
      <c r="V305" s="30">
        <v>3.3</v>
      </c>
      <c r="W305" s="30">
        <v>24.29</v>
      </c>
      <c r="X305" s="30">
        <v>29.63</v>
      </c>
      <c r="Z305" s="30">
        <v>4.0199999999999996</v>
      </c>
      <c r="AA305" s="30">
        <v>10.050000000000001</v>
      </c>
      <c r="AB305" s="30">
        <v>9.82</v>
      </c>
      <c r="AD305" s="30">
        <v>5.34</v>
      </c>
      <c r="AE305" s="30">
        <v>0.31</v>
      </c>
      <c r="AG305" s="30">
        <v>100</v>
      </c>
      <c r="AH305" s="30" t="s">
        <v>162</v>
      </c>
      <c r="AI305" s="30" t="s">
        <v>163</v>
      </c>
    </row>
    <row r="306" spans="1:35" ht="15" customHeight="1" x14ac:dyDescent="0.2">
      <c r="A306" s="27" t="s">
        <v>358</v>
      </c>
      <c r="B306" s="27" t="s">
        <v>156</v>
      </c>
      <c r="C306" s="27" t="s">
        <v>157</v>
      </c>
      <c r="D306" s="27" t="s">
        <v>359</v>
      </c>
      <c r="E306" s="28">
        <v>45604</v>
      </c>
      <c r="F306" s="28">
        <v>45639</v>
      </c>
      <c r="G306" s="27" t="s">
        <v>159</v>
      </c>
      <c r="H306" s="27" t="s">
        <v>221</v>
      </c>
      <c r="I306" s="27" t="s">
        <v>222</v>
      </c>
      <c r="J306" s="27" t="s">
        <v>161</v>
      </c>
      <c r="K306" s="28">
        <v>45566</v>
      </c>
      <c r="L306" s="28">
        <v>45596</v>
      </c>
      <c r="M306" s="29">
        <v>27</v>
      </c>
      <c r="N306" s="29">
        <v>8</v>
      </c>
      <c r="O306" s="29">
        <v>6</v>
      </c>
      <c r="P306" s="29">
        <v>13</v>
      </c>
      <c r="Q306" s="29">
        <v>0</v>
      </c>
      <c r="R306" s="29">
        <v>0</v>
      </c>
      <c r="S306" s="29">
        <v>0</v>
      </c>
      <c r="T306" s="29">
        <v>0</v>
      </c>
      <c r="U306" s="30">
        <v>3</v>
      </c>
      <c r="V306" s="30">
        <v>3.3</v>
      </c>
      <c r="W306" s="30">
        <v>24.29</v>
      </c>
      <c r="X306" s="30">
        <v>29.63</v>
      </c>
      <c r="Z306" s="30">
        <v>3.97</v>
      </c>
      <c r="AA306" s="30">
        <v>10.07</v>
      </c>
      <c r="AB306" s="30">
        <v>9.91</v>
      </c>
      <c r="AD306" s="30">
        <v>5.34</v>
      </c>
      <c r="AE306" s="30">
        <v>0.34</v>
      </c>
      <c r="AG306" s="30">
        <v>100</v>
      </c>
      <c r="AH306" s="30" t="s">
        <v>162</v>
      </c>
      <c r="AI306" s="30" t="s">
        <v>163</v>
      </c>
    </row>
    <row r="307" spans="1:35" ht="15" customHeight="1" x14ac:dyDescent="0.2">
      <c r="A307" s="27" t="s">
        <v>300</v>
      </c>
      <c r="B307" s="27" t="s">
        <v>156</v>
      </c>
      <c r="C307" s="27" t="s">
        <v>157</v>
      </c>
      <c r="D307" s="27" t="s">
        <v>301</v>
      </c>
      <c r="E307" s="28">
        <v>45632</v>
      </c>
      <c r="F307" s="28">
        <v>45667</v>
      </c>
      <c r="G307" s="27" t="s">
        <v>159</v>
      </c>
      <c r="H307" s="27" t="s">
        <v>221</v>
      </c>
      <c r="I307" s="27" t="s">
        <v>222</v>
      </c>
      <c r="J307" s="27" t="s">
        <v>161</v>
      </c>
      <c r="K307" s="28">
        <v>45597</v>
      </c>
      <c r="L307" s="28">
        <v>45626</v>
      </c>
      <c r="M307" s="29">
        <v>36</v>
      </c>
      <c r="N307" s="29">
        <v>10</v>
      </c>
      <c r="O307" s="29">
        <v>9</v>
      </c>
      <c r="P307" s="29">
        <v>17</v>
      </c>
      <c r="Q307" s="29">
        <v>0</v>
      </c>
      <c r="R307" s="29">
        <v>0</v>
      </c>
      <c r="S307" s="29">
        <v>0</v>
      </c>
      <c r="T307" s="29">
        <v>0</v>
      </c>
      <c r="U307" s="35">
        <v>3</v>
      </c>
      <c r="V307" s="30">
        <v>3.3</v>
      </c>
      <c r="W307" s="30">
        <v>26.84</v>
      </c>
      <c r="X307" s="30">
        <v>32.74</v>
      </c>
      <c r="Z307" s="30">
        <v>5.86</v>
      </c>
      <c r="AA307" s="30">
        <v>10.19</v>
      </c>
      <c r="AB307" s="30">
        <v>10.34</v>
      </c>
      <c r="AD307" s="30">
        <v>5.9</v>
      </c>
      <c r="AE307" s="30">
        <v>0.45</v>
      </c>
      <c r="AG307" s="30">
        <v>100</v>
      </c>
      <c r="AH307" s="30" t="s">
        <v>162</v>
      </c>
      <c r="AI307" s="30" t="s">
        <v>163</v>
      </c>
    </row>
    <row r="308" spans="1:35" ht="15" customHeight="1" x14ac:dyDescent="0.2">
      <c r="A308" s="27" t="s">
        <v>219</v>
      </c>
      <c r="B308" s="27" t="s">
        <v>156</v>
      </c>
      <c r="C308" s="27" t="s">
        <v>157</v>
      </c>
      <c r="D308" s="27" t="s">
        <v>220</v>
      </c>
      <c r="E308" s="28">
        <v>45665</v>
      </c>
      <c r="F308" s="28">
        <v>45700</v>
      </c>
      <c r="G308" s="27" t="s">
        <v>159</v>
      </c>
      <c r="H308" s="27" t="s">
        <v>221</v>
      </c>
      <c r="I308" s="27" t="s">
        <v>222</v>
      </c>
      <c r="J308" s="27" t="s">
        <v>161</v>
      </c>
      <c r="K308" s="28">
        <v>45627</v>
      </c>
      <c r="L308" s="28">
        <v>45657</v>
      </c>
      <c r="M308" s="29">
        <v>40</v>
      </c>
      <c r="N308" s="29">
        <v>11</v>
      </c>
      <c r="O308" s="29">
        <v>9</v>
      </c>
      <c r="P308" s="29">
        <v>20</v>
      </c>
      <c r="Q308" s="29">
        <v>0</v>
      </c>
      <c r="R308" s="29">
        <v>0</v>
      </c>
      <c r="S308" s="29">
        <v>0</v>
      </c>
      <c r="T308" s="29">
        <v>0</v>
      </c>
      <c r="U308" s="35">
        <v>3</v>
      </c>
      <c r="V308" s="30">
        <v>3.3</v>
      </c>
      <c r="W308" s="30">
        <v>28.13</v>
      </c>
      <c r="X308" s="30">
        <v>34.32</v>
      </c>
      <c r="Z308" s="30">
        <v>6.84</v>
      </c>
      <c r="AA308" s="30">
        <v>10.25</v>
      </c>
      <c r="AB308" s="30">
        <v>10.54</v>
      </c>
      <c r="AD308" s="30">
        <v>6.19</v>
      </c>
      <c r="AE308" s="30">
        <v>0.5</v>
      </c>
      <c r="AG308" s="30">
        <v>100</v>
      </c>
      <c r="AH308" s="30" t="s">
        <v>162</v>
      </c>
      <c r="AI308" s="30" t="s">
        <v>163</v>
      </c>
    </row>
    <row r="309" spans="1:35" ht="15" customHeight="1" x14ac:dyDescent="0.2">
      <c r="A309" s="27" t="s">
        <v>814</v>
      </c>
      <c r="B309" s="27" t="s">
        <v>156</v>
      </c>
      <c r="C309" s="27" t="s">
        <v>157</v>
      </c>
      <c r="D309" s="27" t="s">
        <v>815</v>
      </c>
      <c r="E309" s="28">
        <v>45358</v>
      </c>
      <c r="F309" s="28">
        <v>45393</v>
      </c>
      <c r="G309" s="27" t="s">
        <v>159</v>
      </c>
      <c r="H309" s="27" t="s">
        <v>214</v>
      </c>
      <c r="I309" s="27" t="s">
        <v>215</v>
      </c>
      <c r="J309" s="27" t="s">
        <v>161</v>
      </c>
      <c r="K309" s="28">
        <v>45323</v>
      </c>
      <c r="L309" s="28">
        <v>45351</v>
      </c>
      <c r="M309" s="29">
        <v>9</v>
      </c>
      <c r="N309" s="29">
        <v>3</v>
      </c>
      <c r="O309" s="29">
        <v>2</v>
      </c>
      <c r="P309" s="29">
        <v>4</v>
      </c>
      <c r="Q309" s="29">
        <v>0</v>
      </c>
      <c r="R309" s="29">
        <v>0</v>
      </c>
      <c r="S309" s="29">
        <v>0</v>
      </c>
      <c r="T309" s="29">
        <v>0</v>
      </c>
      <c r="U309" s="30">
        <v>3</v>
      </c>
      <c r="V309" s="30">
        <v>3.3</v>
      </c>
      <c r="W309" s="30">
        <v>18.690000000000001</v>
      </c>
      <c r="X309" s="30">
        <v>22.8</v>
      </c>
      <c r="Z309" s="30">
        <v>0.98</v>
      </c>
      <c r="AA309" s="30">
        <v>9.84</v>
      </c>
      <c r="AB309" s="30">
        <v>7.76</v>
      </c>
      <c r="AD309" s="30">
        <v>4.1100000000000003</v>
      </c>
      <c r="AE309" s="30">
        <v>0.11</v>
      </c>
      <c r="AG309" s="30">
        <v>100</v>
      </c>
      <c r="AH309" s="30" t="s">
        <v>162</v>
      </c>
      <c r="AI309" s="30" t="s">
        <v>163</v>
      </c>
    </row>
    <row r="310" spans="1:35" ht="15" customHeight="1" x14ac:dyDescent="0.2">
      <c r="A310" s="27" t="s">
        <v>762</v>
      </c>
      <c r="B310" s="27" t="s">
        <v>156</v>
      </c>
      <c r="C310" s="27" t="s">
        <v>157</v>
      </c>
      <c r="D310" s="27" t="s">
        <v>763</v>
      </c>
      <c r="E310" s="28">
        <v>45390</v>
      </c>
      <c r="F310" s="28">
        <v>45425</v>
      </c>
      <c r="G310" s="27" t="s">
        <v>159</v>
      </c>
      <c r="H310" s="27" t="s">
        <v>214</v>
      </c>
      <c r="I310" s="27" t="s">
        <v>215</v>
      </c>
      <c r="J310" s="27" t="s">
        <v>161</v>
      </c>
      <c r="K310" s="28">
        <v>45352</v>
      </c>
      <c r="L310" s="28">
        <v>45382</v>
      </c>
      <c r="M310" s="29">
        <v>10</v>
      </c>
      <c r="N310" s="29">
        <v>3</v>
      </c>
      <c r="O310" s="29">
        <v>3</v>
      </c>
      <c r="P310" s="29">
        <v>4</v>
      </c>
      <c r="Q310" s="29">
        <v>0</v>
      </c>
      <c r="R310" s="29">
        <v>0</v>
      </c>
      <c r="S310" s="29">
        <v>0</v>
      </c>
      <c r="T310" s="29">
        <v>0</v>
      </c>
      <c r="U310" s="30">
        <v>3</v>
      </c>
      <c r="V310" s="30">
        <v>3.3</v>
      </c>
      <c r="W310" s="30">
        <v>18.88</v>
      </c>
      <c r="X310" s="30">
        <v>23.03</v>
      </c>
      <c r="Z310" s="30">
        <v>1.08</v>
      </c>
      <c r="AA310" s="30">
        <v>9.86</v>
      </c>
      <c r="AB310" s="30">
        <v>7.81</v>
      </c>
      <c r="AD310" s="30">
        <v>4.1500000000000004</v>
      </c>
      <c r="AE310" s="30">
        <v>0.13</v>
      </c>
      <c r="AG310" s="30">
        <v>100</v>
      </c>
      <c r="AH310" s="30" t="s">
        <v>162</v>
      </c>
      <c r="AI310" s="30" t="s">
        <v>163</v>
      </c>
    </row>
    <row r="311" spans="1:35" ht="15" customHeight="1" x14ac:dyDescent="0.2">
      <c r="A311" s="27" t="s">
        <v>698</v>
      </c>
      <c r="B311" s="27" t="s">
        <v>156</v>
      </c>
      <c r="C311" s="27" t="s">
        <v>157</v>
      </c>
      <c r="D311" s="27" t="s">
        <v>699</v>
      </c>
      <c r="E311" s="28">
        <v>45419</v>
      </c>
      <c r="F311" s="28">
        <v>45454</v>
      </c>
      <c r="G311" s="27" t="s">
        <v>159</v>
      </c>
      <c r="H311" s="27" t="s">
        <v>214</v>
      </c>
      <c r="I311" s="27" t="s">
        <v>215</v>
      </c>
      <c r="J311" s="27" t="s">
        <v>161</v>
      </c>
      <c r="K311" s="28">
        <v>45383</v>
      </c>
      <c r="L311" s="28">
        <v>45412</v>
      </c>
      <c r="M311" s="29">
        <v>9</v>
      </c>
      <c r="N311" s="29">
        <v>3</v>
      </c>
      <c r="O311" s="29">
        <v>2</v>
      </c>
      <c r="P311" s="29">
        <v>4</v>
      </c>
      <c r="Q311" s="29">
        <v>0</v>
      </c>
      <c r="R311" s="29">
        <v>0</v>
      </c>
      <c r="S311" s="29">
        <v>0</v>
      </c>
      <c r="T311" s="29">
        <v>0</v>
      </c>
      <c r="U311" s="30">
        <v>3</v>
      </c>
      <c r="V311" s="30">
        <v>3.3</v>
      </c>
      <c r="W311" s="30">
        <v>19.91</v>
      </c>
      <c r="X311" s="30">
        <v>24.29</v>
      </c>
      <c r="Z311" s="30">
        <v>0.92</v>
      </c>
      <c r="AA311" s="30">
        <v>9.84</v>
      </c>
      <c r="AB311" s="30">
        <v>9.0399999999999991</v>
      </c>
      <c r="AD311" s="30">
        <v>4.38</v>
      </c>
      <c r="AE311" s="30">
        <v>0.11</v>
      </c>
      <c r="AG311" s="30">
        <v>100</v>
      </c>
      <c r="AH311" s="30" t="s">
        <v>162</v>
      </c>
      <c r="AI311" s="30" t="s">
        <v>163</v>
      </c>
    </row>
    <row r="312" spans="1:35" ht="15" customHeight="1" x14ac:dyDescent="0.2">
      <c r="A312" s="27" t="s">
        <v>640</v>
      </c>
      <c r="B312" s="27" t="s">
        <v>156</v>
      </c>
      <c r="C312" s="27" t="s">
        <v>157</v>
      </c>
      <c r="D312" s="27" t="s">
        <v>641</v>
      </c>
      <c r="E312" s="28">
        <v>45449</v>
      </c>
      <c r="F312" s="28">
        <v>45484</v>
      </c>
      <c r="G312" s="27" t="s">
        <v>159</v>
      </c>
      <c r="H312" s="27" t="s">
        <v>214</v>
      </c>
      <c r="I312" s="27" t="s">
        <v>215</v>
      </c>
      <c r="J312" s="27" t="s">
        <v>161</v>
      </c>
      <c r="K312" s="28">
        <v>45413</v>
      </c>
      <c r="L312" s="28">
        <v>45443</v>
      </c>
      <c r="M312" s="29">
        <v>9</v>
      </c>
      <c r="N312" s="29">
        <v>3</v>
      </c>
      <c r="O312" s="29">
        <v>2</v>
      </c>
      <c r="P312" s="29">
        <v>4</v>
      </c>
      <c r="Q312" s="29">
        <v>0</v>
      </c>
      <c r="R312" s="29">
        <v>0</v>
      </c>
      <c r="S312" s="29">
        <v>0</v>
      </c>
      <c r="T312" s="29">
        <v>0</v>
      </c>
      <c r="U312" s="30">
        <v>3</v>
      </c>
      <c r="V312" s="30">
        <v>3.3</v>
      </c>
      <c r="W312" s="30">
        <v>19.989999999999998</v>
      </c>
      <c r="X312" s="30">
        <v>24.39</v>
      </c>
      <c r="Z312" s="30">
        <v>1</v>
      </c>
      <c r="AA312" s="30">
        <v>9.84</v>
      </c>
      <c r="AB312" s="30">
        <v>9.0399999999999991</v>
      </c>
      <c r="AD312" s="30">
        <v>4.4000000000000004</v>
      </c>
      <c r="AE312" s="30">
        <v>0.11</v>
      </c>
      <c r="AG312" s="30">
        <v>100</v>
      </c>
      <c r="AH312" s="30" t="s">
        <v>162</v>
      </c>
      <c r="AI312" s="30" t="s">
        <v>163</v>
      </c>
    </row>
    <row r="313" spans="1:35" ht="15" customHeight="1" x14ac:dyDescent="0.2">
      <c r="A313" s="27" t="s">
        <v>591</v>
      </c>
      <c r="B313" s="27" t="s">
        <v>156</v>
      </c>
      <c r="C313" s="27" t="s">
        <v>157</v>
      </c>
      <c r="D313" s="27" t="s">
        <v>592</v>
      </c>
      <c r="E313" s="28">
        <v>45478</v>
      </c>
      <c r="F313" s="28">
        <v>45513</v>
      </c>
      <c r="G313" s="27" t="s">
        <v>159</v>
      </c>
      <c r="H313" s="27" t="s">
        <v>214</v>
      </c>
      <c r="I313" s="27" t="s">
        <v>215</v>
      </c>
      <c r="J313" s="27" t="s">
        <v>161</v>
      </c>
      <c r="K313" s="28">
        <v>45444</v>
      </c>
      <c r="L313" s="28">
        <v>45473</v>
      </c>
      <c r="M313" s="29">
        <v>8</v>
      </c>
      <c r="N313" s="29">
        <v>2</v>
      </c>
      <c r="O313" s="29">
        <v>2</v>
      </c>
      <c r="P313" s="29">
        <v>4</v>
      </c>
      <c r="Q313" s="29">
        <v>0</v>
      </c>
      <c r="R313" s="29">
        <v>0</v>
      </c>
      <c r="S313" s="29">
        <v>0</v>
      </c>
      <c r="T313" s="29">
        <v>0</v>
      </c>
      <c r="U313" s="30">
        <v>3</v>
      </c>
      <c r="V313" s="30">
        <v>3.3</v>
      </c>
      <c r="W313" s="30">
        <v>19.89</v>
      </c>
      <c r="X313" s="30">
        <v>24.27</v>
      </c>
      <c r="Z313" s="30">
        <v>0.97</v>
      </c>
      <c r="AA313" s="30">
        <v>9.83</v>
      </c>
      <c r="AB313" s="30">
        <v>8.99</v>
      </c>
      <c r="AD313" s="30">
        <v>4.38</v>
      </c>
      <c r="AE313" s="30">
        <v>0.1</v>
      </c>
      <c r="AG313" s="30">
        <v>100</v>
      </c>
      <c r="AH313" s="30" t="s">
        <v>162</v>
      </c>
      <c r="AI313" s="30" t="s">
        <v>163</v>
      </c>
    </row>
    <row r="314" spans="1:35" ht="15" customHeight="1" x14ac:dyDescent="0.2">
      <c r="A314" s="27" t="s">
        <v>532</v>
      </c>
      <c r="B314" s="27" t="s">
        <v>156</v>
      </c>
      <c r="C314" s="27" t="s">
        <v>157</v>
      </c>
      <c r="D314" s="27" t="s">
        <v>533</v>
      </c>
      <c r="E314" s="28">
        <v>45511</v>
      </c>
      <c r="F314" s="28">
        <v>45546</v>
      </c>
      <c r="G314" s="27" t="s">
        <v>159</v>
      </c>
      <c r="H314" s="27" t="s">
        <v>214</v>
      </c>
      <c r="I314" s="27" t="s">
        <v>215</v>
      </c>
      <c r="J314" s="27" t="s">
        <v>161</v>
      </c>
      <c r="K314" s="28">
        <v>45474</v>
      </c>
      <c r="L314" s="28">
        <v>45504</v>
      </c>
      <c r="M314" s="29">
        <v>9</v>
      </c>
      <c r="N314" s="29">
        <v>4</v>
      </c>
      <c r="O314" s="29">
        <v>2</v>
      </c>
      <c r="P314" s="29">
        <v>3</v>
      </c>
      <c r="Q314" s="29">
        <v>0</v>
      </c>
      <c r="R314" s="29">
        <v>0</v>
      </c>
      <c r="S314" s="29">
        <v>0</v>
      </c>
      <c r="T314" s="29">
        <v>0</v>
      </c>
      <c r="U314" s="30">
        <v>3</v>
      </c>
      <c r="V314" s="30">
        <v>3.3</v>
      </c>
      <c r="W314" s="30">
        <v>20.27</v>
      </c>
      <c r="X314" s="30">
        <v>24.73</v>
      </c>
      <c r="Z314" s="30">
        <v>1.28</v>
      </c>
      <c r="AA314" s="30">
        <v>9.84</v>
      </c>
      <c r="AB314" s="30">
        <v>9.0399999999999991</v>
      </c>
      <c r="AD314" s="30">
        <v>4.46</v>
      </c>
      <c r="AE314" s="30">
        <v>0.11</v>
      </c>
      <c r="AG314" s="30">
        <v>100</v>
      </c>
      <c r="AH314" s="30" t="s">
        <v>162</v>
      </c>
      <c r="AI314" s="30" t="s">
        <v>163</v>
      </c>
    </row>
    <row r="315" spans="1:35" ht="15" customHeight="1" x14ac:dyDescent="0.2">
      <c r="A315" s="27" t="s">
        <v>470</v>
      </c>
      <c r="B315" s="27" t="s">
        <v>156</v>
      </c>
      <c r="C315" s="27" t="s">
        <v>157</v>
      </c>
      <c r="D315" s="27" t="s">
        <v>471</v>
      </c>
      <c r="E315" s="28">
        <v>45541</v>
      </c>
      <c r="F315" s="28">
        <v>45576</v>
      </c>
      <c r="G315" s="27" t="s">
        <v>159</v>
      </c>
      <c r="H315" s="27" t="s">
        <v>214</v>
      </c>
      <c r="I315" s="27" t="s">
        <v>215</v>
      </c>
      <c r="J315" s="27" t="s">
        <v>161</v>
      </c>
      <c r="K315" s="28">
        <v>45505</v>
      </c>
      <c r="L315" s="28">
        <v>45535</v>
      </c>
      <c r="M315" s="29">
        <v>8</v>
      </c>
      <c r="N315" s="29">
        <v>2</v>
      </c>
      <c r="O315" s="29">
        <v>2</v>
      </c>
      <c r="P315" s="29">
        <v>4</v>
      </c>
      <c r="Q315" s="29">
        <v>0</v>
      </c>
      <c r="R315" s="29">
        <v>0</v>
      </c>
      <c r="S315" s="29">
        <v>0</v>
      </c>
      <c r="T315" s="29">
        <v>0</v>
      </c>
      <c r="U315" s="30">
        <v>3</v>
      </c>
      <c r="V315" s="30">
        <v>3.3</v>
      </c>
      <c r="W315" s="30">
        <v>20.07</v>
      </c>
      <c r="X315" s="30">
        <v>24.49</v>
      </c>
      <c r="Z315" s="30">
        <v>1.1499999999999999</v>
      </c>
      <c r="AA315" s="30">
        <v>9.83</v>
      </c>
      <c r="AB315" s="30">
        <v>8.99</v>
      </c>
      <c r="AD315" s="30">
        <v>4.42</v>
      </c>
      <c r="AE315" s="30">
        <v>0.1</v>
      </c>
      <c r="AG315" s="30">
        <v>100</v>
      </c>
      <c r="AH315" s="30" t="s">
        <v>162</v>
      </c>
      <c r="AI315" s="30" t="s">
        <v>163</v>
      </c>
    </row>
    <row r="316" spans="1:35" ht="15" customHeight="1" x14ac:dyDescent="0.2">
      <c r="A316" s="27" t="s">
        <v>410</v>
      </c>
      <c r="B316" s="27" t="s">
        <v>156</v>
      </c>
      <c r="C316" s="27" t="s">
        <v>157</v>
      </c>
      <c r="D316" s="27" t="s">
        <v>411</v>
      </c>
      <c r="E316" s="28">
        <v>45571</v>
      </c>
      <c r="F316" s="28">
        <v>45607</v>
      </c>
      <c r="G316" s="27" t="s">
        <v>159</v>
      </c>
      <c r="H316" s="27" t="s">
        <v>214</v>
      </c>
      <c r="I316" s="27" t="s">
        <v>215</v>
      </c>
      <c r="J316" s="27" t="s">
        <v>161</v>
      </c>
      <c r="K316" s="28">
        <v>45536</v>
      </c>
      <c r="L316" s="28">
        <v>45565</v>
      </c>
      <c r="M316" s="29">
        <v>9</v>
      </c>
      <c r="N316" s="29">
        <v>3</v>
      </c>
      <c r="O316" s="29">
        <v>2</v>
      </c>
      <c r="P316" s="29">
        <v>4</v>
      </c>
      <c r="Q316" s="29">
        <v>0</v>
      </c>
      <c r="R316" s="29">
        <v>0</v>
      </c>
      <c r="S316" s="29">
        <v>0</v>
      </c>
      <c r="T316" s="29">
        <v>0</v>
      </c>
      <c r="U316" s="30">
        <v>3</v>
      </c>
      <c r="V316" s="30">
        <v>3.3</v>
      </c>
      <c r="W316" s="30">
        <v>20.18</v>
      </c>
      <c r="X316" s="30">
        <v>24.62</v>
      </c>
      <c r="Z316" s="30">
        <v>1.19</v>
      </c>
      <c r="AA316" s="30">
        <v>9.84</v>
      </c>
      <c r="AB316" s="30">
        <v>9.0399999999999991</v>
      </c>
      <c r="AD316" s="30">
        <v>4.4400000000000004</v>
      </c>
      <c r="AE316" s="30">
        <v>0.11</v>
      </c>
      <c r="AG316" s="30">
        <v>100</v>
      </c>
      <c r="AH316" s="30" t="s">
        <v>162</v>
      </c>
      <c r="AI316" s="30" t="s">
        <v>163</v>
      </c>
    </row>
    <row r="317" spans="1:35" ht="15" customHeight="1" x14ac:dyDescent="0.2">
      <c r="A317" s="27" t="s">
        <v>354</v>
      </c>
      <c r="B317" s="27" t="s">
        <v>156</v>
      </c>
      <c r="C317" s="27" t="s">
        <v>157</v>
      </c>
      <c r="D317" s="27" t="s">
        <v>355</v>
      </c>
      <c r="E317" s="28">
        <v>45604</v>
      </c>
      <c r="F317" s="28">
        <v>45639</v>
      </c>
      <c r="G317" s="27" t="s">
        <v>159</v>
      </c>
      <c r="H317" s="27" t="s">
        <v>214</v>
      </c>
      <c r="I317" s="27" t="s">
        <v>215</v>
      </c>
      <c r="J317" s="27" t="s">
        <v>161</v>
      </c>
      <c r="K317" s="28">
        <v>45566</v>
      </c>
      <c r="L317" s="28">
        <v>45596</v>
      </c>
      <c r="M317" s="29">
        <v>8</v>
      </c>
      <c r="N317" s="29">
        <v>3</v>
      </c>
      <c r="O317" s="29">
        <v>2</v>
      </c>
      <c r="P317" s="29">
        <v>3</v>
      </c>
      <c r="Q317" s="29">
        <v>0</v>
      </c>
      <c r="R317" s="29">
        <v>0</v>
      </c>
      <c r="S317" s="29">
        <v>0</v>
      </c>
      <c r="T317" s="29">
        <v>0</v>
      </c>
      <c r="U317" s="35">
        <v>3</v>
      </c>
      <c r="V317" s="30">
        <v>3.3</v>
      </c>
      <c r="W317" s="30">
        <v>19.989999999999998</v>
      </c>
      <c r="X317" s="30">
        <v>24.39</v>
      </c>
      <c r="Z317" s="30">
        <v>1.07</v>
      </c>
      <c r="AA317" s="30">
        <v>9.83</v>
      </c>
      <c r="AB317" s="30">
        <v>8.99</v>
      </c>
      <c r="AD317" s="30">
        <v>4.4000000000000004</v>
      </c>
      <c r="AE317" s="30">
        <v>0.1</v>
      </c>
      <c r="AG317" s="30">
        <v>100</v>
      </c>
      <c r="AH317" s="30" t="s">
        <v>162</v>
      </c>
      <c r="AI317" s="30" t="s">
        <v>163</v>
      </c>
    </row>
    <row r="318" spans="1:35" ht="15" customHeight="1" x14ac:dyDescent="0.2">
      <c r="A318" s="27" t="s">
        <v>296</v>
      </c>
      <c r="B318" s="27" t="s">
        <v>156</v>
      </c>
      <c r="C318" s="27" t="s">
        <v>157</v>
      </c>
      <c r="D318" s="27" t="s">
        <v>297</v>
      </c>
      <c r="E318" s="28">
        <v>45632</v>
      </c>
      <c r="F318" s="28">
        <v>45667</v>
      </c>
      <c r="G318" s="27" t="s">
        <v>159</v>
      </c>
      <c r="H318" s="27" t="s">
        <v>214</v>
      </c>
      <c r="I318" s="27" t="s">
        <v>215</v>
      </c>
      <c r="J318" s="27" t="s">
        <v>161</v>
      </c>
      <c r="K318" s="28">
        <v>45597</v>
      </c>
      <c r="L318" s="28">
        <v>45626</v>
      </c>
      <c r="M318" s="29">
        <v>10</v>
      </c>
      <c r="N318" s="29">
        <v>3</v>
      </c>
      <c r="O318" s="29">
        <v>2</v>
      </c>
      <c r="P318" s="29">
        <v>5</v>
      </c>
      <c r="Q318" s="29">
        <v>0</v>
      </c>
      <c r="R318" s="29">
        <v>0</v>
      </c>
      <c r="S318" s="29">
        <v>0</v>
      </c>
      <c r="T318" s="29">
        <v>0</v>
      </c>
      <c r="U318" s="30">
        <v>3</v>
      </c>
      <c r="V318" s="30">
        <v>3.3</v>
      </c>
      <c r="W318" s="30">
        <v>20.69</v>
      </c>
      <c r="X318" s="30">
        <v>25.24</v>
      </c>
      <c r="Z318" s="30">
        <v>1.6</v>
      </c>
      <c r="AA318" s="30">
        <v>9.86</v>
      </c>
      <c r="AB318" s="30">
        <v>9.1</v>
      </c>
      <c r="AD318" s="30">
        <v>4.55</v>
      </c>
      <c r="AE318" s="30">
        <v>0.13</v>
      </c>
      <c r="AG318" s="30">
        <v>100</v>
      </c>
      <c r="AH318" s="30" t="s">
        <v>162</v>
      </c>
      <c r="AI318" s="30" t="s">
        <v>163</v>
      </c>
    </row>
    <row r="319" spans="1:35" ht="15" customHeight="1" x14ac:dyDescent="0.2">
      <c r="A319" s="27" t="s">
        <v>212</v>
      </c>
      <c r="B319" s="27" t="s">
        <v>156</v>
      </c>
      <c r="C319" s="27" t="s">
        <v>157</v>
      </c>
      <c r="D319" s="27" t="s">
        <v>213</v>
      </c>
      <c r="E319" s="28">
        <v>45665</v>
      </c>
      <c r="F319" s="28">
        <v>45700</v>
      </c>
      <c r="G319" s="27" t="s">
        <v>159</v>
      </c>
      <c r="H319" s="27" t="s">
        <v>214</v>
      </c>
      <c r="I319" s="27" t="s">
        <v>215</v>
      </c>
      <c r="J319" s="27" t="s">
        <v>161</v>
      </c>
      <c r="K319" s="28">
        <v>45627</v>
      </c>
      <c r="L319" s="28">
        <v>45657</v>
      </c>
      <c r="M319" s="29">
        <v>12</v>
      </c>
      <c r="N319" s="29">
        <v>3</v>
      </c>
      <c r="O319" s="29">
        <v>3</v>
      </c>
      <c r="P319" s="29">
        <v>6</v>
      </c>
      <c r="Q319" s="29">
        <v>0</v>
      </c>
      <c r="R319" s="29">
        <v>0</v>
      </c>
      <c r="S319" s="29">
        <v>0</v>
      </c>
      <c r="T319" s="29">
        <v>0</v>
      </c>
      <c r="U319" s="30">
        <v>3</v>
      </c>
      <c r="V319" s="30">
        <v>3.3</v>
      </c>
      <c r="W319" s="30">
        <v>21.22</v>
      </c>
      <c r="X319" s="30">
        <v>25.89</v>
      </c>
      <c r="Z319" s="30">
        <v>2</v>
      </c>
      <c r="AA319" s="30">
        <v>9.8800000000000008</v>
      </c>
      <c r="AB319" s="30">
        <v>9.19</v>
      </c>
      <c r="AD319" s="30">
        <v>4.67</v>
      </c>
      <c r="AE319" s="30">
        <v>0.15</v>
      </c>
      <c r="AG319" s="30">
        <v>100</v>
      </c>
      <c r="AH319" s="30" t="s">
        <v>162</v>
      </c>
      <c r="AI319" s="30" t="s">
        <v>163</v>
      </c>
    </row>
    <row r="320" spans="1:35" ht="15" customHeight="1" x14ac:dyDescent="0.2">
      <c r="A320" s="27" t="s">
        <v>859</v>
      </c>
      <c r="B320" s="27" t="s">
        <v>839</v>
      </c>
      <c r="C320" s="27" t="s">
        <v>840</v>
      </c>
      <c r="D320" s="27" t="s">
        <v>860</v>
      </c>
      <c r="E320" s="28">
        <v>45350</v>
      </c>
      <c r="F320" s="28">
        <v>45380</v>
      </c>
      <c r="G320" s="27" t="s">
        <v>159</v>
      </c>
      <c r="H320" s="27" t="s">
        <v>861</v>
      </c>
      <c r="I320" s="27" t="s">
        <v>94</v>
      </c>
      <c r="J320" s="27" t="s">
        <v>843</v>
      </c>
      <c r="K320" s="28">
        <v>45292</v>
      </c>
      <c r="L320" s="28">
        <v>45322</v>
      </c>
      <c r="M320" s="29">
        <v>28</v>
      </c>
      <c r="N320" s="29">
        <v>9</v>
      </c>
      <c r="O320" s="29">
        <v>6</v>
      </c>
      <c r="P320" s="29">
        <v>13</v>
      </c>
      <c r="Q320" s="29">
        <v>401</v>
      </c>
      <c r="R320" s="29">
        <v>130</v>
      </c>
      <c r="S320" s="29">
        <v>85</v>
      </c>
      <c r="T320" s="29">
        <v>186</v>
      </c>
      <c r="U320" s="35">
        <v>3</v>
      </c>
      <c r="V320" s="30">
        <v>3.3</v>
      </c>
      <c r="W320" s="30">
        <v>23.49</v>
      </c>
      <c r="X320" s="30">
        <v>28.66</v>
      </c>
      <c r="Z320" s="30">
        <v>4.3600000000000003</v>
      </c>
      <c r="AA320" s="30">
        <v>10.09</v>
      </c>
      <c r="AB320" s="30">
        <v>8.5500000000000007</v>
      </c>
      <c r="AC320" s="35">
        <v>0.14000000000000001</v>
      </c>
      <c r="AD320" s="30">
        <v>0.35</v>
      </c>
      <c r="AE320" s="30">
        <v>5.17</v>
      </c>
      <c r="AG320" s="30">
        <v>100</v>
      </c>
      <c r="AH320" s="30" t="s">
        <v>162</v>
      </c>
      <c r="AI320" s="30" t="s">
        <v>851</v>
      </c>
    </row>
    <row r="321" spans="1:35" ht="15" customHeight="1" x14ac:dyDescent="0.2">
      <c r="A321" s="27" t="s">
        <v>816</v>
      </c>
      <c r="B321" s="27" t="s">
        <v>156</v>
      </c>
      <c r="C321" s="27" t="s">
        <v>157</v>
      </c>
      <c r="D321" s="27" t="s">
        <v>817</v>
      </c>
      <c r="E321" s="28">
        <v>45358</v>
      </c>
      <c r="F321" s="28">
        <v>45393</v>
      </c>
      <c r="G321" s="27" t="s">
        <v>159</v>
      </c>
      <c r="H321" s="27" t="s">
        <v>218</v>
      </c>
      <c r="I321" s="27" t="s">
        <v>94</v>
      </c>
      <c r="J321" s="27" t="s">
        <v>161</v>
      </c>
      <c r="K321" s="28">
        <v>45323</v>
      </c>
      <c r="L321" s="28">
        <v>45351</v>
      </c>
      <c r="M321" s="29">
        <v>26</v>
      </c>
      <c r="N321" s="29">
        <v>8</v>
      </c>
      <c r="O321" s="29">
        <v>6</v>
      </c>
      <c r="P321" s="29">
        <v>12</v>
      </c>
      <c r="Q321" s="29">
        <v>369</v>
      </c>
      <c r="R321" s="29">
        <v>121</v>
      </c>
      <c r="S321" s="29">
        <v>89</v>
      </c>
      <c r="T321" s="29">
        <v>159</v>
      </c>
      <c r="U321" s="30">
        <v>3</v>
      </c>
      <c r="V321" s="30">
        <v>3.3</v>
      </c>
      <c r="W321" s="30">
        <v>21.96</v>
      </c>
      <c r="X321" s="30">
        <v>26.79</v>
      </c>
      <c r="Z321" s="30">
        <v>3.11</v>
      </c>
      <c r="AA321" s="30">
        <v>10.06</v>
      </c>
      <c r="AB321" s="30">
        <v>8.4600000000000009</v>
      </c>
      <c r="AC321" s="33"/>
      <c r="AD321" s="30">
        <v>4.83</v>
      </c>
      <c r="AE321" s="30">
        <v>0.33</v>
      </c>
      <c r="AG321" s="30">
        <v>100</v>
      </c>
      <c r="AH321" s="30" t="s">
        <v>162</v>
      </c>
      <c r="AI321" s="30" t="s">
        <v>163</v>
      </c>
    </row>
    <row r="322" spans="1:35" ht="15" customHeight="1" x14ac:dyDescent="0.2">
      <c r="A322" s="27" t="s">
        <v>764</v>
      </c>
      <c r="B322" s="27" t="s">
        <v>156</v>
      </c>
      <c r="C322" s="27" t="s">
        <v>157</v>
      </c>
      <c r="D322" s="27" t="s">
        <v>765</v>
      </c>
      <c r="E322" s="28">
        <v>45390</v>
      </c>
      <c r="F322" s="28">
        <v>45425</v>
      </c>
      <c r="G322" s="27" t="s">
        <v>159</v>
      </c>
      <c r="H322" s="27" t="s">
        <v>218</v>
      </c>
      <c r="I322" s="27" t="s">
        <v>94</v>
      </c>
      <c r="J322" s="27" t="s">
        <v>161</v>
      </c>
      <c r="K322" s="28">
        <v>45352</v>
      </c>
      <c r="L322" s="28">
        <v>45382</v>
      </c>
      <c r="M322" s="29">
        <v>28</v>
      </c>
      <c r="N322" s="29">
        <v>9</v>
      </c>
      <c r="O322" s="29">
        <v>7</v>
      </c>
      <c r="P322" s="29">
        <v>12</v>
      </c>
      <c r="Q322" s="29">
        <v>377</v>
      </c>
      <c r="R322" s="29">
        <v>119</v>
      </c>
      <c r="S322" s="29">
        <v>93</v>
      </c>
      <c r="T322" s="29">
        <v>165</v>
      </c>
      <c r="U322" s="30">
        <v>3</v>
      </c>
      <c r="V322" s="30">
        <v>3.3</v>
      </c>
      <c r="W322" s="30">
        <v>22.26</v>
      </c>
      <c r="X322" s="30">
        <v>27.16</v>
      </c>
      <c r="Z322" s="30">
        <v>3.27</v>
      </c>
      <c r="AA322" s="30">
        <v>10.09</v>
      </c>
      <c r="AB322" s="30">
        <v>8.5500000000000007</v>
      </c>
      <c r="AC322" s="33"/>
      <c r="AD322" s="30">
        <v>4.9000000000000004</v>
      </c>
      <c r="AE322" s="30">
        <v>0.35</v>
      </c>
      <c r="AG322" s="30">
        <v>100</v>
      </c>
      <c r="AH322" s="30" t="s">
        <v>162</v>
      </c>
      <c r="AI322" s="30" t="s">
        <v>163</v>
      </c>
    </row>
    <row r="323" spans="1:35" ht="15" customHeight="1" x14ac:dyDescent="0.2">
      <c r="A323" s="27" t="s">
        <v>700</v>
      </c>
      <c r="B323" s="27" t="s">
        <v>156</v>
      </c>
      <c r="C323" s="27" t="s">
        <v>157</v>
      </c>
      <c r="D323" s="27" t="s">
        <v>701</v>
      </c>
      <c r="E323" s="28">
        <v>45419</v>
      </c>
      <c r="F323" s="28">
        <v>45454</v>
      </c>
      <c r="G323" s="27" t="s">
        <v>159</v>
      </c>
      <c r="H323" s="27" t="s">
        <v>218</v>
      </c>
      <c r="I323" s="27" t="s">
        <v>94</v>
      </c>
      <c r="J323" s="27" t="s">
        <v>161</v>
      </c>
      <c r="K323" s="28">
        <v>45383</v>
      </c>
      <c r="L323" s="28">
        <v>45391</v>
      </c>
      <c r="M323" s="29">
        <v>26</v>
      </c>
      <c r="N323" s="29">
        <v>7</v>
      </c>
      <c r="O323" s="29">
        <v>6</v>
      </c>
      <c r="P323" s="29">
        <v>13</v>
      </c>
      <c r="Q323" s="29">
        <v>120</v>
      </c>
      <c r="R323" s="29">
        <v>37</v>
      </c>
      <c r="S323" s="29">
        <v>25</v>
      </c>
      <c r="T323" s="29">
        <v>58</v>
      </c>
      <c r="U323" s="30">
        <v>3</v>
      </c>
      <c r="V323" s="30">
        <v>3.3</v>
      </c>
      <c r="W323" s="30">
        <v>23.21</v>
      </c>
      <c r="X323" s="30">
        <v>28.32</v>
      </c>
      <c r="Z323" s="30">
        <v>2.96</v>
      </c>
      <c r="AA323" s="30">
        <v>10.07</v>
      </c>
      <c r="AB323" s="30">
        <v>9.86</v>
      </c>
      <c r="AC323" s="33"/>
      <c r="AD323" s="30">
        <v>5.1100000000000003</v>
      </c>
      <c r="AE323" s="30">
        <v>0.11</v>
      </c>
      <c r="AG323" s="30">
        <v>100</v>
      </c>
      <c r="AH323" s="30" t="s">
        <v>162</v>
      </c>
      <c r="AI323" s="30" t="s">
        <v>163</v>
      </c>
    </row>
    <row r="324" spans="1:35" ht="15" customHeight="1" x14ac:dyDescent="0.2">
      <c r="A324" s="27" t="s">
        <v>642</v>
      </c>
      <c r="B324" s="27" t="s">
        <v>156</v>
      </c>
      <c r="C324" s="27" t="s">
        <v>157</v>
      </c>
      <c r="D324" s="27" t="s">
        <v>643</v>
      </c>
      <c r="E324" s="28">
        <v>45449</v>
      </c>
      <c r="F324" s="28">
        <v>45484</v>
      </c>
      <c r="G324" s="27" t="s">
        <v>159</v>
      </c>
      <c r="H324" s="27" t="s">
        <v>218</v>
      </c>
      <c r="I324" s="27" t="s">
        <v>94</v>
      </c>
      <c r="J324" s="27" t="s">
        <v>161</v>
      </c>
      <c r="K324" s="28">
        <v>45413</v>
      </c>
      <c r="L324" s="28">
        <v>45443</v>
      </c>
      <c r="M324" s="29">
        <v>23</v>
      </c>
      <c r="N324" s="29">
        <v>7</v>
      </c>
      <c r="O324" s="29">
        <v>5</v>
      </c>
      <c r="P324" s="29">
        <v>11</v>
      </c>
      <c r="Q324" s="29">
        <v>12</v>
      </c>
      <c r="R324" s="29">
        <v>5</v>
      </c>
      <c r="S324" s="29">
        <v>3</v>
      </c>
      <c r="T324" s="29">
        <v>4</v>
      </c>
      <c r="U324" s="30">
        <v>3</v>
      </c>
      <c r="V324" s="30">
        <v>3.3</v>
      </c>
      <c r="W324" s="30">
        <v>22.88</v>
      </c>
      <c r="X324" s="30">
        <v>27.91</v>
      </c>
      <c r="Z324" s="30">
        <v>2.84</v>
      </c>
      <c r="AA324" s="30">
        <v>10.029999999999999</v>
      </c>
      <c r="AB324" s="30">
        <v>9.7200000000000006</v>
      </c>
      <c r="AD324" s="30">
        <v>5.03</v>
      </c>
      <c r="AE324" s="30">
        <v>0.28999999999999998</v>
      </c>
      <c r="AG324" s="30">
        <v>100</v>
      </c>
      <c r="AH324" s="30" t="s">
        <v>162</v>
      </c>
      <c r="AI324" s="30" t="s">
        <v>163</v>
      </c>
    </row>
    <row r="325" spans="1:35" ht="15" customHeight="1" x14ac:dyDescent="0.2">
      <c r="A325" s="27" t="s">
        <v>593</v>
      </c>
      <c r="B325" s="27" t="s">
        <v>156</v>
      </c>
      <c r="C325" s="27" t="s">
        <v>157</v>
      </c>
      <c r="D325" s="27" t="s">
        <v>566</v>
      </c>
      <c r="E325" s="28">
        <v>45478</v>
      </c>
      <c r="F325" s="28">
        <v>45513</v>
      </c>
      <c r="G325" s="27" t="s">
        <v>159</v>
      </c>
      <c r="H325" s="27" t="s">
        <v>218</v>
      </c>
      <c r="I325" s="27" t="s">
        <v>94</v>
      </c>
      <c r="J325" s="27" t="s">
        <v>161</v>
      </c>
      <c r="K325" s="28">
        <v>45444</v>
      </c>
      <c r="L325" s="28">
        <v>45473</v>
      </c>
      <c r="M325" s="29">
        <v>20</v>
      </c>
      <c r="N325" s="29">
        <v>5</v>
      </c>
      <c r="O325" s="29">
        <v>5</v>
      </c>
      <c r="P325" s="29">
        <v>10</v>
      </c>
      <c r="Q325" s="29">
        <v>23</v>
      </c>
      <c r="R325" s="29">
        <v>10</v>
      </c>
      <c r="S325" s="29">
        <v>7</v>
      </c>
      <c r="T325" s="29">
        <v>6</v>
      </c>
      <c r="U325" s="30">
        <v>3</v>
      </c>
      <c r="V325" s="30">
        <v>3.3</v>
      </c>
      <c r="W325" s="30">
        <v>22.58</v>
      </c>
      <c r="X325" s="30">
        <v>27.55</v>
      </c>
      <c r="Z325" s="30">
        <v>2.78</v>
      </c>
      <c r="AA325" s="30">
        <v>9.98</v>
      </c>
      <c r="AB325" s="30">
        <v>9.57</v>
      </c>
      <c r="AC325" s="33"/>
      <c r="AD325" s="30">
        <v>4.97</v>
      </c>
      <c r="AE325" s="30">
        <v>0.25</v>
      </c>
      <c r="AG325" s="30">
        <v>100</v>
      </c>
      <c r="AH325" s="30" t="s">
        <v>162</v>
      </c>
      <c r="AI325" s="30" t="s">
        <v>163</v>
      </c>
    </row>
    <row r="326" spans="1:35" ht="15" customHeight="1" x14ac:dyDescent="0.2">
      <c r="A326" s="27" t="s">
        <v>500</v>
      </c>
      <c r="B326" s="27" t="s">
        <v>156</v>
      </c>
      <c r="C326" s="27" t="s">
        <v>157</v>
      </c>
      <c r="D326" s="27" t="s">
        <v>501</v>
      </c>
      <c r="E326" s="28">
        <v>45513</v>
      </c>
      <c r="F326" s="28">
        <v>45548</v>
      </c>
      <c r="G326" s="27" t="s">
        <v>159</v>
      </c>
      <c r="H326" s="27" t="s">
        <v>218</v>
      </c>
      <c r="I326" s="27" t="s">
        <v>94</v>
      </c>
      <c r="J326" s="27" t="s">
        <v>161</v>
      </c>
      <c r="K326" s="28">
        <v>45474</v>
      </c>
      <c r="L326" s="28">
        <v>45504</v>
      </c>
      <c r="M326" s="29">
        <v>19</v>
      </c>
      <c r="N326" s="29">
        <v>5</v>
      </c>
      <c r="O326" s="29">
        <v>4</v>
      </c>
      <c r="P326" s="29">
        <v>10</v>
      </c>
      <c r="Q326" s="29">
        <v>23</v>
      </c>
      <c r="R326" s="29">
        <v>12</v>
      </c>
      <c r="S326" s="29">
        <v>6</v>
      </c>
      <c r="T326" s="29">
        <v>5</v>
      </c>
      <c r="U326" s="30">
        <v>3</v>
      </c>
      <c r="V326" s="30">
        <v>3.3</v>
      </c>
      <c r="W326" s="30">
        <v>22.63</v>
      </c>
      <c r="X326" s="30">
        <v>27.61</v>
      </c>
      <c r="Z326" s="30">
        <v>2.89</v>
      </c>
      <c r="AA326" s="30">
        <v>9.9700000000000006</v>
      </c>
      <c r="AB326" s="30">
        <v>9.5299999999999994</v>
      </c>
      <c r="AC326" s="33"/>
      <c r="AD326" s="30">
        <v>4.9800000000000004</v>
      </c>
      <c r="AE326" s="30">
        <v>0.24</v>
      </c>
      <c r="AG326" s="30">
        <v>100</v>
      </c>
      <c r="AH326" s="30" t="s">
        <v>162</v>
      </c>
      <c r="AI326" s="30" t="s">
        <v>163</v>
      </c>
    </row>
    <row r="327" spans="1:35" ht="15" customHeight="1" x14ac:dyDescent="0.2">
      <c r="A327" s="27" t="s">
        <v>472</v>
      </c>
      <c r="B327" s="27" t="s">
        <v>156</v>
      </c>
      <c r="C327" s="27" t="s">
        <v>157</v>
      </c>
      <c r="D327" s="27" t="s">
        <v>473</v>
      </c>
      <c r="E327" s="28">
        <v>45541</v>
      </c>
      <c r="F327" s="28">
        <v>45576</v>
      </c>
      <c r="G327" s="27" t="s">
        <v>159</v>
      </c>
      <c r="H327" s="27" t="s">
        <v>218</v>
      </c>
      <c r="I327" s="27" t="s">
        <v>94</v>
      </c>
      <c r="J327" s="27" t="s">
        <v>161</v>
      </c>
      <c r="K327" s="28">
        <v>45505</v>
      </c>
      <c r="L327" s="28">
        <v>45535</v>
      </c>
      <c r="M327" s="29">
        <v>98</v>
      </c>
      <c r="N327" s="29">
        <v>28</v>
      </c>
      <c r="O327" s="29">
        <v>22</v>
      </c>
      <c r="P327" s="29">
        <v>48</v>
      </c>
      <c r="Q327" s="29">
        <v>182</v>
      </c>
      <c r="R327" s="29">
        <v>66</v>
      </c>
      <c r="S327" s="29">
        <v>42</v>
      </c>
      <c r="T327" s="29">
        <v>74</v>
      </c>
      <c r="U327" s="30">
        <v>3</v>
      </c>
      <c r="V327" s="30">
        <v>3.3</v>
      </c>
      <c r="W327" s="30">
        <v>20.52</v>
      </c>
      <c r="X327" s="30">
        <v>25.03</v>
      </c>
      <c r="Z327" s="30">
        <v>1.44</v>
      </c>
      <c r="AA327" s="30">
        <v>9.86</v>
      </c>
      <c r="AB327" s="30">
        <v>9.1</v>
      </c>
      <c r="AC327" s="33"/>
      <c r="AD327" s="30">
        <v>4.51</v>
      </c>
      <c r="AE327" s="30">
        <v>0.13</v>
      </c>
      <c r="AG327" s="30">
        <v>100</v>
      </c>
      <c r="AH327" s="30" t="s">
        <v>162</v>
      </c>
      <c r="AI327" s="30" t="s">
        <v>163</v>
      </c>
    </row>
    <row r="328" spans="1:35" ht="15" customHeight="1" x14ac:dyDescent="0.2">
      <c r="A328" s="27" t="s">
        <v>412</v>
      </c>
      <c r="B328" s="27" t="s">
        <v>156</v>
      </c>
      <c r="C328" s="27" t="s">
        <v>157</v>
      </c>
      <c r="D328" s="27" t="s">
        <v>413</v>
      </c>
      <c r="E328" s="28">
        <v>45571</v>
      </c>
      <c r="F328" s="28">
        <v>45607</v>
      </c>
      <c r="G328" s="27" t="s">
        <v>159</v>
      </c>
      <c r="H328" s="27" t="s">
        <v>218</v>
      </c>
      <c r="I328" s="27" t="s">
        <v>94</v>
      </c>
      <c r="J328" s="27" t="s">
        <v>161</v>
      </c>
      <c r="K328" s="28">
        <v>45536</v>
      </c>
      <c r="L328" s="28">
        <v>45565</v>
      </c>
      <c r="M328" s="29">
        <v>20</v>
      </c>
      <c r="N328" s="29">
        <v>5</v>
      </c>
      <c r="O328" s="29">
        <v>5</v>
      </c>
      <c r="P328" s="29">
        <v>10</v>
      </c>
      <c r="Q328" s="29">
        <v>20</v>
      </c>
      <c r="R328" s="29">
        <v>11</v>
      </c>
      <c r="S328" s="29">
        <v>5</v>
      </c>
      <c r="T328" s="29">
        <v>4</v>
      </c>
      <c r="U328" s="30">
        <v>3</v>
      </c>
      <c r="V328" s="30">
        <v>3.3</v>
      </c>
      <c r="W328" s="30">
        <v>22.82</v>
      </c>
      <c r="X328" s="30">
        <v>27.84</v>
      </c>
      <c r="Z328" s="30">
        <v>3.02</v>
      </c>
      <c r="AA328" s="30">
        <v>9.98</v>
      </c>
      <c r="AB328" s="30">
        <v>9.57</v>
      </c>
      <c r="AC328" s="33"/>
      <c r="AD328" s="30">
        <v>5.0199999999999996</v>
      </c>
      <c r="AE328" s="30">
        <v>0.25</v>
      </c>
      <c r="AG328" s="30">
        <v>100</v>
      </c>
      <c r="AH328" s="30" t="s">
        <v>162</v>
      </c>
      <c r="AI328" s="30" t="s">
        <v>163</v>
      </c>
    </row>
    <row r="329" spans="1:35" ht="15" customHeight="1" x14ac:dyDescent="0.2">
      <c r="A329" s="27" t="s">
        <v>356</v>
      </c>
      <c r="B329" s="27" t="s">
        <v>156</v>
      </c>
      <c r="C329" s="27" t="s">
        <v>157</v>
      </c>
      <c r="D329" s="27" t="s">
        <v>357</v>
      </c>
      <c r="E329" s="28">
        <v>45604</v>
      </c>
      <c r="F329" s="28">
        <v>45639</v>
      </c>
      <c r="G329" s="27" t="s">
        <v>159</v>
      </c>
      <c r="H329" s="27" t="s">
        <v>218</v>
      </c>
      <c r="I329" s="27" t="s">
        <v>94</v>
      </c>
      <c r="J329" s="27" t="s">
        <v>161</v>
      </c>
      <c r="K329" s="28">
        <v>45566</v>
      </c>
      <c r="L329" s="28">
        <v>45596</v>
      </c>
      <c r="M329" s="29">
        <v>22</v>
      </c>
      <c r="N329" s="29">
        <v>5</v>
      </c>
      <c r="O329" s="29">
        <v>6</v>
      </c>
      <c r="P329" s="29">
        <v>11</v>
      </c>
      <c r="Q329" s="29">
        <v>16</v>
      </c>
      <c r="R329" s="29">
        <v>11</v>
      </c>
      <c r="S329" s="29">
        <v>3</v>
      </c>
      <c r="T329" s="29">
        <v>2</v>
      </c>
      <c r="U329" s="30">
        <v>3</v>
      </c>
      <c r="V329" s="30">
        <v>3.3</v>
      </c>
      <c r="W329" s="30">
        <v>23.27</v>
      </c>
      <c r="X329" s="30">
        <v>28.39</v>
      </c>
      <c r="Z329" s="30">
        <v>3.3</v>
      </c>
      <c r="AA329" s="30">
        <v>10.02</v>
      </c>
      <c r="AB329" s="30">
        <v>9.67</v>
      </c>
      <c r="AC329" s="33"/>
      <c r="AD329" s="30">
        <v>5.12</v>
      </c>
      <c r="AE329" s="30">
        <v>0.28000000000000003</v>
      </c>
      <c r="AG329" s="30">
        <v>100</v>
      </c>
      <c r="AH329" s="30" t="s">
        <v>162</v>
      </c>
      <c r="AI329" s="30" t="s">
        <v>163</v>
      </c>
    </row>
    <row r="330" spans="1:35" ht="15" customHeight="1" x14ac:dyDescent="0.2">
      <c r="A330" s="27" t="s">
        <v>298</v>
      </c>
      <c r="B330" s="27" t="s">
        <v>156</v>
      </c>
      <c r="C330" s="27" t="s">
        <v>157</v>
      </c>
      <c r="D330" s="27" t="s">
        <v>299</v>
      </c>
      <c r="E330" s="28">
        <v>45632</v>
      </c>
      <c r="F330" s="28">
        <v>45667</v>
      </c>
      <c r="G330" s="27" t="s">
        <v>159</v>
      </c>
      <c r="H330" s="27" t="s">
        <v>218</v>
      </c>
      <c r="I330" s="27" t="s">
        <v>94</v>
      </c>
      <c r="J330" s="27" t="s">
        <v>161</v>
      </c>
      <c r="K330" s="28">
        <v>45597</v>
      </c>
      <c r="L330" s="28">
        <v>45626</v>
      </c>
      <c r="M330" s="29">
        <v>20</v>
      </c>
      <c r="N330" s="29">
        <v>5</v>
      </c>
      <c r="O330" s="29">
        <v>5</v>
      </c>
      <c r="P330" s="29">
        <v>10</v>
      </c>
      <c r="Q330" s="29">
        <v>14</v>
      </c>
      <c r="R330" s="29">
        <v>8</v>
      </c>
      <c r="S330" s="29">
        <v>3</v>
      </c>
      <c r="T330" s="29">
        <v>3</v>
      </c>
      <c r="U330" s="30">
        <v>3</v>
      </c>
      <c r="V330" s="30">
        <v>3.3</v>
      </c>
      <c r="W330" s="30">
        <v>23.16</v>
      </c>
      <c r="X330" s="30">
        <v>28.26</v>
      </c>
      <c r="Z330" s="30">
        <v>3.36</v>
      </c>
      <c r="AA330" s="30">
        <v>9.98</v>
      </c>
      <c r="AB330" s="30">
        <v>9.57</v>
      </c>
      <c r="AC330" s="33"/>
      <c r="AD330" s="30">
        <v>5.0999999999999996</v>
      </c>
      <c r="AE330" s="30">
        <v>0.25</v>
      </c>
      <c r="AG330" s="30">
        <v>100</v>
      </c>
      <c r="AH330" s="30" t="s">
        <v>162</v>
      </c>
      <c r="AI330" s="30" t="s">
        <v>163</v>
      </c>
    </row>
    <row r="331" spans="1:35" ht="15" customHeight="1" x14ac:dyDescent="0.2">
      <c r="A331" s="27" t="s">
        <v>216</v>
      </c>
      <c r="B331" s="27" t="s">
        <v>156</v>
      </c>
      <c r="C331" s="27" t="s">
        <v>157</v>
      </c>
      <c r="D331" s="27" t="s">
        <v>217</v>
      </c>
      <c r="E331" s="28">
        <v>45665</v>
      </c>
      <c r="F331" s="28">
        <v>45700</v>
      </c>
      <c r="G331" s="27" t="s">
        <v>159</v>
      </c>
      <c r="H331" s="27" t="s">
        <v>218</v>
      </c>
      <c r="I331" s="27" t="s">
        <v>94</v>
      </c>
      <c r="J331" s="27" t="s">
        <v>161</v>
      </c>
      <c r="K331" s="28">
        <v>45627</v>
      </c>
      <c r="L331" s="28">
        <v>45657</v>
      </c>
      <c r="M331" s="29">
        <v>23</v>
      </c>
      <c r="N331" s="29">
        <v>5</v>
      </c>
      <c r="O331" s="29">
        <v>5</v>
      </c>
      <c r="P331" s="29">
        <v>13</v>
      </c>
      <c r="Q331" s="29">
        <v>13</v>
      </c>
      <c r="R331" s="29">
        <v>8</v>
      </c>
      <c r="S331" s="29">
        <v>2</v>
      </c>
      <c r="T331" s="29">
        <v>3</v>
      </c>
      <c r="U331" s="30">
        <v>3</v>
      </c>
      <c r="V331" s="30">
        <v>3.3</v>
      </c>
      <c r="W331" s="30">
        <v>24.03</v>
      </c>
      <c r="X331" s="30">
        <v>29.32</v>
      </c>
      <c r="Z331" s="30">
        <v>3.99</v>
      </c>
      <c r="AA331" s="30">
        <v>10.029999999999999</v>
      </c>
      <c r="AB331" s="30">
        <v>9.7200000000000006</v>
      </c>
      <c r="AC331" s="33"/>
      <c r="AD331" s="30">
        <v>5.29</v>
      </c>
      <c r="AE331" s="30">
        <v>0.28999999999999998</v>
      </c>
      <c r="AG331" s="30">
        <v>100</v>
      </c>
      <c r="AH331" s="30" t="s">
        <v>162</v>
      </c>
      <c r="AI331" s="30" t="s">
        <v>163</v>
      </c>
    </row>
    <row r="332" spans="1:35" ht="15" customHeight="1" x14ac:dyDescent="0.2">
      <c r="A332" s="27" t="s">
        <v>910</v>
      </c>
      <c r="B332" s="27" t="s">
        <v>839</v>
      </c>
      <c r="C332" s="27" t="s">
        <v>840</v>
      </c>
      <c r="D332" s="27" t="s">
        <v>911</v>
      </c>
      <c r="E332" s="28">
        <v>45349</v>
      </c>
      <c r="F332" s="28">
        <v>45379</v>
      </c>
      <c r="G332" s="27" t="s">
        <v>159</v>
      </c>
      <c r="H332" s="27" t="s">
        <v>912</v>
      </c>
      <c r="I332" s="27" t="s">
        <v>100</v>
      </c>
      <c r="J332" s="27" t="s">
        <v>843</v>
      </c>
      <c r="K332" s="28">
        <v>45292</v>
      </c>
      <c r="L332" s="28">
        <v>45322</v>
      </c>
      <c r="M332" s="29">
        <v>1025</v>
      </c>
      <c r="N332" s="29">
        <v>175</v>
      </c>
      <c r="O332" s="29">
        <v>325</v>
      </c>
      <c r="P332" s="29">
        <v>525</v>
      </c>
      <c r="Q332" s="29">
        <v>0</v>
      </c>
      <c r="R332" s="29">
        <v>0</v>
      </c>
      <c r="S332" s="29">
        <v>0</v>
      </c>
      <c r="T332" s="29">
        <v>0</v>
      </c>
      <c r="U332" s="30">
        <v>55</v>
      </c>
      <c r="V332" s="30">
        <v>55</v>
      </c>
      <c r="W332" s="30">
        <v>254.08</v>
      </c>
      <c r="X332" s="30">
        <v>309.98</v>
      </c>
      <c r="Z332" s="30">
        <v>157.78</v>
      </c>
      <c r="AA332" s="30">
        <v>27.47</v>
      </c>
      <c r="AB332" s="30">
        <v>50.89</v>
      </c>
      <c r="AC332" s="30">
        <v>5.13</v>
      </c>
      <c r="AD332" s="30">
        <v>12.81</v>
      </c>
      <c r="AE332" s="30">
        <v>55.9</v>
      </c>
      <c r="AG332" s="30">
        <v>100</v>
      </c>
      <c r="AH332" s="30" t="s">
        <v>162</v>
      </c>
      <c r="AI332" s="30" t="s">
        <v>851</v>
      </c>
    </row>
    <row r="333" spans="1:35" ht="15" customHeight="1" x14ac:dyDescent="0.2">
      <c r="A333" s="27" t="s">
        <v>810</v>
      </c>
      <c r="B333" s="27" t="s">
        <v>156</v>
      </c>
      <c r="C333" s="27" t="s">
        <v>157</v>
      </c>
      <c r="D333" s="27" t="s">
        <v>811</v>
      </c>
      <c r="E333" s="28">
        <v>45358</v>
      </c>
      <c r="F333" s="28">
        <v>45393</v>
      </c>
      <c r="G333" s="27" t="s">
        <v>159</v>
      </c>
      <c r="H333" s="27" t="s">
        <v>208</v>
      </c>
      <c r="I333" s="27" t="s">
        <v>100</v>
      </c>
      <c r="J333" s="27" t="s">
        <v>161</v>
      </c>
      <c r="K333" s="28">
        <v>45323</v>
      </c>
      <c r="L333" s="28">
        <v>45351</v>
      </c>
      <c r="M333" s="29">
        <v>816</v>
      </c>
      <c r="N333" s="29">
        <v>160</v>
      </c>
      <c r="O333" s="29">
        <v>300</v>
      </c>
      <c r="P333" s="29">
        <v>356</v>
      </c>
      <c r="Q333" s="29">
        <v>14</v>
      </c>
      <c r="R333" s="29">
        <v>12</v>
      </c>
      <c r="S333" s="29">
        <v>1</v>
      </c>
      <c r="T333" s="29">
        <v>1</v>
      </c>
      <c r="U333" s="33"/>
      <c r="V333" s="30">
        <v>55</v>
      </c>
      <c r="W333" s="30">
        <v>165.91</v>
      </c>
      <c r="X333" s="30">
        <v>202.41</v>
      </c>
      <c r="Z333" s="30">
        <v>93.67</v>
      </c>
      <c r="AA333" s="30">
        <v>20.88</v>
      </c>
      <c r="AB333" s="30">
        <v>41.16</v>
      </c>
      <c r="AC333" s="33"/>
      <c r="AD333" s="30">
        <v>36.5</v>
      </c>
      <c r="AE333" s="30">
        <v>10.199999999999999</v>
      </c>
      <c r="AG333" s="30">
        <v>93</v>
      </c>
      <c r="AH333" s="30" t="s">
        <v>177</v>
      </c>
      <c r="AI333" s="30" t="s">
        <v>178</v>
      </c>
    </row>
    <row r="334" spans="1:35" ht="15" customHeight="1" x14ac:dyDescent="0.2">
      <c r="A334" s="27" t="s">
        <v>758</v>
      </c>
      <c r="B334" s="27" t="s">
        <v>156</v>
      </c>
      <c r="C334" s="27" t="s">
        <v>157</v>
      </c>
      <c r="D334" s="27" t="s">
        <v>759</v>
      </c>
      <c r="E334" s="28">
        <v>45390</v>
      </c>
      <c r="F334" s="28">
        <v>45425</v>
      </c>
      <c r="G334" s="27" t="s">
        <v>159</v>
      </c>
      <c r="H334" s="27" t="s">
        <v>208</v>
      </c>
      <c r="I334" s="27" t="s">
        <v>100</v>
      </c>
      <c r="J334" s="27" t="s">
        <v>161</v>
      </c>
      <c r="K334" s="28">
        <v>45352</v>
      </c>
      <c r="L334" s="28">
        <v>45382</v>
      </c>
      <c r="M334" s="29">
        <v>889</v>
      </c>
      <c r="N334" s="29">
        <v>125</v>
      </c>
      <c r="O334" s="29">
        <v>335</v>
      </c>
      <c r="P334" s="29">
        <v>429</v>
      </c>
      <c r="Q334" s="29">
        <v>13</v>
      </c>
      <c r="R334" s="29">
        <v>12</v>
      </c>
      <c r="S334" s="29">
        <v>1</v>
      </c>
      <c r="T334" s="29">
        <v>0</v>
      </c>
      <c r="U334" s="33"/>
      <c r="V334" s="30">
        <v>55</v>
      </c>
      <c r="W334" s="30">
        <v>180.67</v>
      </c>
      <c r="X334" s="30">
        <v>220.42</v>
      </c>
      <c r="Z334" s="30">
        <v>101.74</v>
      </c>
      <c r="AA334" s="30">
        <v>22.87</v>
      </c>
      <c r="AB334" s="30">
        <v>44.95</v>
      </c>
      <c r="AC334" s="33"/>
      <c r="AD334" s="30">
        <v>39.75</v>
      </c>
      <c r="AE334" s="30">
        <v>11.11</v>
      </c>
      <c r="AG334" s="30">
        <v>93</v>
      </c>
      <c r="AH334" s="30" t="s">
        <v>177</v>
      </c>
      <c r="AI334" s="30" t="s">
        <v>178</v>
      </c>
    </row>
    <row r="335" spans="1:35" ht="15" customHeight="1" x14ac:dyDescent="0.2">
      <c r="A335" s="27" t="s">
        <v>694</v>
      </c>
      <c r="B335" s="27" t="s">
        <v>156</v>
      </c>
      <c r="C335" s="27" t="s">
        <v>157</v>
      </c>
      <c r="D335" s="27" t="s">
        <v>695</v>
      </c>
      <c r="E335" s="28">
        <v>45419</v>
      </c>
      <c r="F335" s="28">
        <v>45454</v>
      </c>
      <c r="G335" s="27" t="s">
        <v>159</v>
      </c>
      <c r="H335" s="27" t="s">
        <v>208</v>
      </c>
      <c r="I335" s="27" t="s">
        <v>100</v>
      </c>
      <c r="J335" s="27" t="s">
        <v>161</v>
      </c>
      <c r="K335" s="28">
        <v>45383</v>
      </c>
      <c r="L335" s="28">
        <v>45412</v>
      </c>
      <c r="M335" s="29">
        <v>723</v>
      </c>
      <c r="N335" s="29">
        <v>65</v>
      </c>
      <c r="O335" s="29">
        <v>258</v>
      </c>
      <c r="P335" s="29">
        <v>400</v>
      </c>
      <c r="Q335" s="29">
        <v>16</v>
      </c>
      <c r="R335" s="29">
        <v>15</v>
      </c>
      <c r="S335" s="29">
        <v>1</v>
      </c>
      <c r="T335" s="29">
        <v>0</v>
      </c>
      <c r="U335" s="33"/>
      <c r="V335" s="30">
        <v>55</v>
      </c>
      <c r="W335" s="30">
        <v>154.62</v>
      </c>
      <c r="X335" s="30">
        <v>188.64</v>
      </c>
      <c r="Z335" s="30">
        <v>82.38</v>
      </c>
      <c r="AA335" s="30">
        <v>19.690000000000001</v>
      </c>
      <c r="AB335" s="30">
        <v>43.51</v>
      </c>
      <c r="AC335" s="33"/>
      <c r="AD335" s="30">
        <v>34.020000000000003</v>
      </c>
      <c r="AE335" s="30">
        <v>9.0399999999999991</v>
      </c>
      <c r="AG335" s="30">
        <v>93</v>
      </c>
      <c r="AH335" s="30" t="s">
        <v>177</v>
      </c>
      <c r="AI335" s="30" t="s">
        <v>178</v>
      </c>
    </row>
    <row r="336" spans="1:35" ht="15" customHeight="1" x14ac:dyDescent="0.2">
      <c r="A336" s="27" t="s">
        <v>636</v>
      </c>
      <c r="B336" s="27" t="s">
        <v>156</v>
      </c>
      <c r="C336" s="27" t="s">
        <v>157</v>
      </c>
      <c r="D336" s="27" t="s">
        <v>637</v>
      </c>
      <c r="E336" s="28">
        <v>45449</v>
      </c>
      <c r="F336" s="28">
        <v>45484</v>
      </c>
      <c r="G336" s="27" t="s">
        <v>159</v>
      </c>
      <c r="H336" s="27" t="s">
        <v>208</v>
      </c>
      <c r="I336" s="27" t="s">
        <v>100</v>
      </c>
      <c r="J336" s="27" t="s">
        <v>161</v>
      </c>
      <c r="K336" s="28">
        <v>45413</v>
      </c>
      <c r="L336" s="28">
        <v>45443</v>
      </c>
      <c r="M336" s="29">
        <v>732</v>
      </c>
      <c r="N336" s="29">
        <v>82</v>
      </c>
      <c r="O336" s="29">
        <v>262</v>
      </c>
      <c r="P336" s="29">
        <v>388</v>
      </c>
      <c r="Q336" s="29">
        <v>25</v>
      </c>
      <c r="R336" s="29">
        <v>22</v>
      </c>
      <c r="S336" s="29">
        <v>2</v>
      </c>
      <c r="T336" s="29">
        <v>1</v>
      </c>
      <c r="U336" s="33"/>
      <c r="V336" s="30">
        <v>55</v>
      </c>
      <c r="W336" s="30">
        <v>162</v>
      </c>
      <c r="X336" s="30">
        <v>197.64</v>
      </c>
      <c r="Z336" s="30">
        <v>89.61</v>
      </c>
      <c r="AA336" s="30">
        <v>19.54</v>
      </c>
      <c r="AB336" s="30">
        <v>43.7</v>
      </c>
      <c r="AC336" s="33"/>
      <c r="AD336" s="30">
        <v>35.64</v>
      </c>
      <c r="AE336" s="30">
        <v>9.15</v>
      </c>
      <c r="AG336" s="30">
        <v>93</v>
      </c>
      <c r="AH336" s="30" t="s">
        <v>177</v>
      </c>
      <c r="AI336" s="30" t="s">
        <v>178</v>
      </c>
    </row>
    <row r="337" spans="1:35" ht="15" customHeight="1" x14ac:dyDescent="0.2">
      <c r="A337" s="27" t="s">
        <v>550</v>
      </c>
      <c r="B337" s="27" t="s">
        <v>156</v>
      </c>
      <c r="C337" s="27" t="s">
        <v>157</v>
      </c>
      <c r="D337" s="27" t="s">
        <v>551</v>
      </c>
      <c r="E337" s="28">
        <v>45485</v>
      </c>
      <c r="F337" s="28">
        <v>45520</v>
      </c>
      <c r="G337" s="27" t="s">
        <v>159</v>
      </c>
      <c r="H337" s="27" t="s">
        <v>208</v>
      </c>
      <c r="I337" s="27" t="s">
        <v>100</v>
      </c>
      <c r="J337" s="27" t="s">
        <v>161</v>
      </c>
      <c r="K337" s="28">
        <v>45444</v>
      </c>
      <c r="L337" s="28">
        <v>45473</v>
      </c>
      <c r="M337" s="29">
        <v>3842</v>
      </c>
      <c r="N337" s="29">
        <v>491</v>
      </c>
      <c r="O337" s="29">
        <v>1411</v>
      </c>
      <c r="P337" s="29">
        <v>1940</v>
      </c>
      <c r="Q337" s="29">
        <v>107</v>
      </c>
      <c r="R337" s="29">
        <v>72</v>
      </c>
      <c r="S337" s="29">
        <v>16</v>
      </c>
      <c r="T337" s="29">
        <v>19</v>
      </c>
      <c r="U337" s="33"/>
      <c r="V337" s="30">
        <v>55</v>
      </c>
      <c r="W337" s="30">
        <v>216.96</v>
      </c>
      <c r="X337" s="30">
        <v>264.69</v>
      </c>
      <c r="Z337" s="30">
        <v>90.09</v>
      </c>
      <c r="AA337" s="30">
        <v>46.36</v>
      </c>
      <c r="AB337" s="30">
        <v>64.44</v>
      </c>
      <c r="AC337" s="33"/>
      <c r="AD337" s="30">
        <v>47.73</v>
      </c>
      <c r="AE337" s="30">
        <v>8.5299999999999994</v>
      </c>
      <c r="AG337" s="30">
        <v>93</v>
      </c>
      <c r="AH337" s="30" t="s">
        <v>177</v>
      </c>
      <c r="AI337" s="30" t="s">
        <v>178</v>
      </c>
    </row>
    <row r="338" spans="1:35" ht="15" customHeight="1" x14ac:dyDescent="0.2">
      <c r="A338" s="27" t="s">
        <v>528</v>
      </c>
      <c r="B338" s="27" t="s">
        <v>156</v>
      </c>
      <c r="C338" s="27" t="s">
        <v>157</v>
      </c>
      <c r="D338" s="27" t="s">
        <v>529</v>
      </c>
      <c r="E338" s="28">
        <v>45511</v>
      </c>
      <c r="F338" s="28">
        <v>45546</v>
      </c>
      <c r="G338" s="27" t="s">
        <v>159</v>
      </c>
      <c r="H338" s="27" t="s">
        <v>208</v>
      </c>
      <c r="I338" s="27" t="s">
        <v>100</v>
      </c>
      <c r="J338" s="27" t="s">
        <v>161</v>
      </c>
      <c r="K338" s="28">
        <v>45474</v>
      </c>
      <c r="L338" s="28">
        <v>45504</v>
      </c>
      <c r="M338" s="29">
        <v>2866</v>
      </c>
      <c r="N338" s="29">
        <v>617</v>
      </c>
      <c r="O338" s="29">
        <v>901</v>
      </c>
      <c r="P338" s="29">
        <v>1348</v>
      </c>
      <c r="Q338" s="29">
        <v>920</v>
      </c>
      <c r="R338" s="29">
        <v>301</v>
      </c>
      <c r="S338" s="29">
        <v>239</v>
      </c>
      <c r="T338" s="29">
        <v>380</v>
      </c>
      <c r="U338" s="33"/>
      <c r="V338" s="30">
        <v>55</v>
      </c>
      <c r="W338" s="30">
        <v>777.21</v>
      </c>
      <c r="X338" s="30">
        <v>948.2</v>
      </c>
      <c r="Z338" s="30">
        <v>423.78</v>
      </c>
      <c r="AA338" s="30">
        <v>114.08</v>
      </c>
      <c r="AB338" s="30">
        <v>203.52</v>
      </c>
      <c r="AC338" s="33"/>
      <c r="AD338" s="30">
        <v>170.99</v>
      </c>
      <c r="AE338" s="30">
        <v>35.83</v>
      </c>
      <c r="AG338" s="30">
        <v>93</v>
      </c>
      <c r="AH338" s="30" t="s">
        <v>177</v>
      </c>
      <c r="AI338" s="30" t="s">
        <v>178</v>
      </c>
    </row>
    <row r="339" spans="1:35" ht="15" customHeight="1" x14ac:dyDescent="0.2">
      <c r="A339" s="27" t="s">
        <v>436</v>
      </c>
      <c r="B339" s="27" t="s">
        <v>156</v>
      </c>
      <c r="C339" s="27" t="s">
        <v>157</v>
      </c>
      <c r="D339" s="27" t="s">
        <v>437</v>
      </c>
      <c r="E339" s="28">
        <v>45542</v>
      </c>
      <c r="F339" s="28">
        <v>45579</v>
      </c>
      <c r="G339" s="27" t="s">
        <v>159</v>
      </c>
      <c r="H339" s="27" t="s">
        <v>208</v>
      </c>
      <c r="I339" s="27" t="s">
        <v>100</v>
      </c>
      <c r="J339" s="27" t="s">
        <v>161</v>
      </c>
      <c r="K339" s="28">
        <v>45505</v>
      </c>
      <c r="L339" s="28">
        <v>45535</v>
      </c>
      <c r="M339" s="29">
        <v>867</v>
      </c>
      <c r="N339" s="29">
        <v>69</v>
      </c>
      <c r="O339" s="29">
        <v>267</v>
      </c>
      <c r="P339" s="29">
        <v>531</v>
      </c>
      <c r="Q339" s="29">
        <v>7</v>
      </c>
      <c r="R339" s="29">
        <v>7</v>
      </c>
      <c r="S339" s="29">
        <v>0</v>
      </c>
      <c r="T339" s="29">
        <v>0</v>
      </c>
      <c r="U339" s="33"/>
      <c r="V339" s="30">
        <v>55</v>
      </c>
      <c r="W339" s="30">
        <v>226.11</v>
      </c>
      <c r="X339" s="30">
        <v>275.85000000000002</v>
      </c>
      <c r="Z339" s="30">
        <v>138.4</v>
      </c>
      <c r="AA339" s="30">
        <v>25.35</v>
      </c>
      <c r="AB339" s="30">
        <v>51.52</v>
      </c>
      <c r="AC339" s="33"/>
      <c r="AD339" s="30">
        <v>49.74</v>
      </c>
      <c r="AE339" s="30">
        <v>10.84</v>
      </c>
      <c r="AG339" s="30">
        <v>93</v>
      </c>
      <c r="AH339" s="30" t="s">
        <v>177</v>
      </c>
      <c r="AI339" s="30" t="s">
        <v>178</v>
      </c>
    </row>
    <row r="340" spans="1:35" ht="15" customHeight="1" x14ac:dyDescent="0.2">
      <c r="A340" s="27" t="s">
        <v>406</v>
      </c>
      <c r="B340" s="27" t="s">
        <v>156</v>
      </c>
      <c r="C340" s="27" t="s">
        <v>157</v>
      </c>
      <c r="D340" s="27" t="s">
        <v>407</v>
      </c>
      <c r="E340" s="28">
        <v>45571</v>
      </c>
      <c r="F340" s="28">
        <v>45607</v>
      </c>
      <c r="G340" s="27" t="s">
        <v>159</v>
      </c>
      <c r="H340" s="27" t="s">
        <v>208</v>
      </c>
      <c r="I340" s="27" t="s">
        <v>100</v>
      </c>
      <c r="J340" s="27" t="s">
        <v>161</v>
      </c>
      <c r="K340" s="28">
        <v>45536</v>
      </c>
      <c r="L340" s="28">
        <v>45565</v>
      </c>
      <c r="M340" s="29">
        <v>943</v>
      </c>
      <c r="N340" s="29">
        <v>65</v>
      </c>
      <c r="O340" s="29">
        <v>341</v>
      </c>
      <c r="P340" s="29">
        <v>537</v>
      </c>
      <c r="Q340" s="29">
        <v>12</v>
      </c>
      <c r="R340" s="29">
        <v>6</v>
      </c>
      <c r="S340" s="29">
        <v>3</v>
      </c>
      <c r="T340" s="29">
        <v>3</v>
      </c>
      <c r="U340" s="33"/>
      <c r="V340" s="30">
        <v>55</v>
      </c>
      <c r="W340" s="30">
        <v>240.39</v>
      </c>
      <c r="X340" s="30">
        <v>293.27999999999997</v>
      </c>
      <c r="Z340" s="30">
        <v>135.9</v>
      </c>
      <c r="AA340" s="30">
        <v>32.200000000000003</v>
      </c>
      <c r="AB340" s="30">
        <v>60.5</v>
      </c>
      <c r="AC340" s="33"/>
      <c r="AD340" s="30">
        <v>52.89</v>
      </c>
      <c r="AE340" s="30">
        <v>11.79</v>
      </c>
      <c r="AG340" s="30">
        <v>93</v>
      </c>
      <c r="AH340" s="30" t="s">
        <v>177</v>
      </c>
      <c r="AI340" s="30" t="s">
        <v>178</v>
      </c>
    </row>
    <row r="341" spans="1:35" ht="15" customHeight="1" x14ac:dyDescent="0.2">
      <c r="A341" s="27" t="s">
        <v>350</v>
      </c>
      <c r="B341" s="27" t="s">
        <v>156</v>
      </c>
      <c r="C341" s="27" t="s">
        <v>157</v>
      </c>
      <c r="D341" s="27" t="s">
        <v>351</v>
      </c>
      <c r="E341" s="28">
        <v>45604</v>
      </c>
      <c r="F341" s="28">
        <v>45639</v>
      </c>
      <c r="G341" s="27" t="s">
        <v>159</v>
      </c>
      <c r="H341" s="27" t="s">
        <v>208</v>
      </c>
      <c r="I341" s="27" t="s">
        <v>100</v>
      </c>
      <c r="J341" s="27" t="s">
        <v>161</v>
      </c>
      <c r="K341" s="28">
        <v>45566</v>
      </c>
      <c r="L341" s="28">
        <v>45596</v>
      </c>
      <c r="M341" s="29">
        <v>941</v>
      </c>
      <c r="N341" s="29">
        <v>145</v>
      </c>
      <c r="O341" s="29">
        <v>355</v>
      </c>
      <c r="P341" s="29">
        <v>441</v>
      </c>
      <c r="Q341" s="29">
        <v>19</v>
      </c>
      <c r="R341" s="29">
        <v>17</v>
      </c>
      <c r="S341" s="29">
        <v>2</v>
      </c>
      <c r="T341" s="29">
        <v>0</v>
      </c>
      <c r="U341" s="33"/>
      <c r="V341" s="30">
        <v>55</v>
      </c>
      <c r="W341" s="30">
        <v>230.36</v>
      </c>
      <c r="X341" s="30">
        <v>281.04000000000002</v>
      </c>
      <c r="Z341" s="30">
        <v>137.66999999999999</v>
      </c>
      <c r="AA341" s="30">
        <v>25.89</v>
      </c>
      <c r="AB341" s="30">
        <v>55.04</v>
      </c>
      <c r="AC341" s="33"/>
      <c r="AD341" s="30">
        <v>50.68</v>
      </c>
      <c r="AE341" s="30">
        <v>11.76</v>
      </c>
      <c r="AG341" s="30">
        <v>93</v>
      </c>
      <c r="AH341" s="30" t="s">
        <v>177</v>
      </c>
      <c r="AI341" s="30" t="s">
        <v>178</v>
      </c>
    </row>
    <row r="342" spans="1:35" ht="15" customHeight="1" x14ac:dyDescent="0.2">
      <c r="A342" s="27" t="s">
        <v>292</v>
      </c>
      <c r="B342" s="27" t="s">
        <v>156</v>
      </c>
      <c r="C342" s="27" t="s">
        <v>157</v>
      </c>
      <c r="D342" s="27" t="s">
        <v>293</v>
      </c>
      <c r="E342" s="28">
        <v>45632</v>
      </c>
      <c r="F342" s="28">
        <v>45667</v>
      </c>
      <c r="G342" s="27" t="s">
        <v>159</v>
      </c>
      <c r="H342" s="27" t="s">
        <v>208</v>
      </c>
      <c r="I342" s="27" t="s">
        <v>100</v>
      </c>
      <c r="J342" s="27" t="s">
        <v>161</v>
      </c>
      <c r="K342" s="28">
        <v>45597</v>
      </c>
      <c r="L342" s="28">
        <v>45626</v>
      </c>
      <c r="M342" s="29">
        <v>1048</v>
      </c>
      <c r="N342" s="29">
        <v>204</v>
      </c>
      <c r="O342" s="29">
        <v>360</v>
      </c>
      <c r="P342" s="29">
        <v>484</v>
      </c>
      <c r="Q342" s="29">
        <v>15</v>
      </c>
      <c r="R342" s="29">
        <v>13</v>
      </c>
      <c r="S342" s="29">
        <v>1</v>
      </c>
      <c r="T342" s="29">
        <v>1</v>
      </c>
      <c r="U342" s="33"/>
      <c r="V342" s="30">
        <v>55</v>
      </c>
      <c r="W342" s="30">
        <v>266.92</v>
      </c>
      <c r="X342" s="30">
        <v>325.64</v>
      </c>
      <c r="Z342" s="30">
        <v>168.56</v>
      </c>
      <c r="AA342" s="30">
        <v>26.06</v>
      </c>
      <c r="AB342" s="30">
        <v>59.2</v>
      </c>
      <c r="AC342" s="33"/>
      <c r="AD342" s="30">
        <v>58.72</v>
      </c>
      <c r="AE342" s="30">
        <v>13.1</v>
      </c>
      <c r="AG342" s="30">
        <v>93</v>
      </c>
      <c r="AH342" s="30" t="s">
        <v>177</v>
      </c>
      <c r="AI342" s="30" t="s">
        <v>178</v>
      </c>
    </row>
    <row r="343" spans="1:35" ht="15" customHeight="1" x14ac:dyDescent="0.2">
      <c r="A343" s="27" t="s">
        <v>206</v>
      </c>
      <c r="B343" s="27" t="s">
        <v>156</v>
      </c>
      <c r="C343" s="27" t="s">
        <v>157</v>
      </c>
      <c r="D343" s="27" t="s">
        <v>207</v>
      </c>
      <c r="E343" s="28">
        <v>45665</v>
      </c>
      <c r="F343" s="28">
        <v>45700</v>
      </c>
      <c r="G343" s="27" t="s">
        <v>159</v>
      </c>
      <c r="H343" s="27" t="s">
        <v>208</v>
      </c>
      <c r="I343" s="27" t="s">
        <v>100</v>
      </c>
      <c r="J343" s="27" t="s">
        <v>161</v>
      </c>
      <c r="K343" s="28">
        <v>45627</v>
      </c>
      <c r="L343" s="28">
        <v>45657</v>
      </c>
      <c r="M343" s="29">
        <v>1519</v>
      </c>
      <c r="N343" s="29">
        <v>254</v>
      </c>
      <c r="O343" s="29">
        <v>444</v>
      </c>
      <c r="P343" s="29">
        <v>821</v>
      </c>
      <c r="Q343" s="29">
        <v>9</v>
      </c>
      <c r="R343" s="29">
        <v>8</v>
      </c>
      <c r="S343" s="29">
        <v>1</v>
      </c>
      <c r="T343" s="29">
        <v>0</v>
      </c>
      <c r="U343" s="33"/>
      <c r="V343" s="30">
        <v>55</v>
      </c>
      <c r="W343" s="30">
        <v>400.41</v>
      </c>
      <c r="X343" s="30">
        <v>488.5</v>
      </c>
      <c r="Z343" s="30">
        <v>251.25</v>
      </c>
      <c r="AA343" s="30">
        <v>41.12</v>
      </c>
      <c r="AB343" s="30">
        <v>89.05</v>
      </c>
      <c r="AC343" s="33"/>
      <c r="AD343" s="30">
        <v>88.09</v>
      </c>
      <c r="AE343" s="30">
        <v>18.989999999999998</v>
      </c>
      <c r="AG343" s="30">
        <v>93</v>
      </c>
      <c r="AH343" s="30" t="s">
        <v>177</v>
      </c>
      <c r="AI343" s="30" t="s">
        <v>178</v>
      </c>
    </row>
    <row r="344" spans="1:35" ht="15" customHeight="1" x14ac:dyDescent="0.2">
      <c r="A344" s="27" t="s">
        <v>262</v>
      </c>
      <c r="B344" s="27" t="s">
        <v>254</v>
      </c>
      <c r="C344" s="27" t="s">
        <v>255</v>
      </c>
      <c r="D344" s="27" t="s">
        <v>256</v>
      </c>
      <c r="E344" s="33"/>
      <c r="F344" s="28">
        <v>45672</v>
      </c>
      <c r="G344" s="27" t="s">
        <v>159</v>
      </c>
      <c r="H344" s="27" t="s">
        <v>257</v>
      </c>
      <c r="I344" s="27" t="s">
        <v>263</v>
      </c>
      <c r="J344" s="27" t="s">
        <v>259</v>
      </c>
      <c r="K344" s="28">
        <v>45597</v>
      </c>
      <c r="L344" s="28">
        <v>45626</v>
      </c>
      <c r="M344" s="29">
        <v>218</v>
      </c>
      <c r="N344" s="33"/>
      <c r="O344" s="33"/>
      <c r="P344" s="33"/>
      <c r="Q344" s="33"/>
      <c r="R344" s="33"/>
      <c r="S344" s="33"/>
      <c r="T344" s="33"/>
      <c r="U344" s="30">
        <v>3</v>
      </c>
      <c r="V344" s="30">
        <v>3.3</v>
      </c>
      <c r="W344" s="30">
        <v>70.19</v>
      </c>
      <c r="X344" s="33"/>
      <c r="Z344" s="30">
        <v>35.81</v>
      </c>
      <c r="AA344" s="30">
        <v>12.54</v>
      </c>
      <c r="AB344" s="30">
        <v>19.11</v>
      </c>
      <c r="AC344" s="33"/>
      <c r="AD344" s="30">
        <v>2.73</v>
      </c>
      <c r="AE344" s="33"/>
      <c r="AG344" s="30">
        <v>13</v>
      </c>
      <c r="AH344" s="30" t="s">
        <v>260</v>
      </c>
      <c r="AI344" s="30" t="s">
        <v>261</v>
      </c>
    </row>
    <row r="345" spans="1:35" ht="15" customHeight="1" x14ac:dyDescent="0.2">
      <c r="A345" s="27" t="s">
        <v>253</v>
      </c>
      <c r="B345" s="27" t="s">
        <v>254</v>
      </c>
      <c r="C345" s="27" t="s">
        <v>255</v>
      </c>
      <c r="D345" s="27" t="s">
        <v>256</v>
      </c>
      <c r="E345" s="33"/>
      <c r="F345" s="28">
        <v>45672</v>
      </c>
      <c r="G345" s="27" t="s">
        <v>159</v>
      </c>
      <c r="H345" s="27" t="s">
        <v>257</v>
      </c>
      <c r="I345" s="27" t="s">
        <v>258</v>
      </c>
      <c r="J345" s="27" t="s">
        <v>259</v>
      </c>
      <c r="K345" s="28">
        <v>45597</v>
      </c>
      <c r="L345" s="28">
        <v>45626</v>
      </c>
      <c r="M345" s="29">
        <v>203</v>
      </c>
      <c r="N345" s="33"/>
      <c r="O345" s="33"/>
      <c r="P345" s="33"/>
      <c r="Q345" s="33"/>
      <c r="R345" s="33"/>
      <c r="S345" s="33"/>
      <c r="T345" s="33"/>
      <c r="U345" s="30">
        <v>3</v>
      </c>
      <c r="V345" s="30">
        <v>3.3</v>
      </c>
      <c r="W345" s="30">
        <v>67.09</v>
      </c>
      <c r="X345" s="33"/>
      <c r="Z345" s="30">
        <v>33.81</v>
      </c>
      <c r="AA345" s="30">
        <v>12.35</v>
      </c>
      <c r="AB345" s="30">
        <v>18.39</v>
      </c>
      <c r="AC345" s="33"/>
      <c r="AD345" s="30">
        <v>2.54</v>
      </c>
      <c r="AE345" s="33"/>
      <c r="AG345" s="30">
        <v>13</v>
      </c>
      <c r="AH345" s="30" t="s">
        <v>260</v>
      </c>
      <c r="AI345" s="30" t="s">
        <v>261</v>
      </c>
    </row>
  </sheetData>
  <autoFilter ref="A1:AI345" xr:uid="{00000000-0001-0000-0100-000000000000}"/>
  <sortState xmlns:xlrd2="http://schemas.microsoft.com/office/spreadsheetml/2017/richdata2" ref="A2:AI345">
    <sortCondition ref="I2:I345"/>
    <sortCondition ref="K2:K345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N378"/>
  <sheetViews>
    <sheetView topLeftCell="G7" workbookViewId="0">
      <selection activeCell="E8" sqref="E8"/>
    </sheetView>
  </sheetViews>
  <sheetFormatPr baseColWidth="10" defaultColWidth="8.83203125" defaultRowHeight="15" x14ac:dyDescent="0.2"/>
  <cols>
    <col min="1" max="1" width="14.33203125" customWidth="1"/>
    <col min="2" max="2" width="26.83203125" customWidth="1"/>
    <col min="3" max="3" width="15.33203125" customWidth="1"/>
    <col min="4" max="4" width="18.33203125" customWidth="1"/>
    <col min="5" max="5" width="17.33203125" customWidth="1"/>
    <col min="6" max="6" width="15.33203125" customWidth="1"/>
    <col min="7" max="7" width="17.83203125" customWidth="1"/>
    <col min="10" max="10" width="18.1640625" customWidth="1"/>
    <col min="11" max="11" width="23.6640625" customWidth="1"/>
    <col min="14" max="14" width="15" customWidth="1"/>
    <col min="15" max="15" width="14.5" customWidth="1"/>
    <col min="16" max="16" width="9.1640625" customWidth="1"/>
    <col min="17" max="17" width="13.5" customWidth="1"/>
    <col min="18" max="18" width="11.6640625" customWidth="1"/>
    <col min="19" max="19" width="16.33203125" customWidth="1"/>
    <col min="21" max="21" width="10.6640625" customWidth="1"/>
    <col min="23" max="23" width="12.5" bestFit="1" customWidth="1"/>
    <col min="28" max="28" width="14" customWidth="1"/>
    <col min="30" max="30" width="17" customWidth="1"/>
    <col min="31" max="31" width="15.83203125" customWidth="1"/>
    <col min="34" max="34" width="17.6640625" customWidth="1"/>
    <col min="35" max="35" width="17.5" customWidth="1"/>
  </cols>
  <sheetData>
    <row r="1" spans="1:40" ht="30" customHeight="1" x14ac:dyDescent="0.2">
      <c r="A1" s="6" t="str">
        <f>Elettricità!I1</f>
        <v>pod_code</v>
      </c>
      <c r="B1" s="6" t="str">
        <f>Elettricità!A1</f>
        <v>source_file</v>
      </c>
      <c r="C1" s="7" t="str">
        <f>Elettricità!E1</f>
        <v>invoice_date</v>
      </c>
      <c r="D1" s="7" t="str">
        <f>Elettricità!K1</f>
        <v>billing_period_start</v>
      </c>
      <c r="E1" s="7" t="str">
        <f>Elettricità!L1</f>
        <v>billing_period_end</v>
      </c>
      <c r="F1" s="6" t="str">
        <f>Elettricità!M1</f>
        <v>consumption_kwh</v>
      </c>
      <c r="G1" s="6" t="str">
        <f>Elettricità!N1</f>
        <v>consumption_f1_kwh</v>
      </c>
      <c r="H1" s="6" t="str">
        <f>Elettricità!O1</f>
        <v>consumption_f2_kwh</v>
      </c>
      <c r="I1" s="6" t="str">
        <f>Elettricità!P1</f>
        <v>consumption_f3_kwh</v>
      </c>
      <c r="J1" s="6" t="str">
        <f>Elettricità!Q1</f>
        <v>reactive_energy_kvarh</v>
      </c>
      <c r="K1" s="6" t="str">
        <f>Elettricità!R1</f>
        <v>reactive_energy_f1_kvarh</v>
      </c>
      <c r="L1" s="6" t="str">
        <f>Elettricità!S1</f>
        <v>reactive_energy_f2_kvarh</v>
      </c>
      <c r="M1" s="6" t="str">
        <f>Elettricità!T1</f>
        <v>reactive_energy_f3_kvarh</v>
      </c>
      <c r="N1" s="6" t="str">
        <f>Elettricità!W1</f>
        <v>total_amount_eur</v>
      </c>
      <c r="O1" s="6" t="str">
        <f>Elettricità!X1</f>
        <v>invoice_total_eur</v>
      </c>
      <c r="P1" s="6" t="str">
        <f>Elettricità!Y1</f>
        <v>bonus_eur</v>
      </c>
      <c r="Q1" s="6" t="str">
        <f>Elettricità!Z1</f>
        <v>energy_cost_eur</v>
      </c>
      <c r="R1" s="6" t="str">
        <f>Elettricità!AA1</f>
        <v>transport_eur</v>
      </c>
      <c r="S1" s="6" t="str">
        <f>Elettricità!AB1</f>
        <v>system_charges_eur</v>
      </c>
      <c r="T1" s="6" t="str">
        <f>Elettricità!AC1</f>
        <v>safeguard_component_eur</v>
      </c>
      <c r="U1" s="6" t="str">
        <f>Elettricità!AD1</f>
        <v>taxes_eur</v>
      </c>
      <c r="V1" s="1" t="s">
        <v>133</v>
      </c>
      <c r="W1" s="1" t="s">
        <v>3</v>
      </c>
      <c r="X1" s="1" t="s">
        <v>134</v>
      </c>
      <c r="Y1" s="39" t="s">
        <v>135</v>
      </c>
      <c r="Z1" s="40"/>
      <c r="AA1" s="4" t="s">
        <v>136</v>
      </c>
      <c r="AB1" s="4" t="s">
        <v>137</v>
      </c>
      <c r="AC1" s="4" t="s">
        <v>138</v>
      </c>
      <c r="AD1" s="4" t="s">
        <v>139</v>
      </c>
      <c r="AE1" s="10" t="s">
        <v>140</v>
      </c>
      <c r="AF1" s="4" t="s">
        <v>141</v>
      </c>
      <c r="AG1" s="2" t="s">
        <v>142</v>
      </c>
      <c r="AH1" s="2" t="s">
        <v>143</v>
      </c>
      <c r="AI1" s="2" t="s">
        <v>144</v>
      </c>
      <c r="AJ1" s="39" t="s">
        <v>145</v>
      </c>
      <c r="AK1" s="40"/>
      <c r="AL1" s="3" t="s">
        <v>146</v>
      </c>
      <c r="AM1" s="4" t="s">
        <v>147</v>
      </c>
      <c r="AN1" s="5" t="s">
        <v>148</v>
      </c>
    </row>
    <row r="2" spans="1:40" ht="48" customHeight="1" x14ac:dyDescent="0.2">
      <c r="A2" s="8" t="str">
        <f>Elettricità!I2</f>
        <v>IT001E04170922</v>
      </c>
      <c r="B2" s="8" t="str">
        <f>Elettricità!A2</f>
        <v>824500045372_2024_d.pdf</v>
      </c>
      <c r="C2" s="9">
        <f>Elettricità!E2</f>
        <v>45350</v>
      </c>
      <c r="D2" s="9">
        <f>Elettricità!K2</f>
        <v>45292</v>
      </c>
      <c r="E2" s="9">
        <f>Elettricità!L2</f>
        <v>45322</v>
      </c>
      <c r="F2" s="8">
        <f>Elettricità!M2</f>
        <v>982</v>
      </c>
      <c r="G2" s="8">
        <f>Elettricità!N2</f>
        <v>411</v>
      </c>
      <c r="H2" s="8">
        <f>Elettricità!O2</f>
        <v>221</v>
      </c>
      <c r="I2" s="8">
        <f>Elettricità!P2</f>
        <v>350</v>
      </c>
      <c r="J2" s="8">
        <f>Elettricità!Q2</f>
        <v>382</v>
      </c>
      <c r="K2" s="8">
        <f>Elettricità!R2</f>
        <v>235</v>
      </c>
      <c r="L2" s="8">
        <f>Elettricità!S2</f>
        <v>96</v>
      </c>
      <c r="M2" s="8">
        <f>Elettricità!T2</f>
        <v>51</v>
      </c>
      <c r="N2" s="8">
        <f>Elettricità!W2</f>
        <v>323.13</v>
      </c>
      <c r="O2" s="8">
        <f>Elettricità!X2</f>
        <v>394.22</v>
      </c>
      <c r="P2" s="8">
        <f>Elettricità!Y2</f>
        <v>0</v>
      </c>
      <c r="Q2" s="8">
        <f>Elettricità!Z2</f>
        <v>155.07</v>
      </c>
      <c r="R2" s="8">
        <f>Elettricità!AA2</f>
        <v>69.069999999999993</v>
      </c>
      <c r="S2" s="8">
        <f>Elettricità!AB2</f>
        <v>81.8</v>
      </c>
      <c r="T2" s="8">
        <f>Elettricità!AC2</f>
        <v>4.91</v>
      </c>
      <c r="U2" s="8">
        <f>Elettricità!AD2</f>
        <v>12.28</v>
      </c>
      <c r="V2" s="8">
        <f t="shared" ref="V2:V65" si="0">YEAR(Y2)</f>
        <v>2024</v>
      </c>
      <c r="W2" s="8">
        <f>_xlfn.XLOOKUP(A2,Fabbricati!E:E,Fabbricati!D:D)</f>
        <v>382908635</v>
      </c>
      <c r="X2" s="9">
        <f t="shared" ref="X2:X65" si="1">C2</f>
        <v>45350</v>
      </c>
      <c r="Y2" s="9">
        <f t="shared" ref="Y2:Y65" si="2">D2</f>
        <v>45292</v>
      </c>
      <c r="Z2" s="9">
        <f t="shared" ref="Z2:Z65" si="3">E2</f>
        <v>45322</v>
      </c>
      <c r="AA2" s="8">
        <f t="shared" ref="AA2:AA65" si="4">Z2-Y2+1</f>
        <v>31</v>
      </c>
      <c r="AB2" s="8">
        <f t="shared" ref="AB2:AB65" si="5">F2</f>
        <v>982</v>
      </c>
      <c r="AC2" s="12" t="s">
        <v>149</v>
      </c>
      <c r="AD2" s="11" t="str">
        <f t="shared" ref="AD2:AD65" si="6">G2  &amp; _xlfn.UNICHAR(10) &amp; H2  &amp; _xlfn.UNICHAR(10)  &amp;  I2</f>
        <v>411
221
350</v>
      </c>
      <c r="AE2" s="11" t="str">
        <f t="shared" ref="AE2:AE65" si="7">K2  &amp; _xlfn.UNICHAR(10) &amp; L2  &amp; _xlfn.UNICHAR(10)  &amp;  M2</f>
        <v>235
96
51</v>
      </c>
      <c r="AF2" s="11"/>
      <c r="AG2" s="11"/>
      <c r="AH2" s="8">
        <f t="shared" ref="AH2:AH65" si="8">R2+S2</f>
        <v>150.87</v>
      </c>
      <c r="AI2" s="8">
        <f t="shared" ref="AI2:AI65" si="9">Q2</f>
        <v>155.07</v>
      </c>
      <c r="AJ2" s="8">
        <f t="shared" ref="AJ2:AJ65" si="10">U2</f>
        <v>12.28</v>
      </c>
      <c r="AK2" s="8"/>
      <c r="AL2" s="8"/>
      <c r="AM2" s="8">
        <f t="shared" ref="AM2:AM65" si="11">T2</f>
        <v>4.91</v>
      </c>
      <c r="AN2" s="8">
        <f t="shared" ref="AN2:AN65" si="12">O2</f>
        <v>394.22</v>
      </c>
    </row>
    <row r="3" spans="1:40" ht="48" customHeight="1" x14ac:dyDescent="0.2">
      <c r="A3" s="8" t="str">
        <f>Elettricità!I3</f>
        <v>IT001E04170922</v>
      </c>
      <c r="B3" s="8" t="str">
        <f>Elettricità!A3</f>
        <v>005018359678.pdf</v>
      </c>
      <c r="C3" s="9">
        <f>Elettricità!E3</f>
        <v>45358</v>
      </c>
      <c r="D3" s="9">
        <f>Elettricità!K3</f>
        <v>45323</v>
      </c>
      <c r="E3" s="9">
        <f>Elettricità!L3</f>
        <v>45351</v>
      </c>
      <c r="F3" s="8">
        <f>Elettricità!M3</f>
        <v>1004</v>
      </c>
      <c r="G3" s="8">
        <f>Elettricità!N3</f>
        <v>481</v>
      </c>
      <c r="H3" s="8">
        <f>Elettricità!O3</f>
        <v>229</v>
      </c>
      <c r="I3" s="8">
        <f>Elettricità!P3</f>
        <v>294</v>
      </c>
      <c r="J3" s="8">
        <f>Elettricità!Q3</f>
        <v>454</v>
      </c>
      <c r="K3" s="8">
        <f>Elettricità!R3</f>
        <v>290</v>
      </c>
      <c r="L3" s="8">
        <f>Elettricità!S3</f>
        <v>107</v>
      </c>
      <c r="M3" s="8">
        <f>Elettricità!T3</f>
        <v>57</v>
      </c>
      <c r="N3" s="8">
        <f>Elettricità!W3</f>
        <v>223.6</v>
      </c>
      <c r="O3" s="8">
        <f>Elettricità!X3</f>
        <v>272.79000000000002</v>
      </c>
      <c r="P3" s="8">
        <f>Elettricità!Y3</f>
        <v>0</v>
      </c>
      <c r="Q3" s="8">
        <f>Elettricità!Z3</f>
        <v>122.3</v>
      </c>
      <c r="R3" s="8">
        <f>Elettricità!AA3</f>
        <v>33.71</v>
      </c>
      <c r="S3" s="8">
        <f>Elettricità!AB3</f>
        <v>55.04</v>
      </c>
      <c r="T3" s="8">
        <f>Elettricità!AC3</f>
        <v>0</v>
      </c>
      <c r="U3" s="8">
        <f>Elettricità!AD3</f>
        <v>49.19</v>
      </c>
      <c r="V3" s="8">
        <f t="shared" ref="V3:V66" si="13">YEAR(Y3)</f>
        <v>2024</v>
      </c>
      <c r="W3" s="8">
        <f>_xlfn.XLOOKUP(A3,Fabbricati!E:E,Fabbricati!D:D)</f>
        <v>382908635</v>
      </c>
      <c r="X3" s="9">
        <f t="shared" ref="X3:X66" si="14">C3</f>
        <v>45358</v>
      </c>
      <c r="Y3" s="9">
        <f t="shared" ref="Y3:Y66" si="15">D3</f>
        <v>45323</v>
      </c>
      <c r="Z3" s="9">
        <f t="shared" ref="Z3:Z66" si="16">E3</f>
        <v>45351</v>
      </c>
      <c r="AA3" s="8">
        <f t="shared" ref="AA3:AA66" si="17">Z3-Y3+1</f>
        <v>29</v>
      </c>
      <c r="AB3" s="8">
        <f t="shared" ref="AB3:AB66" si="18">F3</f>
        <v>1004</v>
      </c>
      <c r="AC3" s="12" t="s">
        <v>149</v>
      </c>
      <c r="AD3" s="11" t="str">
        <f t="shared" ref="AD3:AD66" si="19">G3  &amp; _xlfn.UNICHAR(10) &amp; H3  &amp; _xlfn.UNICHAR(10)  &amp;  I3</f>
        <v>481
229
294</v>
      </c>
      <c r="AE3" s="11" t="str">
        <f t="shared" ref="AE3:AE66" si="20">K3  &amp; _xlfn.UNICHAR(10) &amp; L3  &amp; _xlfn.UNICHAR(10)  &amp;  M3</f>
        <v>290
107
57</v>
      </c>
      <c r="AF3" s="11"/>
      <c r="AG3" s="11"/>
      <c r="AH3" s="8">
        <f t="shared" ref="AH3:AH66" si="21">R3+S3</f>
        <v>88.75</v>
      </c>
      <c r="AI3" s="8">
        <f t="shared" ref="AI3:AI66" si="22">Q3</f>
        <v>122.3</v>
      </c>
      <c r="AJ3" s="8">
        <f t="shared" ref="AJ3:AJ66" si="23">U3</f>
        <v>49.19</v>
      </c>
      <c r="AK3" s="8"/>
      <c r="AL3" s="8"/>
      <c r="AM3" s="8">
        <f t="shared" ref="AM3:AM66" si="24">T3</f>
        <v>0</v>
      </c>
      <c r="AN3" s="8">
        <f t="shared" ref="AN3:AN66" si="25">O3</f>
        <v>272.79000000000002</v>
      </c>
    </row>
    <row r="4" spans="1:40" ht="48" customHeight="1" x14ac:dyDescent="0.2">
      <c r="A4" s="8" t="str">
        <f>Elettricità!I4</f>
        <v>IT001E04170922</v>
      </c>
      <c r="B4" s="8" t="str">
        <f>Elettricità!A4</f>
        <v>005026659963.pdf</v>
      </c>
      <c r="C4" s="9">
        <f>Elettricità!E4</f>
        <v>45390</v>
      </c>
      <c r="D4" s="9">
        <f>Elettricità!K4</f>
        <v>45352</v>
      </c>
      <c r="E4" s="9">
        <f>Elettricità!L4</f>
        <v>45382</v>
      </c>
      <c r="F4" s="8">
        <f>Elettricità!M4</f>
        <v>830</v>
      </c>
      <c r="G4" s="8">
        <f>Elettricità!N4</f>
        <v>355</v>
      </c>
      <c r="H4" s="8">
        <f>Elettricità!O4</f>
        <v>223</v>
      </c>
      <c r="I4" s="8">
        <f>Elettricità!P4</f>
        <v>252</v>
      </c>
      <c r="J4" s="8">
        <f>Elettricità!Q4</f>
        <v>222</v>
      </c>
      <c r="K4" s="8">
        <f>Elettricità!R4</f>
        <v>132</v>
      </c>
      <c r="L4" s="8">
        <f>Elettricità!S4</f>
        <v>61</v>
      </c>
      <c r="M4" s="8">
        <f>Elettricità!T4</f>
        <v>29</v>
      </c>
      <c r="N4" s="8">
        <f>Elettricità!W4</f>
        <v>187.29</v>
      </c>
      <c r="O4" s="8">
        <f>Elettricità!X4</f>
        <v>228.49</v>
      </c>
      <c r="P4" s="8">
        <f>Elettricità!Y4</f>
        <v>0</v>
      </c>
      <c r="Q4" s="8">
        <f>Elettricità!Z4</f>
        <v>97.84</v>
      </c>
      <c r="R4" s="8">
        <f>Elettricità!AA4</f>
        <v>30.74</v>
      </c>
      <c r="S4" s="8">
        <f>Elettricità!AB4</f>
        <v>48.33</v>
      </c>
      <c r="T4" s="8">
        <f>Elettricità!AC4</f>
        <v>0</v>
      </c>
      <c r="U4" s="8">
        <f>Elettricità!AD4</f>
        <v>41.2</v>
      </c>
      <c r="V4" s="8">
        <f t="shared" si="13"/>
        <v>2024</v>
      </c>
      <c r="W4" s="8">
        <f>_xlfn.XLOOKUP(A4,Fabbricati!E:E,Fabbricati!D:D)</f>
        <v>382908635</v>
      </c>
      <c r="X4" s="9">
        <f t="shared" si="14"/>
        <v>45390</v>
      </c>
      <c r="Y4" s="9">
        <f t="shared" si="15"/>
        <v>45352</v>
      </c>
      <c r="Z4" s="9">
        <f t="shared" si="16"/>
        <v>45382</v>
      </c>
      <c r="AA4" s="8">
        <f t="shared" si="17"/>
        <v>31</v>
      </c>
      <c r="AB4" s="8">
        <f t="shared" si="18"/>
        <v>830</v>
      </c>
      <c r="AC4" s="12" t="s">
        <v>149</v>
      </c>
      <c r="AD4" s="11" t="str">
        <f t="shared" si="19"/>
        <v>355
223
252</v>
      </c>
      <c r="AE4" s="11" t="str">
        <f t="shared" si="20"/>
        <v>132
61
29</v>
      </c>
      <c r="AF4" s="11"/>
      <c r="AG4" s="11"/>
      <c r="AH4" s="8">
        <f t="shared" si="21"/>
        <v>79.069999999999993</v>
      </c>
      <c r="AI4" s="8">
        <f t="shared" si="22"/>
        <v>97.84</v>
      </c>
      <c r="AJ4" s="8">
        <f t="shared" si="23"/>
        <v>41.2</v>
      </c>
      <c r="AK4" s="8"/>
      <c r="AL4" s="8"/>
      <c r="AM4" s="8">
        <f t="shared" si="24"/>
        <v>0</v>
      </c>
      <c r="AN4" s="8">
        <f t="shared" si="25"/>
        <v>228.49</v>
      </c>
    </row>
    <row r="5" spans="1:40" ht="48" customHeight="1" x14ac:dyDescent="0.2">
      <c r="A5" s="8" t="str">
        <f>Elettricità!I5</f>
        <v>IT001E04170922</v>
      </c>
      <c r="B5" s="8" t="str">
        <f>Elettricità!A5</f>
        <v>005034930233.PDF</v>
      </c>
      <c r="C5" s="9">
        <f>Elettricità!E5</f>
        <v>45419</v>
      </c>
      <c r="D5" s="9">
        <f>Elettricità!K5</f>
        <v>45383</v>
      </c>
      <c r="E5" s="9">
        <f>Elettricità!L5</f>
        <v>45390</v>
      </c>
      <c r="F5" s="8">
        <f>Elettricità!M5</f>
        <v>598</v>
      </c>
      <c r="G5" s="8">
        <f>Elettricità!N5</f>
        <v>258</v>
      </c>
      <c r="H5" s="8">
        <f>Elettricità!O5</f>
        <v>142</v>
      </c>
      <c r="I5" s="8">
        <f>Elettricità!P5</f>
        <v>198</v>
      </c>
      <c r="J5" s="8">
        <f>Elettricità!Q5</f>
        <v>133</v>
      </c>
      <c r="K5" s="8">
        <f>Elettricità!R5</f>
        <v>95</v>
      </c>
      <c r="L5" s="8">
        <f>Elettricità!S5</f>
        <v>26</v>
      </c>
      <c r="M5" s="8">
        <f>Elettricità!T5</f>
        <v>12</v>
      </c>
      <c r="N5" s="8">
        <f>Elettricità!W5</f>
        <v>143.01</v>
      </c>
      <c r="O5" s="8">
        <f>Elettricità!X5</f>
        <v>174.47</v>
      </c>
      <c r="P5" s="8">
        <f>Elettricità!Y5</f>
        <v>0</v>
      </c>
      <c r="Q5" s="8">
        <f>Elettricità!Z5</f>
        <v>68.3</v>
      </c>
      <c r="R5" s="8">
        <f>Elettricità!AA5</f>
        <v>24.72</v>
      </c>
      <c r="S5" s="8">
        <f>Elettricità!AB5</f>
        <v>42.51</v>
      </c>
      <c r="T5" s="8">
        <f>Elettricità!AC5</f>
        <v>0</v>
      </c>
      <c r="U5" s="8">
        <f>Elettricità!AD5</f>
        <v>31.46</v>
      </c>
      <c r="V5" s="8">
        <f t="shared" si="13"/>
        <v>2024</v>
      </c>
      <c r="W5" s="8">
        <f>_xlfn.XLOOKUP(A5,Fabbricati!E:E,Fabbricati!D:D)</f>
        <v>382908635</v>
      </c>
      <c r="X5" s="9">
        <f t="shared" si="14"/>
        <v>45419</v>
      </c>
      <c r="Y5" s="9">
        <f t="shared" si="15"/>
        <v>45383</v>
      </c>
      <c r="Z5" s="9">
        <f t="shared" si="16"/>
        <v>45390</v>
      </c>
      <c r="AA5" s="8">
        <f t="shared" si="17"/>
        <v>8</v>
      </c>
      <c r="AB5" s="8">
        <f t="shared" si="18"/>
        <v>598</v>
      </c>
      <c r="AC5" s="12" t="s">
        <v>149</v>
      </c>
      <c r="AD5" s="11" t="str">
        <f t="shared" si="19"/>
        <v>258
142
198</v>
      </c>
      <c r="AE5" s="11" t="str">
        <f t="shared" si="20"/>
        <v>95
26
12</v>
      </c>
      <c r="AF5" s="11"/>
      <c r="AG5" s="11"/>
      <c r="AH5" s="8">
        <f t="shared" si="21"/>
        <v>67.22999999999999</v>
      </c>
      <c r="AI5" s="8">
        <f t="shared" si="22"/>
        <v>68.3</v>
      </c>
      <c r="AJ5" s="8">
        <f t="shared" si="23"/>
        <v>31.46</v>
      </c>
      <c r="AK5" s="8"/>
      <c r="AL5" s="8"/>
      <c r="AM5" s="8">
        <f t="shared" si="24"/>
        <v>0</v>
      </c>
      <c r="AN5" s="8">
        <f t="shared" si="25"/>
        <v>174.47</v>
      </c>
    </row>
    <row r="6" spans="1:40" ht="48" customHeight="1" x14ac:dyDescent="0.2">
      <c r="A6" s="8" t="str">
        <f>Elettricità!I6</f>
        <v>IT001E04170922</v>
      </c>
      <c r="B6" s="8" t="str">
        <f>Elettricità!A6</f>
        <v>005043663097.PDF</v>
      </c>
      <c r="C6" s="9">
        <f>Elettricità!E6</f>
        <v>45449</v>
      </c>
      <c r="D6" s="9">
        <f>Elettricità!K6</f>
        <v>45413</v>
      </c>
      <c r="E6" s="9">
        <f>Elettricità!L6</f>
        <v>45443</v>
      </c>
      <c r="F6" s="8">
        <f>Elettricità!M6</f>
        <v>521</v>
      </c>
      <c r="G6" s="8">
        <f>Elettricità!N6</f>
        <v>247</v>
      </c>
      <c r="H6" s="8">
        <f>Elettricità!O6</f>
        <v>130</v>
      </c>
      <c r="I6" s="8">
        <f>Elettricità!P6</f>
        <v>144</v>
      </c>
      <c r="J6" s="8">
        <f>Elettricità!Q6</f>
        <v>95</v>
      </c>
      <c r="K6" s="8">
        <f>Elettricità!R6</f>
        <v>73</v>
      </c>
      <c r="L6" s="8">
        <f>Elettricità!S6</f>
        <v>20</v>
      </c>
      <c r="M6" s="8">
        <f>Elettricità!T6</f>
        <v>2</v>
      </c>
      <c r="N6" s="8">
        <f>Elettricità!W6</f>
        <v>131.79</v>
      </c>
      <c r="O6" s="8">
        <f>Elettricità!X6</f>
        <v>160.78</v>
      </c>
      <c r="P6" s="8">
        <f>Elettricità!Y6</f>
        <v>0</v>
      </c>
      <c r="Q6" s="8">
        <f>Elettricità!Z6</f>
        <v>63.96</v>
      </c>
      <c r="R6" s="8">
        <f>Elettricità!AA6</f>
        <v>22.97</v>
      </c>
      <c r="S6" s="8">
        <f>Elettricità!AB6</f>
        <v>38.35</v>
      </c>
      <c r="T6" s="8">
        <f>Elettricità!AC6</f>
        <v>0</v>
      </c>
      <c r="U6" s="8">
        <f>Elettricità!AD6</f>
        <v>28.99</v>
      </c>
      <c r="V6" s="8">
        <f t="shared" si="13"/>
        <v>2024</v>
      </c>
      <c r="W6" s="8">
        <f>_xlfn.XLOOKUP(A6,Fabbricati!E:E,Fabbricati!D:D)</f>
        <v>382908635</v>
      </c>
      <c r="X6" s="9">
        <f t="shared" si="14"/>
        <v>45449</v>
      </c>
      <c r="Y6" s="9">
        <f t="shared" si="15"/>
        <v>45413</v>
      </c>
      <c r="Z6" s="9">
        <f t="shared" si="16"/>
        <v>45443</v>
      </c>
      <c r="AA6" s="8">
        <f t="shared" si="17"/>
        <v>31</v>
      </c>
      <c r="AB6" s="8">
        <f t="shared" si="18"/>
        <v>521</v>
      </c>
      <c r="AC6" s="12" t="s">
        <v>149</v>
      </c>
      <c r="AD6" s="11" t="str">
        <f t="shared" si="19"/>
        <v>247
130
144</v>
      </c>
      <c r="AE6" s="11" t="str">
        <f t="shared" si="20"/>
        <v>73
20
2</v>
      </c>
      <c r="AF6" s="11"/>
      <c r="AG6" s="11"/>
      <c r="AH6" s="8">
        <f t="shared" si="21"/>
        <v>61.32</v>
      </c>
      <c r="AI6" s="8">
        <f t="shared" si="22"/>
        <v>63.96</v>
      </c>
      <c r="AJ6" s="8">
        <f t="shared" si="23"/>
        <v>28.99</v>
      </c>
      <c r="AK6" s="8"/>
      <c r="AL6" s="8"/>
      <c r="AM6" s="8">
        <f t="shared" si="24"/>
        <v>0</v>
      </c>
      <c r="AN6" s="8">
        <f t="shared" si="25"/>
        <v>160.78</v>
      </c>
    </row>
    <row r="7" spans="1:40" ht="48" customHeight="1" x14ac:dyDescent="0.2">
      <c r="A7" s="8" t="str">
        <f>Elettricità!I7</f>
        <v>IT001E04170922</v>
      </c>
      <c r="B7" s="8" t="str">
        <f>Elettricità!A7</f>
        <v>005051431111.PDF</v>
      </c>
      <c r="C7" s="9">
        <f>Elettricità!E7</f>
        <v>45478</v>
      </c>
      <c r="D7" s="9">
        <f>Elettricità!K7</f>
        <v>45444</v>
      </c>
      <c r="E7" s="9">
        <f>Elettricità!L7</f>
        <v>45473</v>
      </c>
      <c r="F7" s="8">
        <f>Elettricità!M7</f>
        <v>569</v>
      </c>
      <c r="G7" s="8">
        <f>Elettricità!N7</f>
        <v>192</v>
      </c>
      <c r="H7" s="8">
        <f>Elettricità!O7</f>
        <v>151</v>
      </c>
      <c r="I7" s="8">
        <f>Elettricità!P7</f>
        <v>226</v>
      </c>
      <c r="J7" s="8">
        <f>Elettricità!Q7</f>
        <v>174</v>
      </c>
      <c r="K7" s="8">
        <f>Elettricità!R7</f>
        <v>65</v>
      </c>
      <c r="L7" s="8">
        <f>Elettricità!S7</f>
        <v>46</v>
      </c>
      <c r="M7" s="8">
        <f>Elettricità!T7</f>
        <v>63</v>
      </c>
      <c r="N7" s="8">
        <f>Elettricità!W7</f>
        <v>146.19999999999999</v>
      </c>
      <c r="O7" s="8">
        <f>Elettricità!X7</f>
        <v>178.36</v>
      </c>
      <c r="P7" s="8">
        <f>Elettricità!Y7</f>
        <v>0</v>
      </c>
      <c r="Q7" s="8">
        <f>Elettricità!Z7</f>
        <v>76.28</v>
      </c>
      <c r="R7" s="8">
        <f>Elettricità!AA7</f>
        <v>22.66</v>
      </c>
      <c r="S7" s="8">
        <f>Elettricità!AB7</f>
        <v>40.15</v>
      </c>
      <c r="T7" s="8">
        <f>Elettricità!AC7</f>
        <v>0</v>
      </c>
      <c r="U7" s="8">
        <f>Elettricità!AD7</f>
        <v>32.159999999999997</v>
      </c>
      <c r="V7" s="8">
        <f t="shared" si="13"/>
        <v>2024</v>
      </c>
      <c r="W7" s="8">
        <f>_xlfn.XLOOKUP(A7,Fabbricati!E:E,Fabbricati!D:D)</f>
        <v>382908635</v>
      </c>
      <c r="X7" s="9">
        <f t="shared" si="14"/>
        <v>45478</v>
      </c>
      <c r="Y7" s="9">
        <f t="shared" si="15"/>
        <v>45444</v>
      </c>
      <c r="Z7" s="9">
        <f t="shared" si="16"/>
        <v>45473</v>
      </c>
      <c r="AA7" s="8">
        <f t="shared" si="17"/>
        <v>30</v>
      </c>
      <c r="AB7" s="8">
        <f t="shared" si="18"/>
        <v>569</v>
      </c>
      <c r="AC7" s="12" t="s">
        <v>149</v>
      </c>
      <c r="AD7" s="11" t="str">
        <f t="shared" si="19"/>
        <v>192
151
226</v>
      </c>
      <c r="AE7" s="11" t="str">
        <f t="shared" si="20"/>
        <v>65
46
63</v>
      </c>
      <c r="AF7" s="11"/>
      <c r="AG7" s="11"/>
      <c r="AH7" s="8">
        <f t="shared" si="21"/>
        <v>62.81</v>
      </c>
      <c r="AI7" s="8">
        <f t="shared" si="22"/>
        <v>76.28</v>
      </c>
      <c r="AJ7" s="8">
        <f t="shared" si="23"/>
        <v>32.159999999999997</v>
      </c>
      <c r="AK7" s="8"/>
      <c r="AL7" s="8"/>
      <c r="AM7" s="8">
        <f t="shared" si="24"/>
        <v>0</v>
      </c>
      <c r="AN7" s="8">
        <f t="shared" si="25"/>
        <v>178.36</v>
      </c>
    </row>
    <row r="8" spans="1:40" ht="48" customHeight="1" x14ac:dyDescent="0.2">
      <c r="A8" s="8" t="str">
        <f>Elettricità!I8</f>
        <v>IT001E04170922</v>
      </c>
      <c r="B8" s="8" t="str">
        <f>Elettricità!A8</f>
        <v>005059958074(1).PDF</v>
      </c>
      <c r="C8" s="9">
        <f>Elettricità!E8</f>
        <v>45511</v>
      </c>
      <c r="D8" s="9">
        <f>Elettricità!K8</f>
        <v>45474</v>
      </c>
      <c r="E8" s="9">
        <f>Elettricità!L8</f>
        <v>45504</v>
      </c>
      <c r="F8" s="8">
        <f>Elettricità!M8</f>
        <v>430</v>
      </c>
      <c r="G8" s="8">
        <f>Elettricità!N8</f>
        <v>199</v>
      </c>
      <c r="H8" s="8">
        <f>Elettricità!O8</f>
        <v>100</v>
      </c>
      <c r="I8" s="8">
        <f>Elettricità!P8</f>
        <v>131</v>
      </c>
      <c r="J8" s="8">
        <f>Elettricità!Q8</f>
        <v>32</v>
      </c>
      <c r="K8" s="8">
        <f>Elettricità!R8</f>
        <v>19</v>
      </c>
      <c r="L8" s="8">
        <f>Elettricità!S8</f>
        <v>8</v>
      </c>
      <c r="M8" s="8">
        <f>Elettricità!T8</f>
        <v>5</v>
      </c>
      <c r="N8" s="8">
        <f>Elettricità!W8</f>
        <v>122.05</v>
      </c>
      <c r="O8" s="8">
        <f>Elettricità!X8</f>
        <v>148.9</v>
      </c>
      <c r="P8" s="8">
        <f>Elettricità!Y8</f>
        <v>0</v>
      </c>
      <c r="Q8" s="8">
        <f>Elettricità!Z8</f>
        <v>66.239999999999995</v>
      </c>
      <c r="R8" s="8">
        <f>Elettricità!AA8</f>
        <v>18.98</v>
      </c>
      <c r="S8" s="8">
        <f>Elettricità!AB8</f>
        <v>31.45</v>
      </c>
      <c r="T8" s="8">
        <f>Elettricità!AC8</f>
        <v>0</v>
      </c>
      <c r="U8" s="8">
        <f>Elettricità!AD8</f>
        <v>26.85</v>
      </c>
      <c r="V8" s="8">
        <f t="shared" si="13"/>
        <v>2024</v>
      </c>
      <c r="W8" s="8">
        <f>_xlfn.XLOOKUP(A8,Fabbricati!E:E,Fabbricati!D:D)</f>
        <v>382908635</v>
      </c>
      <c r="X8" s="9">
        <f t="shared" si="14"/>
        <v>45511</v>
      </c>
      <c r="Y8" s="9">
        <f t="shared" si="15"/>
        <v>45474</v>
      </c>
      <c r="Z8" s="9">
        <f t="shared" si="16"/>
        <v>45504</v>
      </c>
      <c r="AA8" s="8">
        <f t="shared" si="17"/>
        <v>31</v>
      </c>
      <c r="AB8" s="8">
        <f t="shared" si="18"/>
        <v>430</v>
      </c>
      <c r="AC8" s="12" t="s">
        <v>149</v>
      </c>
      <c r="AD8" s="11" t="str">
        <f t="shared" si="19"/>
        <v>199
100
131</v>
      </c>
      <c r="AE8" s="11" t="str">
        <f t="shared" si="20"/>
        <v>19
8
5</v>
      </c>
      <c r="AF8" s="11"/>
      <c r="AG8" s="11"/>
      <c r="AH8" s="8">
        <f t="shared" si="21"/>
        <v>50.43</v>
      </c>
      <c r="AI8" s="8">
        <f t="shared" si="22"/>
        <v>66.239999999999995</v>
      </c>
      <c r="AJ8" s="8">
        <f t="shared" si="23"/>
        <v>26.85</v>
      </c>
      <c r="AK8" s="8"/>
      <c r="AL8" s="8"/>
      <c r="AM8" s="8">
        <f t="shared" si="24"/>
        <v>0</v>
      </c>
      <c r="AN8" s="8">
        <f t="shared" si="25"/>
        <v>148.9</v>
      </c>
    </row>
    <row r="9" spans="1:40" ht="48" customHeight="1" x14ac:dyDescent="0.2">
      <c r="A9" s="8" t="str">
        <f>Elettricità!I9</f>
        <v>IT001E04170922</v>
      </c>
      <c r="B9" s="8" t="str">
        <f>Elettricità!A9</f>
        <v>005067307609.PDF</v>
      </c>
      <c r="C9" s="9">
        <f>Elettricità!E9</f>
        <v>45541</v>
      </c>
      <c r="D9" s="9">
        <f>Elettricità!K9</f>
        <v>45505</v>
      </c>
      <c r="E9" s="9">
        <f>Elettricità!L9</f>
        <v>45535</v>
      </c>
      <c r="F9" s="8">
        <f>Elettricità!M9</f>
        <v>2422</v>
      </c>
      <c r="G9" s="8">
        <f>Elettricità!N9</f>
        <v>1015</v>
      </c>
      <c r="H9" s="8">
        <f>Elettricità!O9</f>
        <v>599</v>
      </c>
      <c r="I9" s="8">
        <f>Elettricità!P9</f>
        <v>808</v>
      </c>
      <c r="J9" s="8">
        <f>Elettricità!Q9</f>
        <v>435</v>
      </c>
      <c r="K9" s="8">
        <f>Elettricità!R9</f>
        <v>252</v>
      </c>
      <c r="L9" s="8">
        <f>Elettricità!S9</f>
        <v>101</v>
      </c>
      <c r="M9" s="8">
        <f>Elettricità!T9</f>
        <v>82</v>
      </c>
      <c r="N9" s="8">
        <f>Elettricità!W9</f>
        <v>79.53</v>
      </c>
      <c r="O9" s="8">
        <f>Elettricità!X9</f>
        <v>97.03</v>
      </c>
      <c r="P9" s="8">
        <f>Elettricità!Y9</f>
        <v>0</v>
      </c>
      <c r="Q9" s="8">
        <f>Elettricità!Z9</f>
        <v>48.2</v>
      </c>
      <c r="R9" s="8">
        <f>Elettricità!AA9</f>
        <v>9.67</v>
      </c>
      <c r="S9" s="8">
        <f>Elettricità!AB9</f>
        <v>18.45</v>
      </c>
      <c r="T9" s="8">
        <f>Elettricità!AC9</f>
        <v>0</v>
      </c>
      <c r="U9" s="8">
        <f>Elettricità!AD9</f>
        <v>17.5</v>
      </c>
      <c r="V9" s="8">
        <f t="shared" si="13"/>
        <v>2024</v>
      </c>
      <c r="W9" s="8">
        <f>_xlfn.XLOOKUP(A9,Fabbricati!E:E,Fabbricati!D:D)</f>
        <v>382908635</v>
      </c>
      <c r="X9" s="9">
        <f t="shared" si="14"/>
        <v>45541</v>
      </c>
      <c r="Y9" s="9">
        <f t="shared" si="15"/>
        <v>45505</v>
      </c>
      <c r="Z9" s="9">
        <f t="shared" si="16"/>
        <v>45535</v>
      </c>
      <c r="AA9" s="8">
        <f t="shared" si="17"/>
        <v>31</v>
      </c>
      <c r="AB9" s="8">
        <f t="shared" si="18"/>
        <v>2422</v>
      </c>
      <c r="AC9" s="12" t="s">
        <v>149</v>
      </c>
      <c r="AD9" s="11" t="str">
        <f t="shared" si="19"/>
        <v>1015
599
808</v>
      </c>
      <c r="AE9" s="11" t="str">
        <f t="shared" si="20"/>
        <v>252
101
82</v>
      </c>
      <c r="AF9" s="11"/>
      <c r="AG9" s="11"/>
      <c r="AH9" s="8">
        <f t="shared" si="21"/>
        <v>28.119999999999997</v>
      </c>
      <c r="AI9" s="8">
        <f t="shared" si="22"/>
        <v>48.2</v>
      </c>
      <c r="AJ9" s="8">
        <f t="shared" si="23"/>
        <v>17.5</v>
      </c>
      <c r="AK9" s="8"/>
      <c r="AL9" s="8"/>
      <c r="AM9" s="8">
        <f t="shared" si="24"/>
        <v>0</v>
      </c>
      <c r="AN9" s="8">
        <f t="shared" si="25"/>
        <v>97.03</v>
      </c>
    </row>
    <row r="10" spans="1:40" ht="48" customHeight="1" x14ac:dyDescent="0.2">
      <c r="A10" s="8" t="str">
        <f>Elettricità!I10</f>
        <v>IT001E04170922</v>
      </c>
      <c r="B10" s="8" t="str">
        <f>Elettricità!A10</f>
        <v>005076347788.PDF</v>
      </c>
      <c r="C10" s="9">
        <f>Elettricità!E10</f>
        <v>45571</v>
      </c>
      <c r="D10" s="9">
        <f>Elettricità!K10</f>
        <v>45536</v>
      </c>
      <c r="E10" s="9">
        <f>Elettricità!L10</f>
        <v>45565</v>
      </c>
      <c r="F10" s="8">
        <f>Elettricità!M10</f>
        <v>328</v>
      </c>
      <c r="G10" s="8">
        <f>Elettricità!N10</f>
        <v>98</v>
      </c>
      <c r="H10" s="8">
        <f>Elettricità!O10</f>
        <v>83</v>
      </c>
      <c r="I10" s="8">
        <f>Elettricità!P10</f>
        <v>147</v>
      </c>
      <c r="J10" s="8">
        <f>Elettricità!Q10</f>
        <v>1</v>
      </c>
      <c r="K10" s="8">
        <f>Elettricità!R10</f>
        <v>1</v>
      </c>
      <c r="L10" s="8">
        <f>Elettricità!S10</f>
        <v>0</v>
      </c>
      <c r="M10" s="8">
        <f>Elettricità!T10</f>
        <v>0</v>
      </c>
      <c r="N10" s="8">
        <f>Elettricità!W10</f>
        <v>81.63</v>
      </c>
      <c r="O10" s="8">
        <f>Elettricità!X10</f>
        <v>99.59</v>
      </c>
      <c r="P10" s="8">
        <f>Elettricità!Y10</f>
        <v>0</v>
      </c>
      <c r="Q10" s="8">
        <f>Elettricità!Z10</f>
        <v>47.62</v>
      </c>
      <c r="R10" s="8">
        <f>Elettricità!AA10</f>
        <v>10.32</v>
      </c>
      <c r="S10" s="8">
        <f>Elettricità!AB10</f>
        <v>19.59</v>
      </c>
      <c r="T10" s="8">
        <f>Elettricità!AC10</f>
        <v>0</v>
      </c>
      <c r="U10" s="8">
        <f>Elettricità!AD10</f>
        <v>17.96</v>
      </c>
      <c r="V10" s="8">
        <f t="shared" si="13"/>
        <v>2024</v>
      </c>
      <c r="W10" s="8">
        <f>_xlfn.XLOOKUP(A10,Fabbricati!E:E,Fabbricati!D:D)</f>
        <v>382908635</v>
      </c>
      <c r="X10" s="9">
        <f t="shared" si="14"/>
        <v>45571</v>
      </c>
      <c r="Y10" s="9">
        <f t="shared" si="15"/>
        <v>45536</v>
      </c>
      <c r="Z10" s="9">
        <f t="shared" si="16"/>
        <v>45565</v>
      </c>
      <c r="AA10" s="8">
        <f t="shared" si="17"/>
        <v>30</v>
      </c>
      <c r="AB10" s="8">
        <f t="shared" si="18"/>
        <v>328</v>
      </c>
      <c r="AC10" s="12" t="s">
        <v>149</v>
      </c>
      <c r="AD10" s="11" t="str">
        <f t="shared" si="19"/>
        <v>98
83
147</v>
      </c>
      <c r="AE10" s="11" t="str">
        <f t="shared" si="20"/>
        <v>1
0
0</v>
      </c>
      <c r="AF10" s="11"/>
      <c r="AG10" s="11"/>
      <c r="AH10" s="8">
        <f t="shared" si="21"/>
        <v>29.91</v>
      </c>
      <c r="AI10" s="8">
        <f t="shared" si="22"/>
        <v>47.62</v>
      </c>
      <c r="AJ10" s="8">
        <f t="shared" si="23"/>
        <v>17.96</v>
      </c>
      <c r="AK10" s="8"/>
      <c r="AL10" s="8"/>
      <c r="AM10" s="8">
        <f t="shared" si="24"/>
        <v>0</v>
      </c>
      <c r="AN10" s="8">
        <f t="shared" si="25"/>
        <v>99.59</v>
      </c>
    </row>
    <row r="11" spans="1:40" ht="48" customHeight="1" x14ac:dyDescent="0.2">
      <c r="A11" s="8" t="str">
        <f>Elettricità!I11</f>
        <v>IT001E04170922</v>
      </c>
      <c r="B11" s="8" t="str">
        <f>Elettricità!A11</f>
        <v>005085485044.PDF</v>
      </c>
      <c r="C11" s="9">
        <f>Elettricità!E11</f>
        <v>45604</v>
      </c>
      <c r="D11" s="9">
        <f>Elettricità!K11</f>
        <v>45566</v>
      </c>
      <c r="E11" s="9">
        <f>Elettricità!L11</f>
        <v>45596</v>
      </c>
      <c r="F11" s="8">
        <f>Elettricità!M11</f>
        <v>487</v>
      </c>
      <c r="G11" s="8">
        <f>Elettricità!N11</f>
        <v>214</v>
      </c>
      <c r="H11" s="8">
        <f>Elettricità!O11</f>
        <v>120</v>
      </c>
      <c r="I11" s="8">
        <f>Elettricità!P11</f>
        <v>153</v>
      </c>
      <c r="J11" s="8">
        <f>Elettricità!Q11</f>
        <v>43</v>
      </c>
      <c r="K11" s="8">
        <f>Elettricità!R11</f>
        <v>33</v>
      </c>
      <c r="L11" s="8">
        <f>Elettricità!S11</f>
        <v>9</v>
      </c>
      <c r="M11" s="8">
        <f>Elettricità!T11</f>
        <v>1</v>
      </c>
      <c r="N11" s="8">
        <f>Elettricità!W11</f>
        <v>137.54</v>
      </c>
      <c r="O11" s="8">
        <f>Elettricità!X11</f>
        <v>167.8</v>
      </c>
      <c r="P11" s="8">
        <f>Elettricità!Y11</f>
        <v>0</v>
      </c>
      <c r="Q11" s="8">
        <f>Elettricità!Z11</f>
        <v>72.42</v>
      </c>
      <c r="R11" s="8">
        <f>Elettricità!AA11</f>
        <v>22.3</v>
      </c>
      <c r="S11" s="8">
        <f>Elettricità!AB11</f>
        <v>36.729999999999997</v>
      </c>
      <c r="T11" s="8">
        <f>Elettricità!AC11</f>
        <v>0</v>
      </c>
      <c r="U11" s="8">
        <f>Elettricità!AD11</f>
        <v>30.26</v>
      </c>
      <c r="V11" s="8">
        <f t="shared" si="13"/>
        <v>2024</v>
      </c>
      <c r="W11" s="8">
        <f>_xlfn.XLOOKUP(A11,Fabbricati!E:E,Fabbricati!D:D)</f>
        <v>382908635</v>
      </c>
      <c r="X11" s="9">
        <f t="shared" si="14"/>
        <v>45604</v>
      </c>
      <c r="Y11" s="9">
        <f t="shared" si="15"/>
        <v>45566</v>
      </c>
      <c r="Z11" s="9">
        <f t="shared" si="16"/>
        <v>45596</v>
      </c>
      <c r="AA11" s="8">
        <f t="shared" si="17"/>
        <v>31</v>
      </c>
      <c r="AB11" s="8">
        <f t="shared" si="18"/>
        <v>487</v>
      </c>
      <c r="AC11" s="12" t="s">
        <v>149</v>
      </c>
      <c r="AD11" s="11" t="str">
        <f t="shared" si="19"/>
        <v>214
120
153</v>
      </c>
      <c r="AE11" s="11" t="str">
        <f t="shared" si="20"/>
        <v>33
9
1</v>
      </c>
      <c r="AF11" s="11"/>
      <c r="AG11" s="11"/>
      <c r="AH11" s="8">
        <f t="shared" si="21"/>
        <v>59.03</v>
      </c>
      <c r="AI11" s="8">
        <f t="shared" si="22"/>
        <v>72.42</v>
      </c>
      <c r="AJ11" s="8">
        <f t="shared" si="23"/>
        <v>30.26</v>
      </c>
      <c r="AK11" s="8"/>
      <c r="AL11" s="8"/>
      <c r="AM11" s="8">
        <f t="shared" si="24"/>
        <v>0</v>
      </c>
      <c r="AN11" s="8">
        <f t="shared" si="25"/>
        <v>167.8</v>
      </c>
    </row>
    <row r="12" spans="1:40" ht="48" customHeight="1" x14ac:dyDescent="0.2">
      <c r="A12" s="8" t="str">
        <f>Elettricità!I12</f>
        <v>IT001E04170922</v>
      </c>
      <c r="B12" s="8" t="str">
        <f>Elettricità!A12</f>
        <v>005093369278.PDF</v>
      </c>
      <c r="C12" s="9">
        <f>Elettricità!E12</f>
        <v>45632</v>
      </c>
      <c r="D12" s="9">
        <f>Elettricità!K12</f>
        <v>45597</v>
      </c>
      <c r="E12" s="9">
        <f>Elettricità!L12</f>
        <v>45626</v>
      </c>
      <c r="F12" s="8">
        <f>Elettricità!M12</f>
        <v>843</v>
      </c>
      <c r="G12" s="8">
        <f>Elettricità!N12</f>
        <v>315</v>
      </c>
      <c r="H12" s="8">
        <f>Elettricità!O12</f>
        <v>232</v>
      </c>
      <c r="I12" s="8">
        <f>Elettricità!P12</f>
        <v>296</v>
      </c>
      <c r="J12" s="8">
        <f>Elettricità!Q12</f>
        <v>204</v>
      </c>
      <c r="K12" s="8">
        <f>Elettricità!R12</f>
        <v>96</v>
      </c>
      <c r="L12" s="8">
        <f>Elettricità!S12</f>
        <v>62</v>
      </c>
      <c r="M12" s="8">
        <f>Elettricità!T12</f>
        <v>46</v>
      </c>
      <c r="N12" s="8">
        <f>Elettricità!W12</f>
        <v>244</v>
      </c>
      <c r="O12" s="8">
        <f>Elettricità!X12</f>
        <v>297.68</v>
      </c>
      <c r="P12" s="8">
        <f>Elettricità!Y12</f>
        <v>0</v>
      </c>
      <c r="Q12" s="8">
        <f>Elettricità!Z12</f>
        <v>139.21</v>
      </c>
      <c r="R12" s="8">
        <f>Elettricità!AA12</f>
        <v>34.07</v>
      </c>
      <c r="S12" s="8">
        <f>Elettricità!AB12</f>
        <v>60.18</v>
      </c>
      <c r="T12" s="8">
        <f>Elettricità!AC12</f>
        <v>0</v>
      </c>
      <c r="U12" s="8">
        <f>Elettricità!AD12</f>
        <v>53.68</v>
      </c>
      <c r="V12" s="8">
        <f t="shared" si="13"/>
        <v>2024</v>
      </c>
      <c r="W12" s="8">
        <f>_xlfn.XLOOKUP(A12,Fabbricati!E:E,Fabbricati!D:D)</f>
        <v>382908635</v>
      </c>
      <c r="X12" s="9">
        <f t="shared" si="14"/>
        <v>45632</v>
      </c>
      <c r="Y12" s="9">
        <f t="shared" si="15"/>
        <v>45597</v>
      </c>
      <c r="Z12" s="9">
        <f t="shared" si="16"/>
        <v>45626</v>
      </c>
      <c r="AA12" s="8">
        <f t="shared" si="17"/>
        <v>30</v>
      </c>
      <c r="AB12" s="8">
        <f t="shared" si="18"/>
        <v>843</v>
      </c>
      <c r="AC12" s="12" t="s">
        <v>149</v>
      </c>
      <c r="AD12" s="11" t="str">
        <f t="shared" si="19"/>
        <v>315
232
296</v>
      </c>
      <c r="AE12" s="11" t="str">
        <f t="shared" si="20"/>
        <v>96
62
46</v>
      </c>
      <c r="AF12" s="11"/>
      <c r="AG12" s="11"/>
      <c r="AH12" s="8">
        <f t="shared" si="21"/>
        <v>94.25</v>
      </c>
      <c r="AI12" s="8">
        <f t="shared" si="22"/>
        <v>139.21</v>
      </c>
      <c r="AJ12" s="8">
        <f t="shared" si="23"/>
        <v>53.68</v>
      </c>
      <c r="AK12" s="8"/>
      <c r="AL12" s="8"/>
      <c r="AM12" s="8">
        <f t="shared" si="24"/>
        <v>0</v>
      </c>
      <c r="AN12" s="8">
        <f t="shared" si="25"/>
        <v>297.68</v>
      </c>
    </row>
    <row r="13" spans="1:40" ht="48" customHeight="1" x14ac:dyDescent="0.2">
      <c r="A13" s="8" t="str">
        <f>Elettricità!I13</f>
        <v>IT001E04170922</v>
      </c>
      <c r="B13" s="8" t="str">
        <f>Elettricità!A13</f>
        <v>005200218691.PDF</v>
      </c>
      <c r="C13" s="9">
        <f>Elettricità!E13</f>
        <v>45665</v>
      </c>
      <c r="D13" s="9">
        <f>Elettricità!K13</f>
        <v>45627</v>
      </c>
      <c r="E13" s="9">
        <f>Elettricità!L13</f>
        <v>45657</v>
      </c>
      <c r="F13" s="8">
        <f>Elettricità!M13</f>
        <v>1020</v>
      </c>
      <c r="G13" s="8">
        <f>Elettricità!N13</f>
        <v>414</v>
      </c>
      <c r="H13" s="8">
        <f>Elettricità!O13</f>
        <v>240</v>
      </c>
      <c r="I13" s="8">
        <f>Elettricità!P13</f>
        <v>366</v>
      </c>
      <c r="J13" s="8">
        <f>Elettricità!Q13</f>
        <v>345</v>
      </c>
      <c r="K13" s="8">
        <f>Elettricità!R13</f>
        <v>185</v>
      </c>
      <c r="L13" s="8">
        <f>Elettricità!S13</f>
        <v>84</v>
      </c>
      <c r="M13" s="8">
        <f>Elettricità!T13</f>
        <v>76</v>
      </c>
      <c r="N13" s="8">
        <f>Elettricità!W13</f>
        <v>292.58</v>
      </c>
      <c r="O13" s="8">
        <f>Elettricità!X13</f>
        <v>356.95</v>
      </c>
      <c r="P13" s="8">
        <f>Elettricità!Y13</f>
        <v>0</v>
      </c>
      <c r="Q13" s="8">
        <f>Elettricità!Z13</f>
        <v>181.24</v>
      </c>
      <c r="R13" s="8">
        <f>Elettricità!AA13</f>
        <v>33.270000000000003</v>
      </c>
      <c r="S13" s="8">
        <f>Elettricità!AB13</f>
        <v>65.319999999999993</v>
      </c>
      <c r="T13" s="8">
        <f>Elettricità!AC13</f>
        <v>0</v>
      </c>
      <c r="U13" s="8">
        <f>Elettricità!AD13</f>
        <v>64.37</v>
      </c>
      <c r="V13" s="8">
        <f t="shared" si="13"/>
        <v>2024</v>
      </c>
      <c r="W13" s="8">
        <f>_xlfn.XLOOKUP(A13,Fabbricati!E:E,Fabbricati!D:D)</f>
        <v>382908635</v>
      </c>
      <c r="X13" s="9">
        <f t="shared" si="14"/>
        <v>45665</v>
      </c>
      <c r="Y13" s="9">
        <f t="shared" si="15"/>
        <v>45627</v>
      </c>
      <c r="Z13" s="9">
        <f t="shared" si="16"/>
        <v>45657</v>
      </c>
      <c r="AA13" s="8">
        <f t="shared" si="17"/>
        <v>31</v>
      </c>
      <c r="AB13" s="8">
        <f t="shared" si="18"/>
        <v>1020</v>
      </c>
      <c r="AC13" s="12" t="s">
        <v>149</v>
      </c>
      <c r="AD13" s="11" t="str">
        <f t="shared" si="19"/>
        <v>414
240
366</v>
      </c>
      <c r="AE13" s="11" t="str">
        <f t="shared" si="20"/>
        <v>185
84
76</v>
      </c>
      <c r="AF13" s="11"/>
      <c r="AG13" s="11"/>
      <c r="AH13" s="8">
        <f t="shared" si="21"/>
        <v>98.59</v>
      </c>
      <c r="AI13" s="8">
        <f t="shared" si="22"/>
        <v>181.24</v>
      </c>
      <c r="AJ13" s="8">
        <f t="shared" si="23"/>
        <v>64.37</v>
      </c>
      <c r="AK13" s="8"/>
      <c r="AL13" s="8"/>
      <c r="AM13" s="8">
        <f t="shared" si="24"/>
        <v>0</v>
      </c>
      <c r="AN13" s="8">
        <f t="shared" si="25"/>
        <v>356.95</v>
      </c>
    </row>
    <row r="14" spans="1:40" ht="48" customHeight="1" x14ac:dyDescent="0.2">
      <c r="A14" s="8" t="str">
        <f>Elettricità!I14</f>
        <v>IT001E04170926</v>
      </c>
      <c r="B14" s="8" t="str">
        <f>Elettricità!A14</f>
        <v>824500041348_2024_d.pdf</v>
      </c>
      <c r="C14" s="9">
        <f>Elettricità!E14</f>
        <v>45349</v>
      </c>
      <c r="D14" s="9">
        <f>Elettricità!K14</f>
        <v>45292</v>
      </c>
      <c r="E14" s="9">
        <f>Elettricità!L14</f>
        <v>45322</v>
      </c>
      <c r="F14" s="8">
        <f>Elettricità!M14</f>
        <v>481</v>
      </c>
      <c r="G14" s="8">
        <f>Elettricità!N14</f>
        <v>211</v>
      </c>
      <c r="H14" s="8">
        <f>Elettricità!O14</f>
        <v>105</v>
      </c>
      <c r="I14" s="8">
        <f>Elettricità!P14</f>
        <v>165</v>
      </c>
      <c r="J14" s="8">
        <f>Elettricità!Q14</f>
        <v>219</v>
      </c>
      <c r="K14" s="8">
        <f>Elettricità!R14</f>
        <v>80</v>
      </c>
      <c r="L14" s="8">
        <f>Elettricità!S14</f>
        <v>44</v>
      </c>
      <c r="M14" s="8">
        <f>Elettricità!T14</f>
        <v>95</v>
      </c>
      <c r="N14" s="8">
        <f>Elettricità!W14</f>
        <v>143.88999999999999</v>
      </c>
      <c r="O14" s="8">
        <f>Elettricità!X14</f>
        <v>175.55</v>
      </c>
      <c r="P14" s="8">
        <f>Elettricità!Y14</f>
        <v>0</v>
      </c>
      <c r="Q14" s="8">
        <f>Elettricità!Z14</f>
        <v>76.11</v>
      </c>
      <c r="R14" s="8">
        <f>Elettricità!AA14</f>
        <v>25</v>
      </c>
      <c r="S14" s="8">
        <f>Elettricità!AB14</f>
        <v>34.36</v>
      </c>
      <c r="T14" s="8">
        <f>Elettricità!AC14</f>
        <v>2.41</v>
      </c>
      <c r="U14" s="8">
        <f>Elettricità!AD14</f>
        <v>6.01</v>
      </c>
      <c r="V14" s="8">
        <f t="shared" si="13"/>
        <v>2024</v>
      </c>
      <c r="W14" s="8">
        <f>_xlfn.XLOOKUP(A14,Fabbricati!E:E,Fabbricati!D:D)</f>
        <v>382397959</v>
      </c>
      <c r="X14" s="9">
        <f t="shared" si="14"/>
        <v>45349</v>
      </c>
      <c r="Y14" s="9">
        <f t="shared" si="15"/>
        <v>45292</v>
      </c>
      <c r="Z14" s="9">
        <f t="shared" si="16"/>
        <v>45322</v>
      </c>
      <c r="AA14" s="8">
        <f t="shared" si="17"/>
        <v>31</v>
      </c>
      <c r="AB14" s="8">
        <f t="shared" si="18"/>
        <v>481</v>
      </c>
      <c r="AC14" s="12" t="s">
        <v>149</v>
      </c>
      <c r="AD14" s="11" t="str">
        <f t="shared" si="19"/>
        <v>211
105
165</v>
      </c>
      <c r="AE14" s="11" t="str">
        <f t="shared" si="20"/>
        <v>80
44
95</v>
      </c>
      <c r="AF14" s="11"/>
      <c r="AG14" s="11"/>
      <c r="AH14" s="8">
        <f t="shared" si="21"/>
        <v>59.36</v>
      </c>
      <c r="AI14" s="8">
        <f t="shared" si="22"/>
        <v>76.11</v>
      </c>
      <c r="AJ14" s="8">
        <f t="shared" si="23"/>
        <v>6.01</v>
      </c>
      <c r="AK14" s="8"/>
      <c r="AL14" s="8"/>
      <c r="AM14" s="8">
        <f t="shared" si="24"/>
        <v>2.41</v>
      </c>
      <c r="AN14" s="8">
        <f t="shared" si="25"/>
        <v>175.55</v>
      </c>
    </row>
    <row r="15" spans="1:40" ht="48" customHeight="1" x14ac:dyDescent="0.2">
      <c r="A15" s="8" t="str">
        <f>Elettricità!I15</f>
        <v>IT001E04170926</v>
      </c>
      <c r="B15" s="8" t="str">
        <f>Elettricità!A15</f>
        <v>005018359673.pdf</v>
      </c>
      <c r="C15" s="9">
        <f>Elettricità!E15</f>
        <v>45358</v>
      </c>
      <c r="D15" s="9">
        <f>Elettricità!K15</f>
        <v>45323</v>
      </c>
      <c r="E15" s="9">
        <f>Elettricità!L15</f>
        <v>45351</v>
      </c>
      <c r="F15" s="8">
        <f>Elettricità!M15</f>
        <v>458</v>
      </c>
      <c r="G15" s="8">
        <f>Elettricità!N15</f>
        <v>199</v>
      </c>
      <c r="H15" s="8">
        <f>Elettricità!O15</f>
        <v>118</v>
      </c>
      <c r="I15" s="8">
        <f>Elettricità!P15</f>
        <v>141</v>
      </c>
      <c r="J15" s="8">
        <f>Elettricità!Q15</f>
        <v>226</v>
      </c>
      <c r="K15" s="8">
        <f>Elettricità!R15</f>
        <v>85</v>
      </c>
      <c r="L15" s="8">
        <f>Elettricità!S15</f>
        <v>51</v>
      </c>
      <c r="M15" s="8">
        <f>Elettricità!T15</f>
        <v>90</v>
      </c>
      <c r="N15" s="8">
        <f>Elettricità!W15</f>
        <v>119.49</v>
      </c>
      <c r="O15" s="8">
        <f>Elettricità!X15</f>
        <v>145.78</v>
      </c>
      <c r="P15" s="8">
        <f>Elettricità!Y15</f>
        <v>0</v>
      </c>
      <c r="Q15" s="8">
        <f>Elettricità!Z15</f>
        <v>55.65</v>
      </c>
      <c r="R15" s="8">
        <f>Elettricità!AA15</f>
        <v>24.71</v>
      </c>
      <c r="S15" s="8">
        <f>Elettricità!AB15</f>
        <v>33.4</v>
      </c>
      <c r="T15" s="8">
        <f>Elettricità!AC15</f>
        <v>0</v>
      </c>
      <c r="U15" s="8">
        <f>Elettricità!AD15</f>
        <v>26.29</v>
      </c>
      <c r="V15" s="8">
        <f t="shared" si="13"/>
        <v>2024</v>
      </c>
      <c r="W15" s="8">
        <f>_xlfn.XLOOKUP(A15,Fabbricati!E:E,Fabbricati!D:D)</f>
        <v>382397959</v>
      </c>
      <c r="X15" s="9">
        <f t="shared" si="14"/>
        <v>45358</v>
      </c>
      <c r="Y15" s="9">
        <f t="shared" si="15"/>
        <v>45323</v>
      </c>
      <c r="Z15" s="9">
        <f t="shared" si="16"/>
        <v>45351</v>
      </c>
      <c r="AA15" s="8">
        <f t="shared" si="17"/>
        <v>29</v>
      </c>
      <c r="AB15" s="8">
        <f t="shared" si="18"/>
        <v>458</v>
      </c>
      <c r="AC15" s="12" t="s">
        <v>149</v>
      </c>
      <c r="AD15" s="11" t="str">
        <f t="shared" si="19"/>
        <v>199
118
141</v>
      </c>
      <c r="AE15" s="11" t="str">
        <f t="shared" si="20"/>
        <v>85
51
90</v>
      </c>
      <c r="AF15" s="11"/>
      <c r="AG15" s="11"/>
      <c r="AH15" s="8">
        <f t="shared" si="21"/>
        <v>58.11</v>
      </c>
      <c r="AI15" s="8">
        <f t="shared" si="22"/>
        <v>55.65</v>
      </c>
      <c r="AJ15" s="8">
        <f t="shared" si="23"/>
        <v>26.29</v>
      </c>
      <c r="AK15" s="8"/>
      <c r="AL15" s="8"/>
      <c r="AM15" s="8">
        <f t="shared" si="24"/>
        <v>0</v>
      </c>
      <c r="AN15" s="8">
        <f t="shared" si="25"/>
        <v>145.78</v>
      </c>
    </row>
    <row r="16" spans="1:40" ht="48" customHeight="1" x14ac:dyDescent="0.2">
      <c r="A16" s="8" t="str">
        <f>Elettricità!I16</f>
        <v>IT001E04170926</v>
      </c>
      <c r="B16" s="8" t="str">
        <f>Elettricità!A16</f>
        <v>005032977773.pdf</v>
      </c>
      <c r="C16" s="9">
        <f>Elettricità!E16</f>
        <v>45395</v>
      </c>
      <c r="D16" s="9">
        <f>Elettricità!K16</f>
        <v>45352</v>
      </c>
      <c r="E16" s="9">
        <f>Elettricità!L16</f>
        <v>45382</v>
      </c>
      <c r="F16" s="8">
        <f>Elettricità!M16</f>
        <v>487</v>
      </c>
      <c r="G16" s="8">
        <f>Elettricità!N16</f>
        <v>182</v>
      </c>
      <c r="H16" s="8">
        <f>Elettricità!O16</f>
        <v>137</v>
      </c>
      <c r="I16" s="8">
        <f>Elettricità!P16</f>
        <v>168</v>
      </c>
      <c r="J16" s="8">
        <f>Elettricità!Q16</f>
        <v>264</v>
      </c>
      <c r="K16" s="8">
        <f>Elettricità!R16</f>
        <v>90</v>
      </c>
      <c r="L16" s="8">
        <f>Elettricità!S16</f>
        <v>63</v>
      </c>
      <c r="M16" s="8">
        <f>Elettricità!T16</f>
        <v>111</v>
      </c>
      <c r="N16" s="8">
        <f>Elettricità!W16</f>
        <v>122.9</v>
      </c>
      <c r="O16" s="8">
        <f>Elettricità!X16</f>
        <v>149.94</v>
      </c>
      <c r="P16" s="8">
        <f>Elettricità!Y16</f>
        <v>0</v>
      </c>
      <c r="Q16" s="8">
        <f>Elettricità!Z16</f>
        <v>57.14</v>
      </c>
      <c r="R16" s="8">
        <f>Elettricità!AA16</f>
        <v>25.07</v>
      </c>
      <c r="S16" s="8">
        <f>Elettricità!AB16</f>
        <v>34.6</v>
      </c>
      <c r="T16" s="8">
        <f>Elettricità!AC16</f>
        <v>0</v>
      </c>
      <c r="U16" s="8">
        <f>Elettricità!AD16</f>
        <v>27.04</v>
      </c>
      <c r="V16" s="8">
        <f t="shared" si="13"/>
        <v>2024</v>
      </c>
      <c r="W16" s="8">
        <f>_xlfn.XLOOKUP(A16,Fabbricati!E:E,Fabbricati!D:D)</f>
        <v>382397959</v>
      </c>
      <c r="X16" s="9">
        <f t="shared" si="14"/>
        <v>45395</v>
      </c>
      <c r="Y16" s="9">
        <f t="shared" si="15"/>
        <v>45352</v>
      </c>
      <c r="Z16" s="9">
        <f t="shared" si="16"/>
        <v>45382</v>
      </c>
      <c r="AA16" s="8">
        <f t="shared" si="17"/>
        <v>31</v>
      </c>
      <c r="AB16" s="8">
        <f t="shared" si="18"/>
        <v>487</v>
      </c>
      <c r="AC16" s="12" t="s">
        <v>149</v>
      </c>
      <c r="AD16" s="11" t="str">
        <f t="shared" si="19"/>
        <v>182
137
168</v>
      </c>
      <c r="AE16" s="11" t="str">
        <f t="shared" si="20"/>
        <v>90
63
111</v>
      </c>
      <c r="AF16" s="11"/>
      <c r="AG16" s="11"/>
      <c r="AH16" s="8">
        <f t="shared" si="21"/>
        <v>59.67</v>
      </c>
      <c r="AI16" s="8">
        <f t="shared" si="22"/>
        <v>57.14</v>
      </c>
      <c r="AJ16" s="8">
        <f t="shared" si="23"/>
        <v>27.04</v>
      </c>
      <c r="AK16" s="8"/>
      <c r="AL16" s="8"/>
      <c r="AM16" s="8">
        <f t="shared" si="24"/>
        <v>0</v>
      </c>
      <c r="AN16" s="8">
        <f t="shared" si="25"/>
        <v>149.94</v>
      </c>
    </row>
    <row r="17" spans="1:40" ht="48" customHeight="1" x14ac:dyDescent="0.2">
      <c r="A17" s="8" t="str">
        <f>Elettricità!I17</f>
        <v>IT001E04170926</v>
      </c>
      <c r="B17" s="8" t="str">
        <f>Elettricità!A17</f>
        <v>005034930228.PDF</v>
      </c>
      <c r="C17" s="9">
        <f>Elettricità!E17</f>
        <v>45419</v>
      </c>
      <c r="D17" s="9">
        <f>Elettricità!K17</f>
        <v>45383</v>
      </c>
      <c r="E17" s="9">
        <f>Elettricità!L17</f>
        <v>45390</v>
      </c>
      <c r="F17" s="8">
        <f>Elettricità!M17</f>
        <v>448</v>
      </c>
      <c r="G17" s="8">
        <f>Elettricità!N17</f>
        <v>169</v>
      </c>
      <c r="H17" s="8">
        <f>Elettricità!O17</f>
        <v>121</v>
      </c>
      <c r="I17" s="8">
        <f>Elettricità!P17</f>
        <v>158</v>
      </c>
      <c r="J17" s="8">
        <f>Elettricità!Q17</f>
        <v>274</v>
      </c>
      <c r="K17" s="8">
        <f>Elettricità!R17</f>
        <v>95</v>
      </c>
      <c r="L17" s="8">
        <f>Elettricità!S17</f>
        <v>58</v>
      </c>
      <c r="M17" s="8">
        <f>Elettricità!T17</f>
        <v>121</v>
      </c>
      <c r="N17" s="8">
        <f>Elettricità!W17</f>
        <v>119.74</v>
      </c>
      <c r="O17" s="8">
        <f>Elettricità!X17</f>
        <v>146.08000000000001</v>
      </c>
      <c r="P17" s="8">
        <f>Elettricità!Y17</f>
        <v>0</v>
      </c>
      <c r="Q17" s="8">
        <f>Elettricità!Z17</f>
        <v>51.15</v>
      </c>
      <c r="R17" s="8">
        <f>Elettricità!AA17</f>
        <v>24.58</v>
      </c>
      <c r="S17" s="8">
        <f>Elettricità!AB17</f>
        <v>38.409999999999997</v>
      </c>
      <c r="T17" s="8">
        <f>Elettricità!AC17</f>
        <v>0</v>
      </c>
      <c r="U17" s="8">
        <f>Elettricità!AD17</f>
        <v>26.34</v>
      </c>
      <c r="V17" s="8">
        <f t="shared" si="13"/>
        <v>2024</v>
      </c>
      <c r="W17" s="8">
        <f>_xlfn.XLOOKUP(A17,Fabbricati!E:E,Fabbricati!D:D)</f>
        <v>382397959</v>
      </c>
      <c r="X17" s="9">
        <f t="shared" si="14"/>
        <v>45419</v>
      </c>
      <c r="Y17" s="9">
        <f t="shared" si="15"/>
        <v>45383</v>
      </c>
      <c r="Z17" s="9">
        <f t="shared" si="16"/>
        <v>45390</v>
      </c>
      <c r="AA17" s="8">
        <f t="shared" si="17"/>
        <v>8</v>
      </c>
      <c r="AB17" s="8">
        <f t="shared" si="18"/>
        <v>448</v>
      </c>
      <c r="AC17" s="12" t="s">
        <v>149</v>
      </c>
      <c r="AD17" s="11" t="str">
        <f t="shared" si="19"/>
        <v>169
121
158</v>
      </c>
      <c r="AE17" s="11" t="str">
        <f t="shared" si="20"/>
        <v>95
58
121</v>
      </c>
      <c r="AF17" s="11"/>
      <c r="AG17" s="11"/>
      <c r="AH17" s="8">
        <f t="shared" si="21"/>
        <v>62.989999999999995</v>
      </c>
      <c r="AI17" s="8">
        <f t="shared" si="22"/>
        <v>51.15</v>
      </c>
      <c r="AJ17" s="8">
        <f t="shared" si="23"/>
        <v>26.34</v>
      </c>
      <c r="AK17" s="8"/>
      <c r="AL17" s="8"/>
      <c r="AM17" s="8">
        <f t="shared" si="24"/>
        <v>0</v>
      </c>
      <c r="AN17" s="8">
        <f t="shared" si="25"/>
        <v>146.08000000000001</v>
      </c>
    </row>
    <row r="18" spans="1:40" ht="48" customHeight="1" x14ac:dyDescent="0.2">
      <c r="A18" s="8" t="str">
        <f>Elettricità!I18</f>
        <v>IT001E04170926</v>
      </c>
      <c r="B18" s="8" t="str">
        <f>Elettricità!A18</f>
        <v>005043663092.PDF</v>
      </c>
      <c r="C18" s="9">
        <f>Elettricità!E18</f>
        <v>45449</v>
      </c>
      <c r="D18" s="9">
        <f>Elettricità!K18</f>
        <v>45413</v>
      </c>
      <c r="E18" s="9">
        <f>Elettricità!L18</f>
        <v>45443</v>
      </c>
      <c r="F18" s="8">
        <f>Elettricità!M18</f>
        <v>452</v>
      </c>
      <c r="G18" s="8">
        <f>Elettricità!N18</f>
        <v>179</v>
      </c>
      <c r="H18" s="8">
        <f>Elettricità!O18</f>
        <v>116</v>
      </c>
      <c r="I18" s="8">
        <f>Elettricità!P18</f>
        <v>157</v>
      </c>
      <c r="J18" s="8">
        <f>Elettricità!Q18</f>
        <v>303</v>
      </c>
      <c r="K18" s="8">
        <f>Elettricità!R18</f>
        <v>115</v>
      </c>
      <c r="L18" s="8">
        <f>Elettricità!S18</f>
        <v>66</v>
      </c>
      <c r="M18" s="8">
        <f>Elettricità!T18</f>
        <v>122</v>
      </c>
      <c r="N18" s="8">
        <f>Elettricità!W18</f>
        <v>124.21</v>
      </c>
      <c r="O18" s="8">
        <f>Elettricità!X18</f>
        <v>151.54</v>
      </c>
      <c r="P18" s="8">
        <f>Elettricità!Y18</f>
        <v>0</v>
      </c>
      <c r="Q18" s="8">
        <f>Elettricità!Z18</f>
        <v>55.35</v>
      </c>
      <c r="R18" s="8">
        <f>Elettricità!AA18</f>
        <v>24.63</v>
      </c>
      <c r="S18" s="8">
        <f>Elettricità!AB18</f>
        <v>38.58</v>
      </c>
      <c r="T18" s="8">
        <f>Elettricità!AC18</f>
        <v>0</v>
      </c>
      <c r="U18" s="8">
        <f>Elettricità!AD18</f>
        <v>27.33</v>
      </c>
      <c r="V18" s="8">
        <f t="shared" si="13"/>
        <v>2024</v>
      </c>
      <c r="W18" s="8">
        <f>_xlfn.XLOOKUP(A18,Fabbricati!E:E,Fabbricati!D:D)</f>
        <v>382397959</v>
      </c>
      <c r="X18" s="9">
        <f t="shared" si="14"/>
        <v>45449</v>
      </c>
      <c r="Y18" s="9">
        <f t="shared" si="15"/>
        <v>45413</v>
      </c>
      <c r="Z18" s="9">
        <f t="shared" si="16"/>
        <v>45443</v>
      </c>
      <c r="AA18" s="8">
        <f t="shared" si="17"/>
        <v>31</v>
      </c>
      <c r="AB18" s="8">
        <f t="shared" si="18"/>
        <v>452</v>
      </c>
      <c r="AC18" s="12" t="s">
        <v>149</v>
      </c>
      <c r="AD18" s="11" t="str">
        <f t="shared" si="19"/>
        <v>179
116
157</v>
      </c>
      <c r="AE18" s="11" t="str">
        <f t="shared" si="20"/>
        <v>115
66
122</v>
      </c>
      <c r="AF18" s="11"/>
      <c r="AG18" s="11"/>
      <c r="AH18" s="8">
        <f t="shared" si="21"/>
        <v>63.209999999999994</v>
      </c>
      <c r="AI18" s="8">
        <f t="shared" si="22"/>
        <v>55.35</v>
      </c>
      <c r="AJ18" s="8">
        <f t="shared" si="23"/>
        <v>27.33</v>
      </c>
      <c r="AK18" s="8"/>
      <c r="AL18" s="8"/>
      <c r="AM18" s="8">
        <f t="shared" si="24"/>
        <v>0</v>
      </c>
      <c r="AN18" s="8">
        <f t="shared" si="25"/>
        <v>151.54</v>
      </c>
    </row>
    <row r="19" spans="1:40" ht="48" customHeight="1" x14ac:dyDescent="0.2">
      <c r="A19" s="8" t="str">
        <f>Elettricità!I19</f>
        <v>IT001E04170926</v>
      </c>
      <c r="B19" s="8" t="str">
        <f>Elettricità!A19</f>
        <v>005051431107.PDF</v>
      </c>
      <c r="C19" s="9">
        <f>Elettricità!E19</f>
        <v>45478</v>
      </c>
      <c r="D19" s="9">
        <f>Elettricità!K19</f>
        <v>45444</v>
      </c>
      <c r="E19" s="9">
        <f>Elettricità!L19</f>
        <v>45473</v>
      </c>
      <c r="F19" s="8">
        <f>Elettricità!M19</f>
        <v>440</v>
      </c>
      <c r="G19" s="8">
        <f>Elettricità!N19</f>
        <v>157</v>
      </c>
      <c r="H19" s="8">
        <f>Elettricità!O19</f>
        <v>116</v>
      </c>
      <c r="I19" s="8">
        <f>Elettricità!P19</f>
        <v>167</v>
      </c>
      <c r="J19" s="8">
        <f>Elettricità!Q19</f>
        <v>293</v>
      </c>
      <c r="K19" s="8">
        <f>Elettricità!R19</f>
        <v>99</v>
      </c>
      <c r="L19" s="8">
        <f>Elettricità!S19</f>
        <v>70</v>
      </c>
      <c r="M19" s="8">
        <f>Elettricità!T19</f>
        <v>124</v>
      </c>
      <c r="N19" s="8">
        <f>Elettricità!W19</f>
        <v>127.14</v>
      </c>
      <c r="O19" s="8">
        <f>Elettricità!X19</f>
        <v>155.11000000000001</v>
      </c>
      <c r="P19" s="8">
        <f>Elettricità!Y19</f>
        <v>0</v>
      </c>
      <c r="Q19" s="8">
        <f>Elettricità!Z19</f>
        <v>59.16</v>
      </c>
      <c r="R19" s="8">
        <f>Elettricità!AA19</f>
        <v>24.48</v>
      </c>
      <c r="S19" s="8">
        <f>Elettricità!AB19</f>
        <v>38</v>
      </c>
      <c r="T19" s="8">
        <f>Elettricità!AC19</f>
        <v>0</v>
      </c>
      <c r="U19" s="8">
        <f>Elettricità!AD19</f>
        <v>27.97</v>
      </c>
      <c r="V19" s="8">
        <f t="shared" si="13"/>
        <v>2024</v>
      </c>
      <c r="W19" s="8">
        <f>_xlfn.XLOOKUP(A19,Fabbricati!E:E,Fabbricati!D:D)</f>
        <v>382397959</v>
      </c>
      <c r="X19" s="9">
        <f t="shared" si="14"/>
        <v>45478</v>
      </c>
      <c r="Y19" s="9">
        <f t="shared" si="15"/>
        <v>45444</v>
      </c>
      <c r="Z19" s="9">
        <f t="shared" si="16"/>
        <v>45473</v>
      </c>
      <c r="AA19" s="8">
        <f t="shared" si="17"/>
        <v>30</v>
      </c>
      <c r="AB19" s="8">
        <f t="shared" si="18"/>
        <v>440</v>
      </c>
      <c r="AC19" s="12" t="s">
        <v>149</v>
      </c>
      <c r="AD19" s="11" t="str">
        <f t="shared" si="19"/>
        <v>157
116
167</v>
      </c>
      <c r="AE19" s="11" t="str">
        <f t="shared" si="20"/>
        <v>99
70
124</v>
      </c>
      <c r="AF19" s="11"/>
      <c r="AG19" s="11"/>
      <c r="AH19" s="8">
        <f t="shared" si="21"/>
        <v>62.480000000000004</v>
      </c>
      <c r="AI19" s="8">
        <f t="shared" si="22"/>
        <v>59.16</v>
      </c>
      <c r="AJ19" s="8">
        <f t="shared" si="23"/>
        <v>27.97</v>
      </c>
      <c r="AK19" s="8"/>
      <c r="AL19" s="8"/>
      <c r="AM19" s="8">
        <f t="shared" si="24"/>
        <v>0</v>
      </c>
      <c r="AN19" s="8">
        <f t="shared" si="25"/>
        <v>155.11000000000001</v>
      </c>
    </row>
    <row r="20" spans="1:40" ht="48" customHeight="1" x14ac:dyDescent="0.2">
      <c r="A20" s="8" t="str">
        <f>Elettricità!I20</f>
        <v>IT001E04170926</v>
      </c>
      <c r="B20" s="8" t="str">
        <f>Elettricità!A20</f>
        <v>005059958072.PDF</v>
      </c>
      <c r="C20" s="9">
        <f>Elettricità!E20</f>
        <v>45511</v>
      </c>
      <c r="D20" s="9">
        <f>Elettricità!K20</f>
        <v>45474</v>
      </c>
      <c r="E20" s="9">
        <f>Elettricità!L20</f>
        <v>45504</v>
      </c>
      <c r="F20" s="8">
        <f>Elettricità!M20</f>
        <v>337</v>
      </c>
      <c r="G20" s="8">
        <f>Elettricità!N20</f>
        <v>146</v>
      </c>
      <c r="H20" s="8">
        <f>Elettricità!O20</f>
        <v>72</v>
      </c>
      <c r="I20" s="8">
        <f>Elettricità!P20</f>
        <v>119</v>
      </c>
      <c r="J20" s="8">
        <f>Elettricità!Q20</f>
        <v>270</v>
      </c>
      <c r="K20" s="8">
        <f>Elettricità!R20</f>
        <v>101</v>
      </c>
      <c r="L20" s="8">
        <f>Elettricità!S20</f>
        <v>61</v>
      </c>
      <c r="M20" s="8">
        <f>Elettricità!T20</f>
        <v>108</v>
      </c>
      <c r="N20" s="8">
        <f>Elettricità!W20</f>
        <v>112.11</v>
      </c>
      <c r="O20" s="8">
        <f>Elettricità!X20</f>
        <v>136.77000000000001</v>
      </c>
      <c r="P20" s="8">
        <f>Elettricità!Y20</f>
        <v>0</v>
      </c>
      <c r="Q20" s="8">
        <f>Elettricità!Z20</f>
        <v>51.71</v>
      </c>
      <c r="R20" s="8">
        <f>Elettricità!AA20</f>
        <v>23.15</v>
      </c>
      <c r="S20" s="8">
        <f>Elettricità!AB20</f>
        <v>33.04</v>
      </c>
      <c r="T20" s="8">
        <f>Elettricità!AC20</f>
        <v>0</v>
      </c>
      <c r="U20" s="8">
        <f>Elettricità!AD20</f>
        <v>24.66</v>
      </c>
      <c r="V20" s="8">
        <f t="shared" si="13"/>
        <v>2024</v>
      </c>
      <c r="W20" s="8">
        <f>_xlfn.XLOOKUP(A20,Fabbricati!E:E,Fabbricati!D:D)</f>
        <v>382397959</v>
      </c>
      <c r="X20" s="9">
        <f t="shared" si="14"/>
        <v>45511</v>
      </c>
      <c r="Y20" s="9">
        <f t="shared" si="15"/>
        <v>45474</v>
      </c>
      <c r="Z20" s="9">
        <f t="shared" si="16"/>
        <v>45504</v>
      </c>
      <c r="AA20" s="8">
        <f t="shared" si="17"/>
        <v>31</v>
      </c>
      <c r="AB20" s="8">
        <f t="shared" si="18"/>
        <v>337</v>
      </c>
      <c r="AC20" s="12" t="s">
        <v>149</v>
      </c>
      <c r="AD20" s="11" t="str">
        <f t="shared" si="19"/>
        <v>146
72
119</v>
      </c>
      <c r="AE20" s="11" t="str">
        <f t="shared" si="20"/>
        <v>101
61
108</v>
      </c>
      <c r="AF20" s="11"/>
      <c r="AG20" s="11"/>
      <c r="AH20" s="8">
        <f t="shared" si="21"/>
        <v>56.19</v>
      </c>
      <c r="AI20" s="8">
        <f t="shared" si="22"/>
        <v>51.71</v>
      </c>
      <c r="AJ20" s="8">
        <f t="shared" si="23"/>
        <v>24.66</v>
      </c>
      <c r="AK20" s="8"/>
      <c r="AL20" s="8"/>
      <c r="AM20" s="8">
        <f t="shared" si="24"/>
        <v>0</v>
      </c>
      <c r="AN20" s="8">
        <f t="shared" si="25"/>
        <v>136.77000000000001</v>
      </c>
    </row>
    <row r="21" spans="1:40" ht="48" customHeight="1" x14ac:dyDescent="0.2">
      <c r="A21" s="8" t="str">
        <f>Elettricità!I21</f>
        <v>IT001E04170926</v>
      </c>
      <c r="B21" s="8" t="str">
        <f>Elettricità!A21</f>
        <v>005067307604.PDF</v>
      </c>
      <c r="C21" s="9">
        <f>Elettricità!E21</f>
        <v>45541</v>
      </c>
      <c r="D21" s="9">
        <f>Elettricità!K21</f>
        <v>45505</v>
      </c>
      <c r="E21" s="9">
        <f>Elettricità!L21</f>
        <v>45535</v>
      </c>
      <c r="F21" s="8">
        <f>Elettricità!M21</f>
        <v>2045</v>
      </c>
      <c r="G21" s="8">
        <f>Elettricità!N21</f>
        <v>772</v>
      </c>
      <c r="H21" s="8">
        <f>Elettricità!O21</f>
        <v>521</v>
      </c>
      <c r="I21" s="8">
        <f>Elettricità!P21</f>
        <v>752</v>
      </c>
      <c r="J21" s="8">
        <f>Elettricità!Q21</f>
        <v>1401</v>
      </c>
      <c r="K21" s="8">
        <f>Elettricità!R21</f>
        <v>492</v>
      </c>
      <c r="L21" s="8">
        <f>Elettricità!S21</f>
        <v>318</v>
      </c>
      <c r="M21" s="8">
        <f>Elettricità!T21</f>
        <v>591</v>
      </c>
      <c r="N21" s="8">
        <f>Elettricità!W21</f>
        <v>120.79</v>
      </c>
      <c r="O21" s="8">
        <f>Elettricità!X21</f>
        <v>147.36000000000001</v>
      </c>
      <c r="P21" s="8">
        <f>Elettricità!Y21</f>
        <v>0</v>
      </c>
      <c r="Q21" s="8">
        <f>Elettricità!Z21</f>
        <v>58.41</v>
      </c>
      <c r="R21" s="8">
        <f>Elettricità!AA21</f>
        <v>23.55</v>
      </c>
      <c r="S21" s="8">
        <f>Elettricità!AB21</f>
        <v>34.53</v>
      </c>
      <c r="T21" s="8">
        <f>Elettricità!AC21</f>
        <v>0</v>
      </c>
      <c r="U21" s="8">
        <f>Elettricità!AD21</f>
        <v>26.57</v>
      </c>
      <c r="V21" s="8">
        <f t="shared" si="13"/>
        <v>2024</v>
      </c>
      <c r="W21" s="8">
        <f>_xlfn.XLOOKUP(A21,Fabbricati!E:E,Fabbricati!D:D)</f>
        <v>382397959</v>
      </c>
      <c r="X21" s="9">
        <f t="shared" si="14"/>
        <v>45541</v>
      </c>
      <c r="Y21" s="9">
        <f t="shared" si="15"/>
        <v>45505</v>
      </c>
      <c r="Z21" s="9">
        <f t="shared" si="16"/>
        <v>45535</v>
      </c>
      <c r="AA21" s="8">
        <f t="shared" si="17"/>
        <v>31</v>
      </c>
      <c r="AB21" s="8">
        <f t="shared" si="18"/>
        <v>2045</v>
      </c>
      <c r="AC21" s="12" t="s">
        <v>149</v>
      </c>
      <c r="AD21" s="11" t="str">
        <f t="shared" si="19"/>
        <v>772
521
752</v>
      </c>
      <c r="AE21" s="11" t="str">
        <f t="shared" si="20"/>
        <v>492
318
591</v>
      </c>
      <c r="AF21" s="11"/>
      <c r="AG21" s="11"/>
      <c r="AH21" s="8">
        <f t="shared" si="21"/>
        <v>58.08</v>
      </c>
      <c r="AI21" s="8">
        <f t="shared" si="22"/>
        <v>58.41</v>
      </c>
      <c r="AJ21" s="8">
        <f t="shared" si="23"/>
        <v>26.57</v>
      </c>
      <c r="AK21" s="8"/>
      <c r="AL21" s="8"/>
      <c r="AM21" s="8">
        <f t="shared" si="24"/>
        <v>0</v>
      </c>
      <c r="AN21" s="8">
        <f t="shared" si="25"/>
        <v>147.36000000000001</v>
      </c>
    </row>
    <row r="22" spans="1:40" ht="48" customHeight="1" x14ac:dyDescent="0.2">
      <c r="A22" s="8" t="str">
        <f>Elettricità!I22</f>
        <v>IT001E04170926</v>
      </c>
      <c r="B22" s="8" t="str">
        <f>Elettricità!A22</f>
        <v>005076347783.PDF</v>
      </c>
      <c r="C22" s="9">
        <f>Elettricità!E22</f>
        <v>45571</v>
      </c>
      <c r="D22" s="9">
        <f>Elettricità!K22</f>
        <v>45536</v>
      </c>
      <c r="E22" s="9">
        <f>Elettricità!L22</f>
        <v>45565</v>
      </c>
      <c r="F22" s="8">
        <f>Elettricità!M22</f>
        <v>495</v>
      </c>
      <c r="G22" s="8">
        <f>Elettricità!N22</f>
        <v>195</v>
      </c>
      <c r="H22" s="8">
        <f>Elettricità!O22</f>
        <v>117</v>
      </c>
      <c r="I22" s="8">
        <f>Elettricità!P22</f>
        <v>183</v>
      </c>
      <c r="J22" s="8">
        <f>Elettricità!Q22</f>
        <v>290</v>
      </c>
      <c r="K22" s="8">
        <f>Elettricità!R22</f>
        <v>105</v>
      </c>
      <c r="L22" s="8">
        <f>Elettricità!S22</f>
        <v>64</v>
      </c>
      <c r="M22" s="8">
        <f>Elettricità!T22</f>
        <v>121</v>
      </c>
      <c r="N22" s="8">
        <f>Elettricità!W22</f>
        <v>144.55000000000001</v>
      </c>
      <c r="O22" s="8">
        <f>Elettricità!X22</f>
        <v>176.35</v>
      </c>
      <c r="P22" s="8">
        <f>Elettricità!Y22</f>
        <v>0</v>
      </c>
      <c r="Q22" s="8">
        <f>Elettricità!Z22</f>
        <v>72.53</v>
      </c>
      <c r="R22" s="8">
        <f>Elettricità!AA22</f>
        <v>25.18</v>
      </c>
      <c r="S22" s="8">
        <f>Elettricità!AB22</f>
        <v>40.65</v>
      </c>
      <c r="T22" s="8">
        <f>Elettricità!AC22</f>
        <v>0</v>
      </c>
      <c r="U22" s="8">
        <f>Elettricità!AD22</f>
        <v>31.8</v>
      </c>
      <c r="V22" s="8">
        <f t="shared" si="13"/>
        <v>2024</v>
      </c>
      <c r="W22" s="8">
        <f>_xlfn.XLOOKUP(A22,Fabbricati!E:E,Fabbricati!D:D)</f>
        <v>382397959</v>
      </c>
      <c r="X22" s="9">
        <f t="shared" si="14"/>
        <v>45571</v>
      </c>
      <c r="Y22" s="9">
        <f t="shared" si="15"/>
        <v>45536</v>
      </c>
      <c r="Z22" s="9">
        <f t="shared" si="16"/>
        <v>45565</v>
      </c>
      <c r="AA22" s="8">
        <f t="shared" si="17"/>
        <v>30</v>
      </c>
      <c r="AB22" s="8">
        <f t="shared" si="18"/>
        <v>495</v>
      </c>
      <c r="AC22" s="12" t="s">
        <v>149</v>
      </c>
      <c r="AD22" s="11" t="str">
        <f t="shared" si="19"/>
        <v>195
117
183</v>
      </c>
      <c r="AE22" s="11" t="str">
        <f t="shared" si="20"/>
        <v>105
64
121</v>
      </c>
      <c r="AF22" s="11"/>
      <c r="AG22" s="11"/>
      <c r="AH22" s="8">
        <f t="shared" si="21"/>
        <v>65.83</v>
      </c>
      <c r="AI22" s="8">
        <f t="shared" si="22"/>
        <v>72.53</v>
      </c>
      <c r="AJ22" s="8">
        <f t="shared" si="23"/>
        <v>31.8</v>
      </c>
      <c r="AK22" s="8"/>
      <c r="AL22" s="8"/>
      <c r="AM22" s="8">
        <f t="shared" si="24"/>
        <v>0</v>
      </c>
      <c r="AN22" s="8">
        <f t="shared" si="25"/>
        <v>176.35</v>
      </c>
    </row>
    <row r="23" spans="1:40" ht="48" customHeight="1" x14ac:dyDescent="0.2">
      <c r="A23" s="8" t="str">
        <f>Elettricità!I23</f>
        <v>IT001E04170926</v>
      </c>
      <c r="B23" s="8" t="str">
        <f>Elettricità!A23</f>
        <v>005085485039.PDF</v>
      </c>
      <c r="C23" s="9">
        <f>Elettricità!E23</f>
        <v>45604</v>
      </c>
      <c r="D23" s="9">
        <f>Elettricità!K23</f>
        <v>45566</v>
      </c>
      <c r="E23" s="9">
        <f>Elettricità!L23</f>
        <v>45596</v>
      </c>
      <c r="F23" s="8">
        <f>Elettricità!M23</f>
        <v>676</v>
      </c>
      <c r="G23" s="8">
        <f>Elettricità!N23</f>
        <v>341</v>
      </c>
      <c r="H23" s="8">
        <f>Elettricità!O23</f>
        <v>148</v>
      </c>
      <c r="I23" s="8">
        <f>Elettricità!P23</f>
        <v>187</v>
      </c>
      <c r="J23" s="8">
        <f>Elettricità!Q23</f>
        <v>222</v>
      </c>
      <c r="K23" s="8">
        <f>Elettricità!R23</f>
        <v>83</v>
      </c>
      <c r="L23" s="8">
        <f>Elettricità!S23</f>
        <v>50</v>
      </c>
      <c r="M23" s="8">
        <f>Elettricità!T23</f>
        <v>89</v>
      </c>
      <c r="N23" s="8">
        <f>Elettricità!W23</f>
        <v>186.48</v>
      </c>
      <c r="O23" s="8">
        <f>Elettricità!X23</f>
        <v>227.51</v>
      </c>
      <c r="P23" s="8">
        <f>Elettricità!Y23</f>
        <v>0</v>
      </c>
      <c r="Q23" s="8">
        <f>Elettricità!Z23</f>
        <v>101.15</v>
      </c>
      <c r="R23" s="8">
        <f>Elettricità!AA23</f>
        <v>27.5</v>
      </c>
      <c r="S23" s="8">
        <f>Elettricità!AB23</f>
        <v>49.38</v>
      </c>
      <c r="T23" s="8">
        <f>Elettricità!AC23</f>
        <v>0</v>
      </c>
      <c r="U23" s="8">
        <f>Elettricità!AD23</f>
        <v>41.03</v>
      </c>
      <c r="V23" s="8">
        <f t="shared" si="13"/>
        <v>2024</v>
      </c>
      <c r="W23" s="8">
        <f>_xlfn.XLOOKUP(A23,Fabbricati!E:E,Fabbricati!D:D)</f>
        <v>382397959</v>
      </c>
      <c r="X23" s="9">
        <f t="shared" si="14"/>
        <v>45604</v>
      </c>
      <c r="Y23" s="9">
        <f t="shared" si="15"/>
        <v>45566</v>
      </c>
      <c r="Z23" s="9">
        <f t="shared" si="16"/>
        <v>45596</v>
      </c>
      <c r="AA23" s="8">
        <f t="shared" si="17"/>
        <v>31</v>
      </c>
      <c r="AB23" s="8">
        <f t="shared" si="18"/>
        <v>676</v>
      </c>
      <c r="AC23" s="12" t="s">
        <v>149</v>
      </c>
      <c r="AD23" s="11" t="str">
        <f t="shared" si="19"/>
        <v>341
148
187</v>
      </c>
      <c r="AE23" s="11" t="str">
        <f t="shared" si="20"/>
        <v>83
50
89</v>
      </c>
      <c r="AF23" s="11"/>
      <c r="AG23" s="11"/>
      <c r="AH23" s="8">
        <f t="shared" si="21"/>
        <v>76.88</v>
      </c>
      <c r="AI23" s="8">
        <f t="shared" si="22"/>
        <v>101.15</v>
      </c>
      <c r="AJ23" s="8">
        <f t="shared" si="23"/>
        <v>41.03</v>
      </c>
      <c r="AK23" s="8"/>
      <c r="AL23" s="8"/>
      <c r="AM23" s="8">
        <f t="shared" si="24"/>
        <v>0</v>
      </c>
      <c r="AN23" s="8">
        <f t="shared" si="25"/>
        <v>227.51</v>
      </c>
    </row>
    <row r="24" spans="1:40" ht="48" customHeight="1" x14ac:dyDescent="0.2">
      <c r="A24" s="8" t="str">
        <f>Elettricità!I24</f>
        <v>IT001E04170926</v>
      </c>
      <c r="B24" s="8" t="str">
        <f>Elettricità!A24</f>
        <v>005093369273.PDF</v>
      </c>
      <c r="C24" s="9">
        <f>Elettricità!E24</f>
        <v>45632</v>
      </c>
      <c r="D24" s="9">
        <f>Elettricità!K24</f>
        <v>45597</v>
      </c>
      <c r="E24" s="9">
        <f>Elettricità!L24</f>
        <v>45626</v>
      </c>
      <c r="F24" s="8">
        <f>Elettricità!M24</f>
        <v>798</v>
      </c>
      <c r="G24" s="8">
        <f>Elettricità!N24</f>
        <v>384</v>
      </c>
      <c r="H24" s="8">
        <f>Elettricità!O24</f>
        <v>174</v>
      </c>
      <c r="I24" s="8">
        <f>Elettricità!P24</f>
        <v>240</v>
      </c>
      <c r="J24" s="8">
        <f>Elettricità!Q24</f>
        <v>251</v>
      </c>
      <c r="K24" s="8">
        <f>Elettricità!R24</f>
        <v>84</v>
      </c>
      <c r="L24" s="8">
        <f>Elettricità!S24</f>
        <v>59</v>
      </c>
      <c r="M24" s="8">
        <f>Elettricità!T24</f>
        <v>108</v>
      </c>
      <c r="N24" s="8">
        <f>Elettricità!W24</f>
        <v>227.56</v>
      </c>
      <c r="O24" s="8">
        <f>Elettricità!X24</f>
        <v>277.62</v>
      </c>
      <c r="P24" s="8">
        <f>Elettricità!Y24</f>
        <v>0</v>
      </c>
      <c r="Q24" s="8">
        <f>Elettricità!Z24</f>
        <v>133.25</v>
      </c>
      <c r="R24" s="8">
        <f>Elettricità!AA24</f>
        <v>29.07</v>
      </c>
      <c r="S24" s="8">
        <f>Elettricità!AB24</f>
        <v>55.26</v>
      </c>
      <c r="T24" s="8">
        <f>Elettricità!AC24</f>
        <v>0</v>
      </c>
      <c r="U24" s="8">
        <f>Elettricità!AD24</f>
        <v>50.06</v>
      </c>
      <c r="V24" s="8">
        <f t="shared" si="13"/>
        <v>2024</v>
      </c>
      <c r="W24" s="8">
        <f>_xlfn.XLOOKUP(A24,Fabbricati!E:E,Fabbricati!D:D)</f>
        <v>382397959</v>
      </c>
      <c r="X24" s="9">
        <f t="shared" si="14"/>
        <v>45632</v>
      </c>
      <c r="Y24" s="9">
        <f t="shared" si="15"/>
        <v>45597</v>
      </c>
      <c r="Z24" s="9">
        <f t="shared" si="16"/>
        <v>45626</v>
      </c>
      <c r="AA24" s="8">
        <f t="shared" si="17"/>
        <v>30</v>
      </c>
      <c r="AB24" s="8">
        <f t="shared" si="18"/>
        <v>798</v>
      </c>
      <c r="AC24" s="12" t="s">
        <v>149</v>
      </c>
      <c r="AD24" s="11" t="str">
        <f t="shared" si="19"/>
        <v>384
174
240</v>
      </c>
      <c r="AE24" s="11" t="str">
        <f t="shared" si="20"/>
        <v>84
59
108</v>
      </c>
      <c r="AF24" s="11"/>
      <c r="AG24" s="11"/>
      <c r="AH24" s="8">
        <f t="shared" si="21"/>
        <v>84.33</v>
      </c>
      <c r="AI24" s="8">
        <f t="shared" si="22"/>
        <v>133.25</v>
      </c>
      <c r="AJ24" s="8">
        <f t="shared" si="23"/>
        <v>50.06</v>
      </c>
      <c r="AK24" s="8"/>
      <c r="AL24" s="8"/>
      <c r="AM24" s="8">
        <f t="shared" si="24"/>
        <v>0</v>
      </c>
      <c r="AN24" s="8">
        <f t="shared" si="25"/>
        <v>277.62</v>
      </c>
    </row>
    <row r="25" spans="1:40" ht="48" customHeight="1" x14ac:dyDescent="0.2">
      <c r="A25" s="8" t="str">
        <f>Elettricità!I25</f>
        <v>IT001E04170926</v>
      </c>
      <c r="B25" s="8" t="str">
        <f>Elettricità!A25</f>
        <v>005200218686.PDF</v>
      </c>
      <c r="C25" s="9">
        <f>Elettricità!E25</f>
        <v>45665</v>
      </c>
      <c r="D25" s="9">
        <f>Elettricità!K25</f>
        <v>45627</v>
      </c>
      <c r="E25" s="9">
        <f>Elettricità!L25</f>
        <v>45657</v>
      </c>
      <c r="F25" s="8">
        <f>Elettricità!M25</f>
        <v>1030</v>
      </c>
      <c r="G25" s="8">
        <f>Elettricità!N25</f>
        <v>482</v>
      </c>
      <c r="H25" s="8">
        <f>Elettricità!O25</f>
        <v>198</v>
      </c>
      <c r="I25" s="8">
        <f>Elettricità!P25</f>
        <v>350</v>
      </c>
      <c r="J25" s="8">
        <f>Elettricità!Q25</f>
        <v>252</v>
      </c>
      <c r="K25" s="8">
        <f>Elettricità!R25</f>
        <v>80</v>
      </c>
      <c r="L25" s="8">
        <f>Elettricità!S25</f>
        <v>53</v>
      </c>
      <c r="M25" s="8">
        <f>Elettricità!T25</f>
        <v>119</v>
      </c>
      <c r="N25" s="8">
        <f>Elettricità!W25</f>
        <v>295.95</v>
      </c>
      <c r="O25" s="8">
        <f>Elettricità!X25</f>
        <v>361.06</v>
      </c>
      <c r="P25" s="8">
        <f>Elettricità!Y25</f>
        <v>0</v>
      </c>
      <c r="Q25" s="8">
        <f>Elettricità!Z25</f>
        <v>184.57</v>
      </c>
      <c r="R25" s="8">
        <f>Elettricità!AA25</f>
        <v>32.06</v>
      </c>
      <c r="S25" s="8">
        <f>Elettricità!AB25</f>
        <v>66.44</v>
      </c>
      <c r="T25" s="8">
        <f>Elettricità!AC25</f>
        <v>0</v>
      </c>
      <c r="U25" s="8">
        <f>Elettricità!AD25</f>
        <v>65.11</v>
      </c>
      <c r="V25" s="8">
        <f t="shared" si="13"/>
        <v>2024</v>
      </c>
      <c r="W25" s="8">
        <f>_xlfn.XLOOKUP(A25,Fabbricati!E:E,Fabbricati!D:D)</f>
        <v>382397959</v>
      </c>
      <c r="X25" s="9">
        <f t="shared" si="14"/>
        <v>45665</v>
      </c>
      <c r="Y25" s="9">
        <f t="shared" si="15"/>
        <v>45627</v>
      </c>
      <c r="Z25" s="9">
        <f t="shared" si="16"/>
        <v>45657</v>
      </c>
      <c r="AA25" s="8">
        <f t="shared" si="17"/>
        <v>31</v>
      </c>
      <c r="AB25" s="8">
        <f t="shared" si="18"/>
        <v>1030</v>
      </c>
      <c r="AC25" s="12" t="s">
        <v>149</v>
      </c>
      <c r="AD25" s="11" t="str">
        <f t="shared" si="19"/>
        <v>482
198
350</v>
      </c>
      <c r="AE25" s="11" t="str">
        <f t="shared" si="20"/>
        <v>80
53
119</v>
      </c>
      <c r="AF25" s="11"/>
      <c r="AG25" s="11"/>
      <c r="AH25" s="8">
        <f t="shared" si="21"/>
        <v>98.5</v>
      </c>
      <c r="AI25" s="8">
        <f t="shared" si="22"/>
        <v>184.57</v>
      </c>
      <c r="AJ25" s="8">
        <f t="shared" si="23"/>
        <v>65.11</v>
      </c>
      <c r="AK25" s="8"/>
      <c r="AL25" s="8"/>
      <c r="AM25" s="8">
        <f t="shared" si="24"/>
        <v>0</v>
      </c>
      <c r="AN25" s="8">
        <f t="shared" si="25"/>
        <v>361.06</v>
      </c>
    </row>
    <row r="26" spans="1:40" ht="48" customHeight="1" x14ac:dyDescent="0.2">
      <c r="A26" s="8" t="str">
        <f>Elettricità!I26</f>
        <v>IT001E04170930</v>
      </c>
      <c r="B26" s="8" t="str">
        <f>Elettricità!A26</f>
        <v>824500045443_2024_d.pdf</v>
      </c>
      <c r="C26" s="9">
        <f>Elettricità!E26</f>
        <v>45350</v>
      </c>
      <c r="D26" s="9">
        <f>Elettricità!K26</f>
        <v>45292</v>
      </c>
      <c r="E26" s="9">
        <f>Elettricità!L26</f>
        <v>45322</v>
      </c>
      <c r="F26" s="8">
        <f>Elettricità!M26</f>
        <v>40</v>
      </c>
      <c r="G26" s="8">
        <f>Elettricità!N26</f>
        <v>6</v>
      </c>
      <c r="H26" s="8">
        <f>Elettricità!O26</f>
        <v>10</v>
      </c>
      <c r="I26" s="8">
        <f>Elettricità!P26</f>
        <v>24</v>
      </c>
      <c r="J26" s="8">
        <f>Elettricità!Q26</f>
        <v>17</v>
      </c>
      <c r="K26" s="8">
        <f>Elettricità!R26</f>
        <v>3</v>
      </c>
      <c r="L26" s="8">
        <f>Elettricità!S26</f>
        <v>4</v>
      </c>
      <c r="M26" s="8">
        <f>Elettricità!T26</f>
        <v>10</v>
      </c>
      <c r="N26" s="8">
        <f>Elettricità!W26</f>
        <v>17.100000000000001</v>
      </c>
      <c r="O26" s="8">
        <f>Elettricità!X26</f>
        <v>20.86</v>
      </c>
      <c r="P26" s="8">
        <f>Elettricità!Y26</f>
        <v>0</v>
      </c>
      <c r="Q26" s="8">
        <f>Elettricità!Z26</f>
        <v>6.1</v>
      </c>
      <c r="R26" s="8">
        <f>Elettricità!AA26</f>
        <v>5.17</v>
      </c>
      <c r="S26" s="8">
        <f>Elettricità!AB26</f>
        <v>5.13</v>
      </c>
      <c r="T26" s="8">
        <f>Elettricità!AC26</f>
        <v>0.2</v>
      </c>
      <c r="U26" s="8">
        <f>Elettricità!AD26</f>
        <v>0.5</v>
      </c>
      <c r="V26" s="8">
        <f t="shared" si="13"/>
        <v>2024</v>
      </c>
      <c r="W26" s="8">
        <f>_xlfn.XLOOKUP(A26,Fabbricati!E:E,Fabbricati!D:D)</f>
        <v>382908350</v>
      </c>
      <c r="X26" s="9">
        <f t="shared" si="14"/>
        <v>45350</v>
      </c>
      <c r="Y26" s="9">
        <f t="shared" si="15"/>
        <v>45292</v>
      </c>
      <c r="Z26" s="9">
        <f t="shared" si="16"/>
        <v>45322</v>
      </c>
      <c r="AA26" s="8">
        <f t="shared" si="17"/>
        <v>31</v>
      </c>
      <c r="AB26" s="8">
        <f t="shared" si="18"/>
        <v>40</v>
      </c>
      <c r="AC26" s="12" t="s">
        <v>149</v>
      </c>
      <c r="AD26" s="11" t="str">
        <f t="shared" si="19"/>
        <v>6
10
24</v>
      </c>
      <c r="AE26" s="11" t="str">
        <f t="shared" si="20"/>
        <v>3
4
10</v>
      </c>
      <c r="AF26" s="11"/>
      <c r="AG26" s="11"/>
      <c r="AH26" s="8">
        <f t="shared" si="21"/>
        <v>10.3</v>
      </c>
      <c r="AI26" s="8">
        <f t="shared" si="22"/>
        <v>6.1</v>
      </c>
      <c r="AJ26" s="8">
        <f t="shared" si="23"/>
        <v>0.5</v>
      </c>
      <c r="AK26" s="8"/>
      <c r="AL26" s="8"/>
      <c r="AM26" s="8">
        <f t="shared" si="24"/>
        <v>0.2</v>
      </c>
      <c r="AN26" s="8">
        <f t="shared" si="25"/>
        <v>20.86</v>
      </c>
    </row>
    <row r="27" spans="1:40" ht="48" customHeight="1" x14ac:dyDescent="0.2">
      <c r="A27" s="8" t="str">
        <f>Elettricità!I27</f>
        <v>IT001E04170930</v>
      </c>
      <c r="B27" s="8" t="str">
        <f>Elettricità!A27</f>
        <v>005018359688.pdf</v>
      </c>
      <c r="C27" s="9">
        <f>Elettricità!E27</f>
        <v>45358</v>
      </c>
      <c r="D27" s="9">
        <f>Elettricità!K27</f>
        <v>45323</v>
      </c>
      <c r="E27" s="9">
        <f>Elettricità!L27</f>
        <v>45351</v>
      </c>
      <c r="F27" s="8">
        <f>Elettricità!M27</f>
        <v>19</v>
      </c>
      <c r="G27" s="8">
        <f>Elettricità!N27</f>
        <v>2</v>
      </c>
      <c r="H27" s="8">
        <f>Elettricità!O27</f>
        <v>5</v>
      </c>
      <c r="I27" s="8">
        <f>Elettricità!P27</f>
        <v>12</v>
      </c>
      <c r="J27" s="8">
        <f>Elettricità!Q27</f>
        <v>16</v>
      </c>
      <c r="K27" s="8">
        <f>Elettricità!R27</f>
        <v>4</v>
      </c>
      <c r="L27" s="8">
        <f>Elettricità!S27</f>
        <v>4</v>
      </c>
      <c r="M27" s="8">
        <f>Elettricità!T27</f>
        <v>8</v>
      </c>
      <c r="N27" s="8">
        <f>Elettricità!W27</f>
        <v>11.58</v>
      </c>
      <c r="O27" s="8">
        <f>Elettricità!X27</f>
        <v>14.13</v>
      </c>
      <c r="P27" s="8">
        <f>Elettricità!Y27</f>
        <v>0</v>
      </c>
      <c r="Q27" s="8">
        <f>Elettricità!Z27</f>
        <v>2.1800000000000002</v>
      </c>
      <c r="R27" s="8">
        <f>Elettricità!AA27</f>
        <v>4.9000000000000004</v>
      </c>
      <c r="S27" s="8">
        <f>Elettricità!AB27</f>
        <v>4.26</v>
      </c>
      <c r="T27" s="8">
        <f>Elettricità!AC27</f>
        <v>0</v>
      </c>
      <c r="U27" s="8">
        <f>Elettricità!AD27</f>
        <v>2.5499999999999998</v>
      </c>
      <c r="V27" s="8">
        <f t="shared" si="13"/>
        <v>2024</v>
      </c>
      <c r="W27" s="8">
        <f>_xlfn.XLOOKUP(A27,Fabbricati!E:E,Fabbricati!D:D)</f>
        <v>382908350</v>
      </c>
      <c r="X27" s="9">
        <f t="shared" si="14"/>
        <v>45358</v>
      </c>
      <c r="Y27" s="9">
        <f t="shared" si="15"/>
        <v>45323</v>
      </c>
      <c r="Z27" s="9">
        <f t="shared" si="16"/>
        <v>45351</v>
      </c>
      <c r="AA27" s="8">
        <f t="shared" si="17"/>
        <v>29</v>
      </c>
      <c r="AB27" s="8">
        <f t="shared" si="18"/>
        <v>19</v>
      </c>
      <c r="AC27" s="12" t="s">
        <v>149</v>
      </c>
      <c r="AD27" s="11" t="str">
        <f t="shared" si="19"/>
        <v>2
5
12</v>
      </c>
      <c r="AE27" s="11" t="str">
        <f t="shared" si="20"/>
        <v>4
4
8</v>
      </c>
      <c r="AF27" s="11"/>
      <c r="AG27" s="11"/>
      <c r="AH27" s="8">
        <f t="shared" si="21"/>
        <v>9.16</v>
      </c>
      <c r="AI27" s="8">
        <f t="shared" si="22"/>
        <v>2.1800000000000002</v>
      </c>
      <c r="AJ27" s="8">
        <f t="shared" si="23"/>
        <v>2.5499999999999998</v>
      </c>
      <c r="AK27" s="8"/>
      <c r="AL27" s="8"/>
      <c r="AM27" s="8">
        <f t="shared" si="24"/>
        <v>0</v>
      </c>
      <c r="AN27" s="8">
        <f t="shared" si="25"/>
        <v>14.13</v>
      </c>
    </row>
    <row r="28" spans="1:40" ht="48" customHeight="1" x14ac:dyDescent="0.2">
      <c r="A28" s="8" t="str">
        <f>Elettricità!I28</f>
        <v>IT001E04170930</v>
      </c>
      <c r="B28" s="8" t="str">
        <f>Elettricità!A28</f>
        <v>005026659971(2).pdf</v>
      </c>
      <c r="C28" s="9">
        <f>Elettricità!E28</f>
        <v>45390</v>
      </c>
      <c r="D28" s="9">
        <f>Elettricità!K28</f>
        <v>45352</v>
      </c>
      <c r="E28" s="9">
        <f>Elettricità!L28</f>
        <v>45382</v>
      </c>
      <c r="F28" s="8">
        <f>Elettricità!M28</f>
        <v>19</v>
      </c>
      <c r="G28" s="8">
        <f>Elettricità!N28</f>
        <v>3</v>
      </c>
      <c r="H28" s="8">
        <f>Elettricità!O28</f>
        <v>5</v>
      </c>
      <c r="I28" s="8">
        <f>Elettricità!P28</f>
        <v>11</v>
      </c>
      <c r="J28" s="8">
        <f>Elettricità!Q28</f>
        <v>15</v>
      </c>
      <c r="K28" s="8">
        <f>Elettricità!R28</f>
        <v>3</v>
      </c>
      <c r="L28" s="8">
        <f>Elettricità!S28</f>
        <v>4</v>
      </c>
      <c r="M28" s="8">
        <f>Elettricità!T28</f>
        <v>8</v>
      </c>
      <c r="N28" s="8">
        <f>Elettricità!W28</f>
        <v>11.57</v>
      </c>
      <c r="O28" s="8">
        <f>Elettricità!X28</f>
        <v>14.12</v>
      </c>
      <c r="P28" s="8">
        <f>Elettricità!Y28</f>
        <v>0</v>
      </c>
      <c r="Q28" s="8">
        <f>Elettricità!Z28</f>
        <v>2.17</v>
      </c>
      <c r="R28" s="8">
        <f>Elettricità!AA28</f>
        <v>4.9000000000000004</v>
      </c>
      <c r="S28" s="8">
        <f>Elettricità!AB28</f>
        <v>4.26</v>
      </c>
      <c r="T28" s="8">
        <f>Elettricità!AC28</f>
        <v>0</v>
      </c>
      <c r="U28" s="8">
        <f>Elettricità!AD28</f>
        <v>2.5499999999999998</v>
      </c>
      <c r="V28" s="8">
        <f t="shared" si="13"/>
        <v>2024</v>
      </c>
      <c r="W28" s="8">
        <f>_xlfn.XLOOKUP(A28,Fabbricati!E:E,Fabbricati!D:D)</f>
        <v>382908350</v>
      </c>
      <c r="X28" s="9">
        <f t="shared" si="14"/>
        <v>45390</v>
      </c>
      <c r="Y28" s="9">
        <f t="shared" si="15"/>
        <v>45352</v>
      </c>
      <c r="Z28" s="9">
        <f t="shared" si="16"/>
        <v>45382</v>
      </c>
      <c r="AA28" s="8">
        <f t="shared" si="17"/>
        <v>31</v>
      </c>
      <c r="AB28" s="8">
        <f t="shared" si="18"/>
        <v>19</v>
      </c>
      <c r="AC28" s="12" t="s">
        <v>149</v>
      </c>
      <c r="AD28" s="11" t="str">
        <f t="shared" si="19"/>
        <v>3
5
11</v>
      </c>
      <c r="AE28" s="11" t="str">
        <f t="shared" si="20"/>
        <v>3
4
8</v>
      </c>
      <c r="AF28" s="11"/>
      <c r="AG28" s="11"/>
      <c r="AH28" s="8">
        <f t="shared" si="21"/>
        <v>9.16</v>
      </c>
      <c r="AI28" s="8">
        <f t="shared" si="22"/>
        <v>2.17</v>
      </c>
      <c r="AJ28" s="8">
        <f t="shared" si="23"/>
        <v>2.5499999999999998</v>
      </c>
      <c r="AK28" s="8"/>
      <c r="AL28" s="8"/>
      <c r="AM28" s="8">
        <f t="shared" si="24"/>
        <v>0</v>
      </c>
      <c r="AN28" s="8">
        <f t="shared" si="25"/>
        <v>14.12</v>
      </c>
    </row>
    <row r="29" spans="1:40" ht="48" customHeight="1" x14ac:dyDescent="0.2">
      <c r="A29" s="8" t="str">
        <f>Elettricità!I29</f>
        <v>IT001E04170930</v>
      </c>
      <c r="B29" s="8" t="str">
        <f>Elettricità!A29</f>
        <v>005034930241.PDF</v>
      </c>
      <c r="C29" s="9">
        <f>Elettricità!E29</f>
        <v>45419</v>
      </c>
      <c r="D29" s="9">
        <f>Elettricità!K29</f>
        <v>45383</v>
      </c>
      <c r="E29" s="9">
        <f>Elettricità!L29</f>
        <v>45390</v>
      </c>
      <c r="F29" s="8">
        <f>Elettricità!M29</f>
        <v>14</v>
      </c>
      <c r="G29" s="8">
        <f>Elettricità!N29</f>
        <v>1</v>
      </c>
      <c r="H29" s="8">
        <f>Elettricità!O29</f>
        <v>3</v>
      </c>
      <c r="I29" s="8">
        <f>Elettricità!P29</f>
        <v>10</v>
      </c>
      <c r="J29" s="8">
        <f>Elettricità!Q29</f>
        <v>5</v>
      </c>
      <c r="K29" s="8">
        <f>Elettricità!R29</f>
        <v>1</v>
      </c>
      <c r="L29" s="8">
        <f>Elettricità!S29</f>
        <v>1</v>
      </c>
      <c r="M29" s="8">
        <f>Elettricità!T29</f>
        <v>3</v>
      </c>
      <c r="N29" s="8">
        <f>Elettricità!W29</f>
        <v>11.24</v>
      </c>
      <c r="O29" s="8">
        <f>Elettricità!X29</f>
        <v>13.71</v>
      </c>
      <c r="P29" s="8">
        <f>Elettricità!Y29</f>
        <v>0</v>
      </c>
      <c r="Q29" s="8">
        <f>Elettricità!Z29</f>
        <v>1.51</v>
      </c>
      <c r="R29" s="8">
        <f>Elettricità!AA29</f>
        <v>4.84</v>
      </c>
      <c r="S29" s="8">
        <f>Elettricità!AB29</f>
        <v>4.72</v>
      </c>
      <c r="T29" s="8">
        <f>Elettricità!AC29</f>
        <v>0</v>
      </c>
      <c r="U29" s="8">
        <f>Elettricità!AD29</f>
        <v>2.4700000000000002</v>
      </c>
      <c r="V29" s="8">
        <f t="shared" si="13"/>
        <v>2024</v>
      </c>
      <c r="W29" s="8">
        <f>_xlfn.XLOOKUP(A29,Fabbricati!E:E,Fabbricati!D:D)</f>
        <v>382908350</v>
      </c>
      <c r="X29" s="9">
        <f t="shared" si="14"/>
        <v>45419</v>
      </c>
      <c r="Y29" s="9">
        <f t="shared" si="15"/>
        <v>45383</v>
      </c>
      <c r="Z29" s="9">
        <f t="shared" si="16"/>
        <v>45390</v>
      </c>
      <c r="AA29" s="8">
        <f t="shared" si="17"/>
        <v>8</v>
      </c>
      <c r="AB29" s="8">
        <f t="shared" si="18"/>
        <v>14</v>
      </c>
      <c r="AC29" s="12" t="s">
        <v>149</v>
      </c>
      <c r="AD29" s="11" t="str">
        <f t="shared" si="19"/>
        <v>1
3
10</v>
      </c>
      <c r="AE29" s="11" t="str">
        <f t="shared" si="20"/>
        <v>1
1
3</v>
      </c>
      <c r="AF29" s="11"/>
      <c r="AG29" s="11"/>
      <c r="AH29" s="8">
        <f t="shared" si="21"/>
        <v>9.5599999999999987</v>
      </c>
      <c r="AI29" s="8">
        <f t="shared" si="22"/>
        <v>1.51</v>
      </c>
      <c r="AJ29" s="8">
        <f t="shared" si="23"/>
        <v>2.4700000000000002</v>
      </c>
      <c r="AK29" s="8"/>
      <c r="AL29" s="8"/>
      <c r="AM29" s="8">
        <f t="shared" si="24"/>
        <v>0</v>
      </c>
      <c r="AN29" s="8">
        <f t="shared" si="25"/>
        <v>13.71</v>
      </c>
    </row>
    <row r="30" spans="1:40" ht="48" customHeight="1" x14ac:dyDescent="0.2">
      <c r="A30" s="8" t="str">
        <f>Elettricità!I30</f>
        <v>IT001E04170930</v>
      </c>
      <c r="B30" s="8" t="str">
        <f>Elettricità!A30</f>
        <v>005043663107.PDF</v>
      </c>
      <c r="C30" s="9">
        <f>Elettricità!E30</f>
        <v>45449</v>
      </c>
      <c r="D30" s="9">
        <f>Elettricità!K30</f>
        <v>45413</v>
      </c>
      <c r="E30" s="9">
        <f>Elettricità!L30</f>
        <v>45443</v>
      </c>
      <c r="F30" s="8">
        <f>Elettricità!M30</f>
        <v>13</v>
      </c>
      <c r="G30" s="8">
        <f>Elettricità!N30</f>
        <v>2</v>
      </c>
      <c r="H30" s="8">
        <f>Elettricità!O30</f>
        <v>3</v>
      </c>
      <c r="I30" s="8">
        <f>Elettricità!P30</f>
        <v>8</v>
      </c>
      <c r="J30" s="8">
        <f>Elettricità!Q30</f>
        <v>0</v>
      </c>
      <c r="K30" s="8">
        <f>Elettricità!R30</f>
        <v>0</v>
      </c>
      <c r="L30" s="8">
        <f>Elettricità!S30</f>
        <v>0</v>
      </c>
      <c r="M30" s="8">
        <f>Elettricità!T30</f>
        <v>0</v>
      </c>
      <c r="N30" s="8">
        <f>Elettricità!W30</f>
        <v>11.16</v>
      </c>
      <c r="O30" s="8">
        <f>Elettricità!X30</f>
        <v>13.62</v>
      </c>
      <c r="P30" s="8">
        <f>Elettricità!Y30</f>
        <v>0</v>
      </c>
      <c r="Q30" s="8">
        <f>Elettricità!Z30</f>
        <v>1.51</v>
      </c>
      <c r="R30" s="8">
        <f>Elettricità!AA30</f>
        <v>4.83</v>
      </c>
      <c r="S30" s="8">
        <f>Elettricità!AB30</f>
        <v>4.66</v>
      </c>
      <c r="T30" s="8">
        <f>Elettricità!AC30</f>
        <v>0</v>
      </c>
      <c r="U30" s="8">
        <f>Elettricità!AD30</f>
        <v>2.46</v>
      </c>
      <c r="V30" s="8">
        <f t="shared" si="13"/>
        <v>2024</v>
      </c>
      <c r="W30" s="8">
        <f>_xlfn.XLOOKUP(A30,Fabbricati!E:E,Fabbricati!D:D)</f>
        <v>382908350</v>
      </c>
      <c r="X30" s="9">
        <f t="shared" si="14"/>
        <v>45449</v>
      </c>
      <c r="Y30" s="9">
        <f t="shared" si="15"/>
        <v>45413</v>
      </c>
      <c r="Z30" s="9">
        <f t="shared" si="16"/>
        <v>45443</v>
      </c>
      <c r="AA30" s="8">
        <f t="shared" si="17"/>
        <v>31</v>
      </c>
      <c r="AB30" s="8">
        <f t="shared" si="18"/>
        <v>13</v>
      </c>
      <c r="AC30" s="12" t="s">
        <v>149</v>
      </c>
      <c r="AD30" s="11" t="str">
        <f t="shared" si="19"/>
        <v>2
3
8</v>
      </c>
      <c r="AE30" s="11" t="str">
        <f t="shared" si="20"/>
        <v>0
0
0</v>
      </c>
      <c r="AF30" s="11"/>
      <c r="AG30" s="11"/>
      <c r="AH30" s="8">
        <f t="shared" si="21"/>
        <v>9.49</v>
      </c>
      <c r="AI30" s="8">
        <f t="shared" si="22"/>
        <v>1.51</v>
      </c>
      <c r="AJ30" s="8">
        <f t="shared" si="23"/>
        <v>2.46</v>
      </c>
      <c r="AK30" s="8"/>
      <c r="AL30" s="8"/>
      <c r="AM30" s="8">
        <f t="shared" si="24"/>
        <v>0</v>
      </c>
      <c r="AN30" s="8">
        <f t="shared" si="25"/>
        <v>13.62</v>
      </c>
    </row>
    <row r="31" spans="1:40" ht="48" customHeight="1" x14ac:dyDescent="0.2">
      <c r="A31" s="8" t="str">
        <f>Elettricità!I31</f>
        <v>IT001E04170930</v>
      </c>
      <c r="B31" s="8" t="str">
        <f>Elettricità!A31</f>
        <v>005051431119.PDF</v>
      </c>
      <c r="C31" s="9">
        <f>Elettricità!E31</f>
        <v>45478</v>
      </c>
      <c r="D31" s="9">
        <f>Elettricità!K31</f>
        <v>45444</v>
      </c>
      <c r="E31" s="9">
        <f>Elettricità!L31</f>
        <v>45473</v>
      </c>
      <c r="F31" s="8">
        <f>Elettricità!M31</f>
        <v>15</v>
      </c>
      <c r="G31" s="8">
        <f>Elettricità!N31</f>
        <v>4</v>
      </c>
      <c r="H31" s="8">
        <f>Elettricità!O31</f>
        <v>3</v>
      </c>
      <c r="I31" s="8">
        <f>Elettricità!P31</f>
        <v>8</v>
      </c>
      <c r="J31" s="8">
        <f>Elettricità!Q31</f>
        <v>0</v>
      </c>
      <c r="K31" s="8">
        <f>Elettricità!R31</f>
        <v>0</v>
      </c>
      <c r="L31" s="8">
        <f>Elettricità!S31</f>
        <v>0</v>
      </c>
      <c r="M31" s="8">
        <f>Elettricità!T31</f>
        <v>0</v>
      </c>
      <c r="N31" s="8">
        <f>Elettricità!W31</f>
        <v>11.72</v>
      </c>
      <c r="O31" s="8">
        <f>Elettricità!X31</f>
        <v>14.3</v>
      </c>
      <c r="P31" s="8">
        <f>Elettricità!Y31</f>
        <v>0</v>
      </c>
      <c r="Q31" s="8">
        <f>Elettricità!Z31</f>
        <v>1.92</v>
      </c>
      <c r="R31" s="8">
        <f>Elettricità!AA31</f>
        <v>4.8499999999999996</v>
      </c>
      <c r="S31" s="8">
        <f>Elettricità!AB31</f>
        <v>4.76</v>
      </c>
      <c r="T31" s="8">
        <f>Elettricità!AC31</f>
        <v>0</v>
      </c>
      <c r="U31" s="8">
        <f>Elettricità!AD31</f>
        <v>2.58</v>
      </c>
      <c r="V31" s="8">
        <f t="shared" si="13"/>
        <v>2024</v>
      </c>
      <c r="W31" s="8">
        <f>_xlfn.XLOOKUP(A31,Fabbricati!E:E,Fabbricati!D:D)</f>
        <v>382908350</v>
      </c>
      <c r="X31" s="9">
        <f t="shared" si="14"/>
        <v>45478</v>
      </c>
      <c r="Y31" s="9">
        <f t="shared" si="15"/>
        <v>45444</v>
      </c>
      <c r="Z31" s="9">
        <f t="shared" si="16"/>
        <v>45473</v>
      </c>
      <c r="AA31" s="8">
        <f t="shared" si="17"/>
        <v>30</v>
      </c>
      <c r="AB31" s="8">
        <f t="shared" si="18"/>
        <v>15</v>
      </c>
      <c r="AC31" s="12" t="s">
        <v>149</v>
      </c>
      <c r="AD31" s="11" t="str">
        <f t="shared" si="19"/>
        <v>4
3
8</v>
      </c>
      <c r="AE31" s="11" t="str">
        <f t="shared" si="20"/>
        <v>0
0
0</v>
      </c>
      <c r="AF31" s="11"/>
      <c r="AG31" s="11"/>
      <c r="AH31" s="8">
        <f t="shared" si="21"/>
        <v>9.61</v>
      </c>
      <c r="AI31" s="8">
        <f t="shared" si="22"/>
        <v>1.92</v>
      </c>
      <c r="AJ31" s="8">
        <f t="shared" si="23"/>
        <v>2.58</v>
      </c>
      <c r="AK31" s="8"/>
      <c r="AL31" s="8"/>
      <c r="AM31" s="8">
        <f t="shared" si="24"/>
        <v>0</v>
      </c>
      <c r="AN31" s="8">
        <f t="shared" si="25"/>
        <v>14.3</v>
      </c>
    </row>
    <row r="32" spans="1:40" ht="48" customHeight="1" x14ac:dyDescent="0.2">
      <c r="A32" s="8" t="str">
        <f>Elettricità!I32</f>
        <v>IT001E04170930</v>
      </c>
      <c r="B32" s="8" t="str">
        <f>Elettricità!A32</f>
        <v>005059958083(1).PDF</v>
      </c>
      <c r="C32" s="9">
        <f>Elettricità!E32</f>
        <v>45511</v>
      </c>
      <c r="D32" s="9">
        <f>Elettricità!K32</f>
        <v>45474</v>
      </c>
      <c r="E32" s="9">
        <f>Elettricità!L32</f>
        <v>45504</v>
      </c>
      <c r="F32" s="8">
        <f>Elettricità!M32</f>
        <v>13</v>
      </c>
      <c r="G32" s="8">
        <f>Elettricità!N32</f>
        <v>2</v>
      </c>
      <c r="H32" s="8">
        <f>Elettricità!O32</f>
        <v>3</v>
      </c>
      <c r="I32" s="8">
        <f>Elettricità!P32</f>
        <v>8</v>
      </c>
      <c r="J32" s="8">
        <f>Elettricità!Q32</f>
        <v>0</v>
      </c>
      <c r="K32" s="8">
        <f>Elettricità!R32</f>
        <v>0</v>
      </c>
      <c r="L32" s="8">
        <f>Elettricità!S32</f>
        <v>0</v>
      </c>
      <c r="M32" s="8">
        <f>Elettricità!T32</f>
        <v>0</v>
      </c>
      <c r="N32" s="8">
        <f>Elettricità!W32</f>
        <v>11.6</v>
      </c>
      <c r="O32" s="8">
        <f>Elettricità!X32</f>
        <v>14.15</v>
      </c>
      <c r="P32" s="8">
        <f>Elettricità!Y32</f>
        <v>0</v>
      </c>
      <c r="Q32" s="8">
        <f>Elettricità!Z32</f>
        <v>1.95</v>
      </c>
      <c r="R32" s="8">
        <f>Elettricità!AA32</f>
        <v>4.83</v>
      </c>
      <c r="S32" s="8">
        <f>Elettricità!AB32</f>
        <v>4.66</v>
      </c>
      <c r="T32" s="8">
        <f>Elettricità!AC32</f>
        <v>0</v>
      </c>
      <c r="U32" s="8">
        <f>Elettricità!AD32</f>
        <v>2.5499999999999998</v>
      </c>
      <c r="V32" s="8">
        <f t="shared" si="13"/>
        <v>2024</v>
      </c>
      <c r="W32" s="8">
        <f>_xlfn.XLOOKUP(A32,Fabbricati!E:E,Fabbricati!D:D)</f>
        <v>382908350</v>
      </c>
      <c r="X32" s="9">
        <f t="shared" si="14"/>
        <v>45511</v>
      </c>
      <c r="Y32" s="9">
        <f t="shared" si="15"/>
        <v>45474</v>
      </c>
      <c r="Z32" s="9">
        <f t="shared" si="16"/>
        <v>45504</v>
      </c>
      <c r="AA32" s="8">
        <f t="shared" si="17"/>
        <v>31</v>
      </c>
      <c r="AB32" s="8">
        <f t="shared" si="18"/>
        <v>13</v>
      </c>
      <c r="AC32" s="12" t="s">
        <v>149</v>
      </c>
      <c r="AD32" s="11" t="str">
        <f t="shared" si="19"/>
        <v>2
3
8</v>
      </c>
      <c r="AE32" s="11" t="str">
        <f t="shared" si="20"/>
        <v>0
0
0</v>
      </c>
      <c r="AF32" s="11"/>
      <c r="AG32" s="11"/>
      <c r="AH32" s="8">
        <f t="shared" si="21"/>
        <v>9.49</v>
      </c>
      <c r="AI32" s="8">
        <f t="shared" si="22"/>
        <v>1.95</v>
      </c>
      <c r="AJ32" s="8">
        <f t="shared" si="23"/>
        <v>2.5499999999999998</v>
      </c>
      <c r="AK32" s="8"/>
      <c r="AL32" s="8"/>
      <c r="AM32" s="8">
        <f t="shared" si="24"/>
        <v>0</v>
      </c>
      <c r="AN32" s="8">
        <f t="shared" si="25"/>
        <v>14.15</v>
      </c>
    </row>
    <row r="33" spans="1:40" ht="48" customHeight="1" x14ac:dyDescent="0.2">
      <c r="A33" s="8" t="str">
        <f>Elettricità!I33</f>
        <v>IT001E04170930</v>
      </c>
      <c r="B33" s="8" t="str">
        <f>Elettricità!A33</f>
        <v>005067307618.PDF</v>
      </c>
      <c r="C33" s="9">
        <f>Elettricità!E33</f>
        <v>45541</v>
      </c>
      <c r="D33" s="9">
        <f>Elettricità!K33</f>
        <v>45505</v>
      </c>
      <c r="E33" s="9">
        <f>Elettricità!L33</f>
        <v>45535</v>
      </c>
      <c r="F33" s="8">
        <f>Elettricità!M33</f>
        <v>72</v>
      </c>
      <c r="G33" s="8">
        <f>Elettricità!N33</f>
        <v>12</v>
      </c>
      <c r="H33" s="8">
        <f>Elettricità!O33</f>
        <v>16</v>
      </c>
      <c r="I33" s="8">
        <f>Elettricità!P33</f>
        <v>44</v>
      </c>
      <c r="J33" s="8">
        <f>Elettricità!Q33</f>
        <v>5</v>
      </c>
      <c r="K33" s="8">
        <f>Elettricità!R33</f>
        <v>1</v>
      </c>
      <c r="L33" s="8">
        <f>Elettricità!S33</f>
        <v>1</v>
      </c>
      <c r="M33" s="8">
        <f>Elettricità!T33</f>
        <v>3</v>
      </c>
      <c r="N33" s="8">
        <f>Elettricità!W33</f>
        <v>12.53</v>
      </c>
      <c r="O33" s="8">
        <f>Elettricità!X33</f>
        <v>15.29</v>
      </c>
      <c r="P33" s="8">
        <f>Elettricità!Y33</f>
        <v>0</v>
      </c>
      <c r="Q33" s="8">
        <f>Elettricità!Z33</f>
        <v>2.59</v>
      </c>
      <c r="R33" s="8">
        <f>Elettricità!AA33</f>
        <v>4.88</v>
      </c>
      <c r="S33" s="8">
        <f>Elettricità!AB33</f>
        <v>4.8499999999999996</v>
      </c>
      <c r="T33" s="8">
        <f>Elettricità!AC33</f>
        <v>0</v>
      </c>
      <c r="U33" s="8">
        <f>Elettricità!AD33</f>
        <v>2.76</v>
      </c>
      <c r="V33" s="8">
        <f t="shared" si="13"/>
        <v>2024</v>
      </c>
      <c r="W33" s="8">
        <f>_xlfn.XLOOKUP(A33,Fabbricati!E:E,Fabbricati!D:D)</f>
        <v>382908350</v>
      </c>
      <c r="X33" s="9">
        <f t="shared" si="14"/>
        <v>45541</v>
      </c>
      <c r="Y33" s="9">
        <f t="shared" si="15"/>
        <v>45505</v>
      </c>
      <c r="Z33" s="9">
        <f t="shared" si="16"/>
        <v>45535</v>
      </c>
      <c r="AA33" s="8">
        <f t="shared" si="17"/>
        <v>31</v>
      </c>
      <c r="AB33" s="8">
        <f t="shared" si="18"/>
        <v>72</v>
      </c>
      <c r="AC33" s="12" t="s">
        <v>149</v>
      </c>
      <c r="AD33" s="11" t="str">
        <f t="shared" si="19"/>
        <v>12
16
44</v>
      </c>
      <c r="AE33" s="11" t="str">
        <f t="shared" si="20"/>
        <v>1
1
3</v>
      </c>
      <c r="AF33" s="11"/>
      <c r="AG33" s="11"/>
      <c r="AH33" s="8">
        <f t="shared" si="21"/>
        <v>9.73</v>
      </c>
      <c r="AI33" s="8">
        <f t="shared" si="22"/>
        <v>2.59</v>
      </c>
      <c r="AJ33" s="8">
        <f t="shared" si="23"/>
        <v>2.76</v>
      </c>
      <c r="AK33" s="8"/>
      <c r="AL33" s="8"/>
      <c r="AM33" s="8">
        <f t="shared" si="24"/>
        <v>0</v>
      </c>
      <c r="AN33" s="8">
        <f t="shared" si="25"/>
        <v>15.29</v>
      </c>
    </row>
    <row r="34" spans="1:40" ht="48" customHeight="1" x14ac:dyDescent="0.2">
      <c r="A34" s="8" t="str">
        <f>Elettricità!I34</f>
        <v>IT001E04170930</v>
      </c>
      <c r="B34" s="8" t="str">
        <f>Elettricità!A34</f>
        <v>005076347797.PDF</v>
      </c>
      <c r="C34" s="9">
        <f>Elettricità!E34</f>
        <v>45571</v>
      </c>
      <c r="D34" s="9">
        <f>Elettricità!K34</f>
        <v>45536</v>
      </c>
      <c r="E34" s="9">
        <f>Elettricità!L34</f>
        <v>45565</v>
      </c>
      <c r="F34" s="8">
        <f>Elettricità!M34</f>
        <v>11</v>
      </c>
      <c r="G34" s="8">
        <f>Elettricità!N34</f>
        <v>1</v>
      </c>
      <c r="H34" s="8">
        <f>Elettricità!O34</f>
        <v>3</v>
      </c>
      <c r="I34" s="8">
        <f>Elettricità!P34</f>
        <v>7</v>
      </c>
      <c r="J34" s="8">
        <f>Elettricità!Q34</f>
        <v>0</v>
      </c>
      <c r="K34" s="8">
        <f>Elettricità!R34</f>
        <v>0</v>
      </c>
      <c r="L34" s="8">
        <f>Elettricità!S34</f>
        <v>0</v>
      </c>
      <c r="M34" s="8">
        <f>Elettricità!T34</f>
        <v>0</v>
      </c>
      <c r="N34" s="8">
        <f>Elettricità!W34</f>
        <v>11.06</v>
      </c>
      <c r="O34" s="8">
        <f>Elettricità!X34</f>
        <v>13.49</v>
      </c>
      <c r="P34" s="8">
        <f>Elettricità!Y34</f>
        <v>0</v>
      </c>
      <c r="Q34" s="8">
        <f>Elettricità!Z34</f>
        <v>1.55</v>
      </c>
      <c r="R34" s="8">
        <f>Elettricità!AA34</f>
        <v>4.8</v>
      </c>
      <c r="S34" s="8">
        <f>Elettricità!AB34</f>
        <v>4.57</v>
      </c>
      <c r="T34" s="8">
        <f>Elettricità!AC34</f>
        <v>0</v>
      </c>
      <c r="U34" s="8">
        <f>Elettricità!AD34</f>
        <v>2.4300000000000002</v>
      </c>
      <c r="V34" s="8">
        <f t="shared" si="13"/>
        <v>2024</v>
      </c>
      <c r="W34" s="8">
        <f>_xlfn.XLOOKUP(A34,Fabbricati!E:E,Fabbricati!D:D)</f>
        <v>382908350</v>
      </c>
      <c r="X34" s="9">
        <f t="shared" si="14"/>
        <v>45571</v>
      </c>
      <c r="Y34" s="9">
        <f t="shared" si="15"/>
        <v>45536</v>
      </c>
      <c r="Z34" s="9">
        <f t="shared" si="16"/>
        <v>45565</v>
      </c>
      <c r="AA34" s="8">
        <f t="shared" si="17"/>
        <v>30</v>
      </c>
      <c r="AB34" s="8">
        <f t="shared" si="18"/>
        <v>11</v>
      </c>
      <c r="AC34" s="12" t="s">
        <v>149</v>
      </c>
      <c r="AD34" s="11" t="str">
        <f t="shared" si="19"/>
        <v>1
3
7</v>
      </c>
      <c r="AE34" s="11" t="str">
        <f t="shared" si="20"/>
        <v>0
0
0</v>
      </c>
      <c r="AF34" s="11"/>
      <c r="AG34" s="11"/>
      <c r="AH34" s="8">
        <f t="shared" si="21"/>
        <v>9.370000000000001</v>
      </c>
      <c r="AI34" s="8">
        <f t="shared" si="22"/>
        <v>1.55</v>
      </c>
      <c r="AJ34" s="8">
        <f t="shared" si="23"/>
        <v>2.4300000000000002</v>
      </c>
      <c r="AK34" s="8"/>
      <c r="AL34" s="8"/>
      <c r="AM34" s="8">
        <f t="shared" si="24"/>
        <v>0</v>
      </c>
      <c r="AN34" s="8">
        <f t="shared" si="25"/>
        <v>13.49</v>
      </c>
    </row>
    <row r="35" spans="1:40" ht="48" customHeight="1" x14ac:dyDescent="0.2">
      <c r="A35" s="8" t="str">
        <f>Elettricità!I35</f>
        <v>IT001E04170930</v>
      </c>
      <c r="B35" s="8" t="str">
        <f>Elettricità!A35</f>
        <v>005085485054.PDF</v>
      </c>
      <c r="C35" s="9">
        <f>Elettricità!E35</f>
        <v>45604</v>
      </c>
      <c r="D35" s="9">
        <f>Elettricità!K35</f>
        <v>45566</v>
      </c>
      <c r="E35" s="9">
        <f>Elettricità!L35</f>
        <v>45596</v>
      </c>
      <c r="F35" s="8">
        <f>Elettricità!M35</f>
        <v>13</v>
      </c>
      <c r="G35" s="8">
        <f>Elettricità!N35</f>
        <v>1</v>
      </c>
      <c r="H35" s="8">
        <f>Elettricità!O35</f>
        <v>4</v>
      </c>
      <c r="I35" s="8">
        <f>Elettricità!P35</f>
        <v>8</v>
      </c>
      <c r="J35" s="8">
        <f>Elettricità!Q35</f>
        <v>0</v>
      </c>
      <c r="K35" s="8">
        <f>Elettricità!R35</f>
        <v>0</v>
      </c>
      <c r="L35" s="8">
        <f>Elettricità!S35</f>
        <v>0</v>
      </c>
      <c r="M35" s="8">
        <f>Elettricità!T35</f>
        <v>0</v>
      </c>
      <c r="N35" s="8">
        <f>Elettricità!W35</f>
        <v>11.47</v>
      </c>
      <c r="O35" s="8">
        <f>Elettricità!X35</f>
        <v>13.99</v>
      </c>
      <c r="P35" s="8">
        <f>Elettricità!Y35</f>
        <v>0</v>
      </c>
      <c r="Q35" s="8">
        <f>Elettricità!Z35</f>
        <v>1.82</v>
      </c>
      <c r="R35" s="8">
        <f>Elettricità!AA35</f>
        <v>4.83</v>
      </c>
      <c r="S35" s="8">
        <f>Elettricità!AB35</f>
        <v>4.66</v>
      </c>
      <c r="T35" s="8">
        <f>Elettricità!AC35</f>
        <v>0</v>
      </c>
      <c r="U35" s="8">
        <f>Elettricità!AD35</f>
        <v>2.52</v>
      </c>
      <c r="V35" s="8">
        <f t="shared" si="13"/>
        <v>2024</v>
      </c>
      <c r="W35" s="8">
        <f>_xlfn.XLOOKUP(A35,Fabbricati!E:E,Fabbricati!D:D)</f>
        <v>382908350</v>
      </c>
      <c r="X35" s="9">
        <f t="shared" si="14"/>
        <v>45604</v>
      </c>
      <c r="Y35" s="9">
        <f t="shared" si="15"/>
        <v>45566</v>
      </c>
      <c r="Z35" s="9">
        <f t="shared" si="16"/>
        <v>45596</v>
      </c>
      <c r="AA35" s="8">
        <f t="shared" si="17"/>
        <v>31</v>
      </c>
      <c r="AB35" s="8">
        <f t="shared" si="18"/>
        <v>13</v>
      </c>
      <c r="AC35" s="12" t="s">
        <v>149</v>
      </c>
      <c r="AD35" s="11" t="str">
        <f t="shared" si="19"/>
        <v>1
4
8</v>
      </c>
      <c r="AE35" s="11" t="str">
        <f t="shared" si="20"/>
        <v>0
0
0</v>
      </c>
      <c r="AF35" s="11"/>
      <c r="AG35" s="11"/>
      <c r="AH35" s="8">
        <f t="shared" si="21"/>
        <v>9.49</v>
      </c>
      <c r="AI35" s="8">
        <f t="shared" si="22"/>
        <v>1.82</v>
      </c>
      <c r="AJ35" s="8">
        <f t="shared" si="23"/>
        <v>2.52</v>
      </c>
      <c r="AK35" s="8"/>
      <c r="AL35" s="8"/>
      <c r="AM35" s="8">
        <f t="shared" si="24"/>
        <v>0</v>
      </c>
      <c r="AN35" s="8">
        <f t="shared" si="25"/>
        <v>13.99</v>
      </c>
    </row>
    <row r="36" spans="1:40" ht="48" customHeight="1" x14ac:dyDescent="0.2">
      <c r="A36" s="8" t="str">
        <f>Elettricità!I36</f>
        <v>IT001E04170930</v>
      </c>
      <c r="B36" s="8" t="str">
        <f>Elettricità!A36</f>
        <v>005093369288.PDF</v>
      </c>
      <c r="C36" s="9">
        <f>Elettricità!E36</f>
        <v>45632</v>
      </c>
      <c r="D36" s="9">
        <f>Elettricità!K36</f>
        <v>45597</v>
      </c>
      <c r="E36" s="9">
        <f>Elettricità!L36</f>
        <v>45626</v>
      </c>
      <c r="F36" s="8">
        <f>Elettricità!M36</f>
        <v>17</v>
      </c>
      <c r="G36" s="8">
        <f>Elettricità!N36</f>
        <v>3</v>
      </c>
      <c r="H36" s="8">
        <f>Elettricità!O36</f>
        <v>4</v>
      </c>
      <c r="I36" s="8">
        <f>Elettricità!P36</f>
        <v>10</v>
      </c>
      <c r="J36" s="8">
        <f>Elettricità!Q36</f>
        <v>0</v>
      </c>
      <c r="K36" s="8">
        <f>Elettricità!R36</f>
        <v>0</v>
      </c>
      <c r="L36" s="8">
        <f>Elettricità!S36</f>
        <v>0</v>
      </c>
      <c r="M36" s="8">
        <f>Elettricità!T36</f>
        <v>0</v>
      </c>
      <c r="N36" s="8">
        <f>Elettricità!W36</f>
        <v>12.52</v>
      </c>
      <c r="O36" s="8">
        <f>Elettricità!X36</f>
        <v>15.27</v>
      </c>
      <c r="P36" s="8">
        <f>Elettricità!Y36</f>
        <v>0</v>
      </c>
      <c r="Q36" s="8">
        <f>Elettricità!Z36</f>
        <v>2.58</v>
      </c>
      <c r="R36" s="8">
        <f>Elettricità!AA36</f>
        <v>4.88</v>
      </c>
      <c r="S36" s="8">
        <f>Elettricità!AB36</f>
        <v>4.8499999999999996</v>
      </c>
      <c r="T36" s="8">
        <f>Elettricità!AC36</f>
        <v>0</v>
      </c>
      <c r="U36" s="8">
        <f>Elettricità!AD36</f>
        <v>2.75</v>
      </c>
      <c r="V36" s="8">
        <f t="shared" si="13"/>
        <v>2024</v>
      </c>
      <c r="W36" s="8">
        <f>_xlfn.XLOOKUP(A36,Fabbricati!E:E,Fabbricati!D:D)</f>
        <v>382908350</v>
      </c>
      <c r="X36" s="9">
        <f t="shared" si="14"/>
        <v>45632</v>
      </c>
      <c r="Y36" s="9">
        <f t="shared" si="15"/>
        <v>45597</v>
      </c>
      <c r="Z36" s="9">
        <f t="shared" si="16"/>
        <v>45626</v>
      </c>
      <c r="AA36" s="8">
        <f t="shared" si="17"/>
        <v>30</v>
      </c>
      <c r="AB36" s="8">
        <f t="shared" si="18"/>
        <v>17</v>
      </c>
      <c r="AC36" s="12" t="s">
        <v>149</v>
      </c>
      <c r="AD36" s="11" t="str">
        <f t="shared" si="19"/>
        <v>3
4
10</v>
      </c>
      <c r="AE36" s="11" t="str">
        <f t="shared" si="20"/>
        <v>0
0
0</v>
      </c>
      <c r="AF36" s="11"/>
      <c r="AG36" s="11"/>
      <c r="AH36" s="8">
        <f t="shared" si="21"/>
        <v>9.73</v>
      </c>
      <c r="AI36" s="8">
        <f t="shared" si="22"/>
        <v>2.58</v>
      </c>
      <c r="AJ36" s="8">
        <f t="shared" si="23"/>
        <v>2.75</v>
      </c>
      <c r="AK36" s="8"/>
      <c r="AL36" s="8"/>
      <c r="AM36" s="8">
        <f t="shared" si="24"/>
        <v>0</v>
      </c>
      <c r="AN36" s="8">
        <f t="shared" si="25"/>
        <v>15.27</v>
      </c>
    </row>
    <row r="37" spans="1:40" ht="48" customHeight="1" x14ac:dyDescent="0.2">
      <c r="A37" s="8" t="str">
        <f>Elettricità!I37</f>
        <v>IT001E04170930</v>
      </c>
      <c r="B37" s="8" t="str">
        <f>Elettricità!A37</f>
        <v>005200218701.PDF</v>
      </c>
      <c r="C37" s="9">
        <f>Elettricità!E37</f>
        <v>45665</v>
      </c>
      <c r="D37" s="9">
        <f>Elettricità!K37</f>
        <v>45627</v>
      </c>
      <c r="E37" s="9">
        <f>Elettricità!L37</f>
        <v>45657</v>
      </c>
      <c r="F37" s="8">
        <f>Elettricità!M37</f>
        <v>18</v>
      </c>
      <c r="G37" s="8">
        <f>Elettricità!N37</f>
        <v>2</v>
      </c>
      <c r="H37" s="8">
        <f>Elettricità!O37</f>
        <v>5</v>
      </c>
      <c r="I37" s="8">
        <f>Elettricità!P37</f>
        <v>11</v>
      </c>
      <c r="J37" s="8">
        <f>Elettricità!Q37</f>
        <v>0</v>
      </c>
      <c r="K37" s="8">
        <f>Elettricità!R37</f>
        <v>0</v>
      </c>
      <c r="L37" s="8">
        <f>Elettricità!S37</f>
        <v>0</v>
      </c>
      <c r="M37" s="8">
        <f>Elettricità!T37</f>
        <v>0</v>
      </c>
      <c r="N37" s="8">
        <f>Elettricità!W37</f>
        <v>13.03</v>
      </c>
      <c r="O37" s="8">
        <f>Elettricità!X37</f>
        <v>15.9</v>
      </c>
      <c r="P37" s="8">
        <f>Elettricità!Y37</f>
        <v>0</v>
      </c>
      <c r="Q37" s="8">
        <f>Elettricità!Z37</f>
        <v>3</v>
      </c>
      <c r="R37" s="8">
        <f>Elettricità!AA37</f>
        <v>4.8899999999999997</v>
      </c>
      <c r="S37" s="8">
        <f>Elettricità!AB37</f>
        <v>4.91</v>
      </c>
      <c r="T37" s="8">
        <f>Elettricità!AC37</f>
        <v>0</v>
      </c>
      <c r="U37" s="8">
        <f>Elettricità!AD37</f>
        <v>2.87</v>
      </c>
      <c r="V37" s="8">
        <f t="shared" si="13"/>
        <v>2024</v>
      </c>
      <c r="W37" s="8">
        <f>_xlfn.XLOOKUP(A37,Fabbricati!E:E,Fabbricati!D:D)</f>
        <v>382908350</v>
      </c>
      <c r="X37" s="9">
        <f t="shared" si="14"/>
        <v>45665</v>
      </c>
      <c r="Y37" s="9">
        <f t="shared" si="15"/>
        <v>45627</v>
      </c>
      <c r="Z37" s="9">
        <f t="shared" si="16"/>
        <v>45657</v>
      </c>
      <c r="AA37" s="8">
        <f t="shared" si="17"/>
        <v>31</v>
      </c>
      <c r="AB37" s="8">
        <f t="shared" si="18"/>
        <v>18</v>
      </c>
      <c r="AC37" s="12" t="s">
        <v>149</v>
      </c>
      <c r="AD37" s="11" t="str">
        <f t="shared" si="19"/>
        <v>2
5
11</v>
      </c>
      <c r="AE37" s="11" t="str">
        <f t="shared" si="20"/>
        <v>0
0
0</v>
      </c>
      <c r="AF37" s="11"/>
      <c r="AG37" s="11"/>
      <c r="AH37" s="8">
        <f t="shared" si="21"/>
        <v>9.8000000000000007</v>
      </c>
      <c r="AI37" s="8">
        <f t="shared" si="22"/>
        <v>3</v>
      </c>
      <c r="AJ37" s="8">
        <f t="shared" si="23"/>
        <v>2.87</v>
      </c>
      <c r="AK37" s="8"/>
      <c r="AL37" s="8"/>
      <c r="AM37" s="8">
        <f t="shared" si="24"/>
        <v>0</v>
      </c>
      <c r="AN37" s="8">
        <f t="shared" si="25"/>
        <v>15.9</v>
      </c>
    </row>
    <row r="38" spans="1:40" ht="48" customHeight="1" x14ac:dyDescent="0.2">
      <c r="A38" s="8" t="str">
        <f>Elettricità!I38</f>
        <v>IT001E04170934</v>
      </c>
      <c r="B38" s="8" t="str">
        <f>Elettricità!A38</f>
        <v>824500045754_2024_d.pdf</v>
      </c>
      <c r="C38" s="9">
        <f>Elettricità!E38</f>
        <v>45350</v>
      </c>
      <c r="D38" s="9">
        <f>Elettricità!K38</f>
        <v>45292</v>
      </c>
      <c r="E38" s="9">
        <f>Elettricità!L38</f>
        <v>45322</v>
      </c>
      <c r="F38" s="8">
        <f>Elettricità!M38</f>
        <v>5674</v>
      </c>
      <c r="G38" s="8">
        <f>Elettricità!N38</f>
        <v>1585</v>
      </c>
      <c r="H38" s="8">
        <f>Elettricità!O38</f>
        <v>2114</v>
      </c>
      <c r="I38" s="8">
        <f>Elettricità!P38</f>
        <v>1975</v>
      </c>
      <c r="J38" s="8">
        <f>Elettricità!Q38</f>
        <v>596</v>
      </c>
      <c r="K38" s="8">
        <f>Elettricità!R38</f>
        <v>258</v>
      </c>
      <c r="L38" s="8">
        <f>Elettricità!S38</f>
        <v>293</v>
      </c>
      <c r="M38" s="8">
        <f>Elettricità!T38</f>
        <v>45</v>
      </c>
      <c r="N38" s="8">
        <f>Elettricità!W38</f>
        <v>1513.25</v>
      </c>
      <c r="O38" s="8">
        <f>Elettricità!X38</f>
        <v>1846.17</v>
      </c>
      <c r="P38" s="8">
        <f>Elettricità!Y38</f>
        <v>0</v>
      </c>
      <c r="Q38" s="8">
        <f>Elettricità!Z38</f>
        <v>892.78</v>
      </c>
      <c r="R38" s="8">
        <f>Elettricità!AA38</f>
        <v>195.53</v>
      </c>
      <c r="S38" s="8">
        <f>Elettricità!AB38</f>
        <v>325.64</v>
      </c>
      <c r="T38" s="8">
        <f>Elettricità!AC38</f>
        <v>28.37</v>
      </c>
      <c r="U38" s="8">
        <f>Elettricità!AD38</f>
        <v>70.930000000000007</v>
      </c>
      <c r="V38" s="8">
        <f t="shared" si="13"/>
        <v>2024</v>
      </c>
      <c r="W38" s="8">
        <f>_xlfn.XLOOKUP(A38,Fabbricati!E:E,Fabbricati!D:D)</f>
        <v>382908180</v>
      </c>
      <c r="X38" s="9">
        <f t="shared" si="14"/>
        <v>45350</v>
      </c>
      <c r="Y38" s="9">
        <f t="shared" si="15"/>
        <v>45292</v>
      </c>
      <c r="Z38" s="9">
        <f t="shared" si="16"/>
        <v>45322</v>
      </c>
      <c r="AA38" s="8">
        <f t="shared" si="17"/>
        <v>31</v>
      </c>
      <c r="AB38" s="8">
        <f t="shared" si="18"/>
        <v>5674</v>
      </c>
      <c r="AC38" s="12" t="s">
        <v>149</v>
      </c>
      <c r="AD38" s="11" t="str">
        <f t="shared" si="19"/>
        <v>1585
2114
1975</v>
      </c>
      <c r="AE38" s="11" t="str">
        <f t="shared" si="20"/>
        <v>258
293
45</v>
      </c>
      <c r="AF38" s="11"/>
      <c r="AG38" s="11"/>
      <c r="AH38" s="8">
        <f t="shared" si="21"/>
        <v>521.16999999999996</v>
      </c>
      <c r="AI38" s="8">
        <f t="shared" si="22"/>
        <v>892.78</v>
      </c>
      <c r="AJ38" s="8">
        <f t="shared" si="23"/>
        <v>70.930000000000007</v>
      </c>
      <c r="AK38" s="8"/>
      <c r="AL38" s="8"/>
      <c r="AM38" s="8">
        <f t="shared" si="24"/>
        <v>28.37</v>
      </c>
      <c r="AN38" s="8">
        <f t="shared" si="25"/>
        <v>1846.17</v>
      </c>
    </row>
    <row r="39" spans="1:40" ht="48" customHeight="1" x14ac:dyDescent="0.2">
      <c r="A39" s="8" t="str">
        <f>Elettricità!I39</f>
        <v>IT001E04170934</v>
      </c>
      <c r="B39" s="8" t="str">
        <f>Elettricità!A39</f>
        <v>005018359687.pdf</v>
      </c>
      <c r="C39" s="9">
        <f>Elettricità!E39</f>
        <v>45358</v>
      </c>
      <c r="D39" s="9">
        <f>Elettricità!K39</f>
        <v>45323</v>
      </c>
      <c r="E39" s="9">
        <f>Elettricità!L39</f>
        <v>45351</v>
      </c>
      <c r="F39" s="8">
        <f>Elettricità!M39</f>
        <v>4932</v>
      </c>
      <c r="G39" s="8">
        <f>Elettricità!N39</f>
        <v>1418</v>
      </c>
      <c r="H39" s="8">
        <f>Elettricità!O39</f>
        <v>1991</v>
      </c>
      <c r="I39" s="8">
        <f>Elettricità!P39</f>
        <v>1523</v>
      </c>
      <c r="J39" s="8">
        <f>Elettricità!Q39</f>
        <v>712</v>
      </c>
      <c r="K39" s="8">
        <f>Elettricità!R39</f>
        <v>294</v>
      </c>
      <c r="L39" s="8">
        <f>Elettricità!S39</f>
        <v>382</v>
      </c>
      <c r="M39" s="8">
        <f>Elettricità!T39</f>
        <v>36</v>
      </c>
      <c r="N39" s="8">
        <f>Elettricità!W39</f>
        <v>1126.3800000000001</v>
      </c>
      <c r="O39" s="8">
        <f>Elettricità!X39</f>
        <v>1374.18</v>
      </c>
      <c r="P39" s="8">
        <f>Elettricità!Y39</f>
        <v>0</v>
      </c>
      <c r="Q39" s="8">
        <f>Elettricità!Z39</f>
        <v>598.05999999999995</v>
      </c>
      <c r="R39" s="8">
        <f>Elettricità!AA39</f>
        <v>177.7</v>
      </c>
      <c r="S39" s="8">
        <f>Elettricità!AB39</f>
        <v>288.97000000000003</v>
      </c>
      <c r="T39" s="8">
        <f>Elettricità!AC39</f>
        <v>0</v>
      </c>
      <c r="U39" s="8">
        <f>Elettricità!AD39</f>
        <v>247.8</v>
      </c>
      <c r="V39" s="8">
        <f t="shared" si="13"/>
        <v>2024</v>
      </c>
      <c r="W39" s="8">
        <f>_xlfn.XLOOKUP(A39,Fabbricati!E:E,Fabbricati!D:D)</f>
        <v>382908180</v>
      </c>
      <c r="X39" s="9">
        <f t="shared" si="14"/>
        <v>45358</v>
      </c>
      <c r="Y39" s="9">
        <f t="shared" si="15"/>
        <v>45323</v>
      </c>
      <c r="Z39" s="9">
        <f t="shared" si="16"/>
        <v>45351</v>
      </c>
      <c r="AA39" s="8">
        <f t="shared" si="17"/>
        <v>29</v>
      </c>
      <c r="AB39" s="8">
        <f t="shared" si="18"/>
        <v>4932</v>
      </c>
      <c r="AC39" s="12" t="s">
        <v>149</v>
      </c>
      <c r="AD39" s="11" t="str">
        <f t="shared" si="19"/>
        <v>1418
1991
1523</v>
      </c>
      <c r="AE39" s="11" t="str">
        <f t="shared" si="20"/>
        <v>294
382
36</v>
      </c>
      <c r="AF39" s="11"/>
      <c r="AG39" s="11"/>
      <c r="AH39" s="8">
        <f t="shared" si="21"/>
        <v>466.67</v>
      </c>
      <c r="AI39" s="8">
        <f t="shared" si="22"/>
        <v>598.05999999999995</v>
      </c>
      <c r="AJ39" s="8">
        <f t="shared" si="23"/>
        <v>247.8</v>
      </c>
      <c r="AK39" s="8"/>
      <c r="AL39" s="8"/>
      <c r="AM39" s="8">
        <f t="shared" si="24"/>
        <v>0</v>
      </c>
      <c r="AN39" s="8">
        <f t="shared" si="25"/>
        <v>1374.18</v>
      </c>
    </row>
    <row r="40" spans="1:40" ht="48" customHeight="1" x14ac:dyDescent="0.2">
      <c r="A40" s="8" t="str">
        <f>Elettricità!I40</f>
        <v>IT001E04170934</v>
      </c>
      <c r="B40" s="8" t="str">
        <f>Elettricità!A40</f>
        <v>005026659970.pdf</v>
      </c>
      <c r="C40" s="9">
        <f>Elettricità!E40</f>
        <v>45390</v>
      </c>
      <c r="D40" s="9">
        <f>Elettricità!K40</f>
        <v>45352</v>
      </c>
      <c r="E40" s="9">
        <f>Elettricità!L40</f>
        <v>45382</v>
      </c>
      <c r="F40" s="8">
        <f>Elettricità!M40</f>
        <v>4049</v>
      </c>
      <c r="G40" s="8">
        <f>Elettricità!N40</f>
        <v>953</v>
      </c>
      <c r="H40" s="8">
        <f>Elettricità!O40</f>
        <v>1740</v>
      </c>
      <c r="I40" s="8">
        <f>Elettricità!P40</f>
        <v>1356</v>
      </c>
      <c r="J40" s="8">
        <f>Elettricità!Q40</f>
        <v>640</v>
      </c>
      <c r="K40" s="8">
        <f>Elettricità!R40</f>
        <v>216</v>
      </c>
      <c r="L40" s="8">
        <f>Elettricità!S40</f>
        <v>365</v>
      </c>
      <c r="M40" s="8">
        <f>Elettricità!T40</f>
        <v>59</v>
      </c>
      <c r="N40" s="8">
        <f>Elettricità!W40</f>
        <v>942.35</v>
      </c>
      <c r="O40" s="8">
        <f>Elettricità!X40</f>
        <v>1149.67</v>
      </c>
      <c r="P40" s="8">
        <f>Elettricità!Y40</f>
        <v>0</v>
      </c>
      <c r="Q40" s="8">
        <f>Elettricità!Z40</f>
        <v>475.23</v>
      </c>
      <c r="R40" s="8">
        <f>Elettricità!AA40</f>
        <v>164.8</v>
      </c>
      <c r="S40" s="8">
        <f>Elettricità!AB40</f>
        <v>251.71</v>
      </c>
      <c r="T40" s="8">
        <f>Elettricità!AC40</f>
        <v>0</v>
      </c>
      <c r="U40" s="8">
        <f>Elettricità!AD40</f>
        <v>207.32</v>
      </c>
      <c r="V40" s="8">
        <f t="shared" si="13"/>
        <v>2024</v>
      </c>
      <c r="W40" s="8">
        <f>_xlfn.XLOOKUP(A40,Fabbricati!E:E,Fabbricati!D:D)</f>
        <v>382908180</v>
      </c>
      <c r="X40" s="9">
        <f t="shared" si="14"/>
        <v>45390</v>
      </c>
      <c r="Y40" s="9">
        <f t="shared" si="15"/>
        <v>45352</v>
      </c>
      <c r="Z40" s="9">
        <f t="shared" si="16"/>
        <v>45382</v>
      </c>
      <c r="AA40" s="8">
        <f t="shared" si="17"/>
        <v>31</v>
      </c>
      <c r="AB40" s="8">
        <f t="shared" si="18"/>
        <v>4049</v>
      </c>
      <c r="AC40" s="12" t="s">
        <v>149</v>
      </c>
      <c r="AD40" s="11" t="str">
        <f t="shared" si="19"/>
        <v>953
1740
1356</v>
      </c>
      <c r="AE40" s="11" t="str">
        <f t="shared" si="20"/>
        <v>216
365
59</v>
      </c>
      <c r="AF40" s="11"/>
      <c r="AG40" s="11"/>
      <c r="AH40" s="8">
        <f t="shared" si="21"/>
        <v>416.51</v>
      </c>
      <c r="AI40" s="8">
        <f t="shared" si="22"/>
        <v>475.23</v>
      </c>
      <c r="AJ40" s="8">
        <f t="shared" si="23"/>
        <v>207.32</v>
      </c>
      <c r="AK40" s="8"/>
      <c r="AL40" s="8"/>
      <c r="AM40" s="8">
        <f t="shared" si="24"/>
        <v>0</v>
      </c>
      <c r="AN40" s="8">
        <f t="shared" si="25"/>
        <v>1149.67</v>
      </c>
    </row>
    <row r="41" spans="1:40" ht="48" customHeight="1" x14ac:dyDescent="0.2">
      <c r="A41" s="8" t="str">
        <f>Elettricità!I41</f>
        <v>IT001E04170934</v>
      </c>
      <c r="B41" s="8" t="str">
        <f>Elettricità!A41</f>
        <v>005034930240.PDF</v>
      </c>
      <c r="C41" s="9">
        <f>Elettricità!E41</f>
        <v>45419</v>
      </c>
      <c r="D41" s="9">
        <f>Elettricità!K41</f>
        <v>45383</v>
      </c>
      <c r="E41" s="9">
        <f>Elettricità!L41</f>
        <v>45412</v>
      </c>
      <c r="F41" s="8">
        <f>Elettricità!M41</f>
        <v>2216</v>
      </c>
      <c r="G41" s="8">
        <f>Elettricità!N41</f>
        <v>334</v>
      </c>
      <c r="H41" s="8">
        <f>Elettricità!O41</f>
        <v>1023</v>
      </c>
      <c r="I41" s="8">
        <f>Elettricità!P41</f>
        <v>859</v>
      </c>
      <c r="J41" s="8">
        <f>Elettricità!Q41</f>
        <v>456</v>
      </c>
      <c r="K41" s="8">
        <f>Elettricità!R41</f>
        <v>136</v>
      </c>
      <c r="L41" s="8">
        <f>Elettricità!S41</f>
        <v>253</v>
      </c>
      <c r="M41" s="8">
        <f>Elettricità!T41</f>
        <v>67</v>
      </c>
      <c r="N41" s="8">
        <f>Elettricità!W41</f>
        <v>632.59</v>
      </c>
      <c r="O41" s="8">
        <f>Elettricità!X41</f>
        <v>771.76</v>
      </c>
      <c r="P41" s="8">
        <f>Elettricità!Y41</f>
        <v>0</v>
      </c>
      <c r="Q41" s="8">
        <f>Elettricità!Z41</f>
        <v>258.29000000000002</v>
      </c>
      <c r="R41" s="8">
        <f>Elettricità!AA41</f>
        <v>141.06</v>
      </c>
      <c r="S41" s="8">
        <f>Elettricità!AB41</f>
        <v>205.54</v>
      </c>
      <c r="T41" s="8">
        <f>Elettricità!AC41</f>
        <v>0</v>
      </c>
      <c r="U41" s="8">
        <f>Elettricità!AD41</f>
        <v>139.16999999999999</v>
      </c>
      <c r="V41" s="8">
        <f t="shared" si="13"/>
        <v>2024</v>
      </c>
      <c r="W41" s="8">
        <f>_xlfn.XLOOKUP(A41,Fabbricati!E:E,Fabbricati!D:D)</f>
        <v>382908180</v>
      </c>
      <c r="X41" s="9">
        <f t="shared" si="14"/>
        <v>45419</v>
      </c>
      <c r="Y41" s="9">
        <f t="shared" si="15"/>
        <v>45383</v>
      </c>
      <c r="Z41" s="9">
        <f t="shared" si="16"/>
        <v>45412</v>
      </c>
      <c r="AA41" s="8">
        <f t="shared" si="17"/>
        <v>30</v>
      </c>
      <c r="AB41" s="8">
        <f t="shared" si="18"/>
        <v>2216</v>
      </c>
      <c r="AC41" s="12" t="s">
        <v>149</v>
      </c>
      <c r="AD41" s="11" t="str">
        <f t="shared" si="19"/>
        <v>334
1023
859</v>
      </c>
      <c r="AE41" s="11" t="str">
        <f t="shared" si="20"/>
        <v>136
253
67</v>
      </c>
      <c r="AF41" s="11"/>
      <c r="AG41" s="11"/>
      <c r="AH41" s="8">
        <f t="shared" si="21"/>
        <v>346.6</v>
      </c>
      <c r="AI41" s="8">
        <f t="shared" si="22"/>
        <v>258.29000000000002</v>
      </c>
      <c r="AJ41" s="8">
        <f t="shared" si="23"/>
        <v>139.16999999999999</v>
      </c>
      <c r="AK41" s="8"/>
      <c r="AL41" s="8"/>
      <c r="AM41" s="8">
        <f t="shared" si="24"/>
        <v>0</v>
      </c>
      <c r="AN41" s="8">
        <f t="shared" si="25"/>
        <v>771.76</v>
      </c>
    </row>
    <row r="42" spans="1:40" ht="48" customHeight="1" x14ac:dyDescent="0.2">
      <c r="A42" s="8" t="str">
        <f>Elettricità!I42</f>
        <v>IT001E04170934</v>
      </c>
      <c r="B42" s="8" t="str">
        <f>Elettricità!A42</f>
        <v>005043663106.PDF</v>
      </c>
      <c r="C42" s="9">
        <f>Elettricità!E42</f>
        <v>45449</v>
      </c>
      <c r="D42" s="9">
        <f>Elettricità!K42</f>
        <v>45413</v>
      </c>
      <c r="E42" s="9">
        <f>Elettricità!L42</f>
        <v>45443</v>
      </c>
      <c r="F42" s="8">
        <f>Elettricità!M42</f>
        <v>1439</v>
      </c>
      <c r="G42" s="8">
        <f>Elettricità!N42</f>
        <v>274</v>
      </c>
      <c r="H42" s="8">
        <f>Elettricità!O42</f>
        <v>497</v>
      </c>
      <c r="I42" s="8">
        <f>Elettricità!P42</f>
        <v>668</v>
      </c>
      <c r="J42" s="8">
        <f>Elettricità!Q42</f>
        <v>412</v>
      </c>
      <c r="K42" s="8">
        <f>Elettricità!R42</f>
        <v>175</v>
      </c>
      <c r="L42" s="8">
        <f>Elettricità!S42</f>
        <v>147</v>
      </c>
      <c r="M42" s="8">
        <f>Elettricità!T42</f>
        <v>90</v>
      </c>
      <c r="N42" s="8">
        <f>Elettricità!W42</f>
        <v>435.26</v>
      </c>
      <c r="O42" s="8">
        <f>Elettricità!X42</f>
        <v>531.02</v>
      </c>
      <c r="P42" s="8">
        <f>Elettricità!Y42</f>
        <v>0</v>
      </c>
      <c r="Q42" s="8">
        <f>Elettricità!Z42</f>
        <v>176.76</v>
      </c>
      <c r="R42" s="8">
        <f>Elettricità!AA42</f>
        <v>100.17</v>
      </c>
      <c r="S42" s="8">
        <f>Elettricità!AB42</f>
        <v>140.34</v>
      </c>
      <c r="T42" s="8">
        <f>Elettricità!AC42</f>
        <v>0</v>
      </c>
      <c r="U42" s="8">
        <f>Elettricità!AD42</f>
        <v>95.76</v>
      </c>
      <c r="V42" s="8">
        <f t="shared" si="13"/>
        <v>2024</v>
      </c>
      <c r="W42" s="8">
        <f>_xlfn.XLOOKUP(A42,Fabbricati!E:E,Fabbricati!D:D)</f>
        <v>382908180</v>
      </c>
      <c r="X42" s="9">
        <f t="shared" si="14"/>
        <v>45449</v>
      </c>
      <c r="Y42" s="9">
        <f t="shared" si="15"/>
        <v>45413</v>
      </c>
      <c r="Z42" s="9">
        <f t="shared" si="16"/>
        <v>45443</v>
      </c>
      <c r="AA42" s="8">
        <f t="shared" si="17"/>
        <v>31</v>
      </c>
      <c r="AB42" s="8">
        <f t="shared" si="18"/>
        <v>1439</v>
      </c>
      <c r="AC42" s="12" t="s">
        <v>149</v>
      </c>
      <c r="AD42" s="11" t="str">
        <f t="shared" si="19"/>
        <v>274
497
668</v>
      </c>
      <c r="AE42" s="11" t="str">
        <f t="shared" si="20"/>
        <v>175
147
90</v>
      </c>
      <c r="AF42" s="11"/>
      <c r="AG42" s="11"/>
      <c r="AH42" s="8">
        <f t="shared" si="21"/>
        <v>240.51</v>
      </c>
      <c r="AI42" s="8">
        <f t="shared" si="22"/>
        <v>176.76</v>
      </c>
      <c r="AJ42" s="8">
        <f t="shared" si="23"/>
        <v>95.76</v>
      </c>
      <c r="AK42" s="8"/>
      <c r="AL42" s="8"/>
      <c r="AM42" s="8">
        <f t="shared" si="24"/>
        <v>0</v>
      </c>
      <c r="AN42" s="8">
        <f t="shared" si="25"/>
        <v>531.02</v>
      </c>
    </row>
    <row r="43" spans="1:40" ht="48" customHeight="1" x14ac:dyDescent="0.2">
      <c r="A43" s="8" t="str">
        <f>Elettricità!I43</f>
        <v>IT001E04170934</v>
      </c>
      <c r="B43" s="8" t="str">
        <f>Elettricità!A43</f>
        <v>005051431118.PDF</v>
      </c>
      <c r="C43" s="9">
        <f>Elettricità!E43</f>
        <v>45478</v>
      </c>
      <c r="D43" s="9">
        <f>Elettricità!K43</f>
        <v>45444</v>
      </c>
      <c r="E43" s="9">
        <f>Elettricità!L43</f>
        <v>45473</v>
      </c>
      <c r="F43" s="8">
        <f>Elettricità!M43</f>
        <v>1267</v>
      </c>
      <c r="G43" s="8">
        <f>Elettricità!N43</f>
        <v>279</v>
      </c>
      <c r="H43" s="8">
        <f>Elettricità!O43</f>
        <v>332</v>
      </c>
      <c r="I43" s="8">
        <f>Elettricità!P43</f>
        <v>656</v>
      </c>
      <c r="J43" s="8">
        <f>Elettricità!Q43</f>
        <v>464</v>
      </c>
      <c r="K43" s="8">
        <f>Elettricità!R43</f>
        <v>213</v>
      </c>
      <c r="L43" s="8">
        <f>Elettricità!S43</f>
        <v>134</v>
      </c>
      <c r="M43" s="8">
        <f>Elettricità!T43</f>
        <v>117</v>
      </c>
      <c r="N43" s="8">
        <f>Elettricità!W43</f>
        <v>313.14</v>
      </c>
      <c r="O43" s="8">
        <f>Elettricità!X43</f>
        <v>382.03</v>
      </c>
      <c r="P43" s="8">
        <f>Elettricità!Y43</f>
        <v>0</v>
      </c>
      <c r="Q43" s="8">
        <f>Elettricità!Z43</f>
        <v>168.38</v>
      </c>
      <c r="R43" s="8">
        <f>Elettricità!AA43</f>
        <v>44.84</v>
      </c>
      <c r="S43" s="8">
        <f>Elettricità!AB43</f>
        <v>84.08</v>
      </c>
      <c r="T43" s="8">
        <f>Elettricità!AC43</f>
        <v>0</v>
      </c>
      <c r="U43" s="8">
        <f>Elettricità!AD43</f>
        <v>68.89</v>
      </c>
      <c r="V43" s="8">
        <f t="shared" si="13"/>
        <v>2024</v>
      </c>
      <c r="W43" s="8">
        <f>_xlfn.XLOOKUP(A43,Fabbricati!E:E,Fabbricati!D:D)</f>
        <v>382908180</v>
      </c>
      <c r="X43" s="9">
        <f t="shared" si="14"/>
        <v>45478</v>
      </c>
      <c r="Y43" s="9">
        <f t="shared" si="15"/>
        <v>45444</v>
      </c>
      <c r="Z43" s="9">
        <f t="shared" si="16"/>
        <v>45473</v>
      </c>
      <c r="AA43" s="8">
        <f t="shared" si="17"/>
        <v>30</v>
      </c>
      <c r="AB43" s="8">
        <f t="shared" si="18"/>
        <v>1267</v>
      </c>
      <c r="AC43" s="12" t="s">
        <v>149</v>
      </c>
      <c r="AD43" s="11" t="str">
        <f t="shared" si="19"/>
        <v>279
332
656</v>
      </c>
      <c r="AE43" s="11" t="str">
        <f t="shared" si="20"/>
        <v>213
134
117</v>
      </c>
      <c r="AF43" s="11"/>
      <c r="AG43" s="11"/>
      <c r="AH43" s="8">
        <f t="shared" si="21"/>
        <v>128.92000000000002</v>
      </c>
      <c r="AI43" s="8">
        <f t="shared" si="22"/>
        <v>168.38</v>
      </c>
      <c r="AJ43" s="8">
        <f t="shared" si="23"/>
        <v>68.89</v>
      </c>
      <c r="AK43" s="8"/>
      <c r="AL43" s="8"/>
      <c r="AM43" s="8">
        <f t="shared" si="24"/>
        <v>0</v>
      </c>
      <c r="AN43" s="8">
        <f t="shared" si="25"/>
        <v>382.03</v>
      </c>
    </row>
    <row r="44" spans="1:40" ht="48" customHeight="1" x14ac:dyDescent="0.2">
      <c r="A44" s="8" t="str">
        <f>Elettricità!I44</f>
        <v>IT001E04170934</v>
      </c>
      <c r="B44" s="8" t="str">
        <f>Elettricità!A44</f>
        <v>005059958082.PDF</v>
      </c>
      <c r="C44" s="9">
        <f>Elettricità!E44</f>
        <v>45511</v>
      </c>
      <c r="D44" s="9">
        <f>Elettricità!K44</f>
        <v>45474</v>
      </c>
      <c r="E44" s="9">
        <f>Elettricità!L44</f>
        <v>45504</v>
      </c>
      <c r="F44" s="8">
        <f>Elettricità!M44</f>
        <v>2109</v>
      </c>
      <c r="G44" s="8">
        <f>Elettricità!N44</f>
        <v>467</v>
      </c>
      <c r="H44" s="8">
        <f>Elettricità!O44</f>
        <v>594</v>
      </c>
      <c r="I44" s="8">
        <f>Elettricità!P44</f>
        <v>1048</v>
      </c>
      <c r="J44" s="8">
        <f>Elettricità!Q44</f>
        <v>1026</v>
      </c>
      <c r="K44" s="8">
        <f>Elettricità!R44</f>
        <v>365</v>
      </c>
      <c r="L44" s="8">
        <f>Elettricità!S44</f>
        <v>309</v>
      </c>
      <c r="M44" s="8">
        <f>Elettricità!T44</f>
        <v>352</v>
      </c>
      <c r="N44" s="8">
        <f>Elettricità!W44</f>
        <v>568.51</v>
      </c>
      <c r="O44" s="8">
        <f>Elettricità!X44</f>
        <v>693.58</v>
      </c>
      <c r="P44" s="8">
        <f>Elettricità!Y44</f>
        <v>0</v>
      </c>
      <c r="Q44" s="8">
        <f>Elettricità!Z44</f>
        <v>325.69</v>
      </c>
      <c r="R44" s="8">
        <f>Elettricità!AA44</f>
        <v>76.02</v>
      </c>
      <c r="S44" s="8">
        <f>Elettricità!AB44</f>
        <v>140.44</v>
      </c>
      <c r="T44" s="8">
        <f>Elettricità!AC44</f>
        <v>0</v>
      </c>
      <c r="U44" s="8">
        <f>Elettricità!AD44</f>
        <v>125.07</v>
      </c>
      <c r="V44" s="8">
        <f t="shared" si="13"/>
        <v>2024</v>
      </c>
      <c r="W44" s="8">
        <f>_xlfn.XLOOKUP(A44,Fabbricati!E:E,Fabbricati!D:D)</f>
        <v>382908180</v>
      </c>
      <c r="X44" s="9">
        <f t="shared" si="14"/>
        <v>45511</v>
      </c>
      <c r="Y44" s="9">
        <f t="shared" si="15"/>
        <v>45474</v>
      </c>
      <c r="Z44" s="9">
        <f t="shared" si="16"/>
        <v>45504</v>
      </c>
      <c r="AA44" s="8">
        <f t="shared" si="17"/>
        <v>31</v>
      </c>
      <c r="AB44" s="8">
        <f t="shared" si="18"/>
        <v>2109</v>
      </c>
      <c r="AC44" s="12" t="s">
        <v>149</v>
      </c>
      <c r="AD44" s="11" t="str">
        <f t="shared" si="19"/>
        <v>467
594
1048</v>
      </c>
      <c r="AE44" s="11" t="str">
        <f t="shared" si="20"/>
        <v>365
309
352</v>
      </c>
      <c r="AF44" s="11"/>
      <c r="AG44" s="11"/>
      <c r="AH44" s="8">
        <f t="shared" si="21"/>
        <v>216.45999999999998</v>
      </c>
      <c r="AI44" s="8">
        <f t="shared" si="22"/>
        <v>325.69</v>
      </c>
      <c r="AJ44" s="8">
        <f t="shared" si="23"/>
        <v>125.07</v>
      </c>
      <c r="AK44" s="8"/>
      <c r="AL44" s="8"/>
      <c r="AM44" s="8">
        <f t="shared" si="24"/>
        <v>0</v>
      </c>
      <c r="AN44" s="8">
        <f t="shared" si="25"/>
        <v>693.58</v>
      </c>
    </row>
    <row r="45" spans="1:40" ht="48" customHeight="1" x14ac:dyDescent="0.2">
      <c r="A45" s="8" t="str">
        <f>Elettricità!I45</f>
        <v>IT001E04170934</v>
      </c>
      <c r="B45" s="8" t="str">
        <f>Elettricità!A45</f>
        <v>005067307617.PDF</v>
      </c>
      <c r="C45" s="9">
        <f>Elettricità!E45</f>
        <v>45541</v>
      </c>
      <c r="D45" s="9">
        <f>Elettricità!K45</f>
        <v>45505</v>
      </c>
      <c r="E45" s="9">
        <f>Elettricità!L45</f>
        <v>45535</v>
      </c>
      <c r="F45" s="8">
        <f>Elettricità!M45</f>
        <v>2328</v>
      </c>
      <c r="G45" s="8">
        <f>Elettricità!N45</f>
        <v>409</v>
      </c>
      <c r="H45" s="8">
        <f>Elettricità!O45</f>
        <v>748</v>
      </c>
      <c r="I45" s="8">
        <f>Elettricità!P45</f>
        <v>1171</v>
      </c>
      <c r="J45" s="8">
        <f>Elettricità!Q45</f>
        <v>964</v>
      </c>
      <c r="K45" s="8">
        <f>Elettricità!R45</f>
        <v>289</v>
      </c>
      <c r="L45" s="8">
        <f>Elettricità!S45</f>
        <v>313</v>
      </c>
      <c r="M45" s="8">
        <f>Elettricità!T45</f>
        <v>362</v>
      </c>
      <c r="N45" s="8">
        <f>Elettricità!W45</f>
        <v>745.87</v>
      </c>
      <c r="O45" s="8">
        <f>Elettricità!X45</f>
        <v>909.96</v>
      </c>
      <c r="P45" s="8">
        <f>Elettricità!Y45</f>
        <v>0</v>
      </c>
      <c r="Q45" s="8">
        <f>Elettricità!Z45</f>
        <v>373.52</v>
      </c>
      <c r="R45" s="8">
        <f>Elettricità!AA45</f>
        <v>138.22</v>
      </c>
      <c r="S45" s="8">
        <f>Elettricità!AB45</f>
        <v>205.03</v>
      </c>
      <c r="T45" s="8">
        <f>Elettricità!AC45</f>
        <v>0</v>
      </c>
      <c r="U45" s="8">
        <f>Elettricità!AD45</f>
        <v>164.09</v>
      </c>
      <c r="V45" s="8">
        <f t="shared" si="13"/>
        <v>2024</v>
      </c>
      <c r="W45" s="8">
        <f>_xlfn.XLOOKUP(A45,Fabbricati!E:E,Fabbricati!D:D)</f>
        <v>382908180</v>
      </c>
      <c r="X45" s="9">
        <f t="shared" si="14"/>
        <v>45541</v>
      </c>
      <c r="Y45" s="9">
        <f t="shared" si="15"/>
        <v>45505</v>
      </c>
      <c r="Z45" s="9">
        <f t="shared" si="16"/>
        <v>45535</v>
      </c>
      <c r="AA45" s="8">
        <f t="shared" si="17"/>
        <v>31</v>
      </c>
      <c r="AB45" s="8">
        <f t="shared" si="18"/>
        <v>2328</v>
      </c>
      <c r="AC45" s="12" t="s">
        <v>149</v>
      </c>
      <c r="AD45" s="11" t="str">
        <f t="shared" si="19"/>
        <v>409
748
1171</v>
      </c>
      <c r="AE45" s="11" t="str">
        <f t="shared" si="20"/>
        <v>289
313
362</v>
      </c>
      <c r="AF45" s="11"/>
      <c r="AG45" s="11"/>
      <c r="AH45" s="8">
        <f t="shared" si="21"/>
        <v>343.25</v>
      </c>
      <c r="AI45" s="8">
        <f t="shared" si="22"/>
        <v>373.52</v>
      </c>
      <c r="AJ45" s="8">
        <f t="shared" si="23"/>
        <v>164.09</v>
      </c>
      <c r="AK45" s="8"/>
      <c r="AL45" s="8"/>
      <c r="AM45" s="8">
        <f t="shared" si="24"/>
        <v>0</v>
      </c>
      <c r="AN45" s="8">
        <f t="shared" si="25"/>
        <v>909.96</v>
      </c>
    </row>
    <row r="46" spans="1:40" ht="48" customHeight="1" x14ac:dyDescent="0.2">
      <c r="A46" s="8" t="str">
        <f>Elettricità!I46</f>
        <v>IT001E04170934</v>
      </c>
      <c r="B46" s="8" t="str">
        <f>Elettricità!A46</f>
        <v>005076347796.PDF</v>
      </c>
      <c r="C46" s="9">
        <f>Elettricità!E46</f>
        <v>45571</v>
      </c>
      <c r="D46" s="9">
        <f>Elettricità!K46</f>
        <v>45536</v>
      </c>
      <c r="E46" s="9">
        <f>Elettricità!L46</f>
        <v>45565</v>
      </c>
      <c r="F46" s="8">
        <f>Elettricità!M46</f>
        <v>2317</v>
      </c>
      <c r="G46" s="8">
        <f>Elettricità!N46</f>
        <v>387</v>
      </c>
      <c r="H46" s="8">
        <f>Elettricità!O46</f>
        <v>1038</v>
      </c>
      <c r="I46" s="8">
        <f>Elettricità!P46</f>
        <v>892</v>
      </c>
      <c r="J46" s="8">
        <f>Elettricità!Q46</f>
        <v>791</v>
      </c>
      <c r="K46" s="8">
        <f>Elettricità!R46</f>
        <v>251</v>
      </c>
      <c r="L46" s="8">
        <f>Elettricità!S46</f>
        <v>329</v>
      </c>
      <c r="M46" s="8">
        <f>Elettricità!T46</f>
        <v>211</v>
      </c>
      <c r="N46" s="8">
        <f>Elettricità!W46</f>
        <v>719.53</v>
      </c>
      <c r="O46" s="8">
        <f>Elettricità!X46</f>
        <v>877.83</v>
      </c>
      <c r="P46" s="8">
        <f>Elettricità!Y46</f>
        <v>0</v>
      </c>
      <c r="Q46" s="8">
        <f>Elettricità!Z46</f>
        <v>343.66</v>
      </c>
      <c r="R46" s="8">
        <f>Elettricità!AA46</f>
        <v>139.84</v>
      </c>
      <c r="S46" s="8">
        <f>Elettricità!AB46</f>
        <v>207.07</v>
      </c>
      <c r="T46" s="8">
        <f>Elettricità!AC46</f>
        <v>0</v>
      </c>
      <c r="U46" s="8">
        <f>Elettricità!AD46</f>
        <v>158.30000000000001</v>
      </c>
      <c r="V46" s="8">
        <f t="shared" si="13"/>
        <v>2024</v>
      </c>
      <c r="W46" s="8">
        <f>_xlfn.XLOOKUP(A46,Fabbricati!E:E,Fabbricati!D:D)</f>
        <v>382908180</v>
      </c>
      <c r="X46" s="9">
        <f t="shared" si="14"/>
        <v>45571</v>
      </c>
      <c r="Y46" s="9">
        <f t="shared" si="15"/>
        <v>45536</v>
      </c>
      <c r="Z46" s="9">
        <f t="shared" si="16"/>
        <v>45565</v>
      </c>
      <c r="AA46" s="8">
        <f t="shared" si="17"/>
        <v>30</v>
      </c>
      <c r="AB46" s="8">
        <f t="shared" si="18"/>
        <v>2317</v>
      </c>
      <c r="AC46" s="12" t="s">
        <v>149</v>
      </c>
      <c r="AD46" s="11" t="str">
        <f t="shared" si="19"/>
        <v>387
1038
892</v>
      </c>
      <c r="AE46" s="11" t="str">
        <f t="shared" si="20"/>
        <v>251
329
211</v>
      </c>
      <c r="AF46" s="11"/>
      <c r="AG46" s="11"/>
      <c r="AH46" s="8">
        <f t="shared" si="21"/>
        <v>346.90999999999997</v>
      </c>
      <c r="AI46" s="8">
        <f t="shared" si="22"/>
        <v>343.66</v>
      </c>
      <c r="AJ46" s="8">
        <f t="shared" si="23"/>
        <v>158.30000000000001</v>
      </c>
      <c r="AK46" s="8"/>
      <c r="AL46" s="8"/>
      <c r="AM46" s="8">
        <f t="shared" si="24"/>
        <v>0</v>
      </c>
      <c r="AN46" s="8">
        <f t="shared" si="25"/>
        <v>877.83</v>
      </c>
    </row>
    <row r="47" spans="1:40" ht="48" customHeight="1" x14ac:dyDescent="0.2">
      <c r="A47" s="8" t="str">
        <f>Elettricità!I47</f>
        <v>IT001E04170934</v>
      </c>
      <c r="B47" s="8" t="str">
        <f>Elettricità!A47</f>
        <v>005085485053.PDF</v>
      </c>
      <c r="C47" s="9">
        <f>Elettricità!E47</f>
        <v>45604</v>
      </c>
      <c r="D47" s="9">
        <f>Elettricità!K47</f>
        <v>45566</v>
      </c>
      <c r="E47" s="9">
        <f>Elettricità!L47</f>
        <v>45596</v>
      </c>
      <c r="F47" s="8">
        <f>Elettricità!M47</f>
        <v>2769</v>
      </c>
      <c r="G47" s="8">
        <f>Elettricità!N47</f>
        <v>767</v>
      </c>
      <c r="H47" s="8">
        <f>Elettricità!O47</f>
        <v>1297</v>
      </c>
      <c r="I47" s="8">
        <f>Elettricità!P47</f>
        <v>705</v>
      </c>
      <c r="J47" s="8">
        <f>Elettricità!Q47</f>
        <v>742</v>
      </c>
      <c r="K47" s="8">
        <f>Elettricità!R47</f>
        <v>326</v>
      </c>
      <c r="L47" s="8">
        <f>Elettricità!S47</f>
        <v>330</v>
      </c>
      <c r="M47" s="8">
        <f>Elettricità!T47</f>
        <v>86</v>
      </c>
      <c r="N47" s="8">
        <f>Elettricità!W47</f>
        <v>823.42</v>
      </c>
      <c r="O47" s="8">
        <f>Elettricità!X47</f>
        <v>1004.57</v>
      </c>
      <c r="P47" s="8">
        <f>Elettricità!Y47</f>
        <v>0</v>
      </c>
      <c r="Q47" s="8">
        <f>Elettricità!Z47</f>
        <v>417.69</v>
      </c>
      <c r="R47" s="8">
        <f>Elettricità!AA47</f>
        <v>143.72999999999999</v>
      </c>
      <c r="S47" s="8">
        <f>Elettricità!AB47</f>
        <v>227.39</v>
      </c>
      <c r="T47" s="8">
        <f>Elettricità!AC47</f>
        <v>0</v>
      </c>
      <c r="U47" s="8">
        <f>Elettricità!AD47</f>
        <v>181.15</v>
      </c>
      <c r="V47" s="8">
        <f t="shared" si="13"/>
        <v>2024</v>
      </c>
      <c r="W47" s="8">
        <f>_xlfn.XLOOKUP(A47,Fabbricati!E:E,Fabbricati!D:D)</f>
        <v>382908180</v>
      </c>
      <c r="X47" s="9">
        <f t="shared" si="14"/>
        <v>45604</v>
      </c>
      <c r="Y47" s="9">
        <f t="shared" si="15"/>
        <v>45566</v>
      </c>
      <c r="Z47" s="9">
        <f t="shared" si="16"/>
        <v>45596</v>
      </c>
      <c r="AA47" s="8">
        <f t="shared" si="17"/>
        <v>31</v>
      </c>
      <c r="AB47" s="8">
        <f t="shared" si="18"/>
        <v>2769</v>
      </c>
      <c r="AC47" s="12" t="s">
        <v>149</v>
      </c>
      <c r="AD47" s="11" t="str">
        <f t="shared" si="19"/>
        <v>767
1297
705</v>
      </c>
      <c r="AE47" s="11" t="str">
        <f t="shared" si="20"/>
        <v>326
330
86</v>
      </c>
      <c r="AF47" s="11"/>
      <c r="AG47" s="11"/>
      <c r="AH47" s="8">
        <f t="shared" si="21"/>
        <v>371.12</v>
      </c>
      <c r="AI47" s="8">
        <f t="shared" si="22"/>
        <v>417.69</v>
      </c>
      <c r="AJ47" s="8">
        <f t="shared" si="23"/>
        <v>181.15</v>
      </c>
      <c r="AK47" s="8"/>
      <c r="AL47" s="8"/>
      <c r="AM47" s="8">
        <f t="shared" si="24"/>
        <v>0</v>
      </c>
      <c r="AN47" s="8">
        <f t="shared" si="25"/>
        <v>1004.57</v>
      </c>
    </row>
    <row r="48" spans="1:40" ht="48" customHeight="1" x14ac:dyDescent="0.2">
      <c r="A48" s="8" t="str">
        <f>Elettricità!I48</f>
        <v>IT001E04170934</v>
      </c>
      <c r="B48" s="8" t="str">
        <f>Elettricità!A48</f>
        <v>005093369287.PDF</v>
      </c>
      <c r="C48" s="9">
        <f>Elettricità!E48</f>
        <v>45632</v>
      </c>
      <c r="D48" s="9">
        <f>Elettricità!K48</f>
        <v>45597</v>
      </c>
      <c r="E48" s="9">
        <f>Elettricità!L48</f>
        <v>45626</v>
      </c>
      <c r="F48" s="8">
        <f>Elettricità!M48</f>
        <v>4044</v>
      </c>
      <c r="G48" s="8">
        <f>Elettricità!N48</f>
        <v>1625</v>
      </c>
      <c r="H48" s="8">
        <f>Elettricità!O48</f>
        <v>1395</v>
      </c>
      <c r="I48" s="8">
        <f>Elettricità!P48</f>
        <v>1024</v>
      </c>
      <c r="J48" s="8">
        <f>Elettricità!Q48</f>
        <v>1144</v>
      </c>
      <c r="K48" s="8">
        <f>Elettricità!R48</f>
        <v>511</v>
      </c>
      <c r="L48" s="8">
        <f>Elettricità!S48</f>
        <v>365</v>
      </c>
      <c r="M48" s="8">
        <f>Elettricità!T48</f>
        <v>268</v>
      </c>
      <c r="N48" s="8">
        <f>Elettricità!W48</f>
        <v>1180.06</v>
      </c>
      <c r="O48" s="8">
        <f>Elettricità!X48</f>
        <v>1439.67</v>
      </c>
      <c r="P48" s="8">
        <f>Elettricità!Y48</f>
        <v>0</v>
      </c>
      <c r="Q48" s="8">
        <f>Elettricità!Z48</f>
        <v>677.34</v>
      </c>
      <c r="R48" s="8">
        <f>Elettricità!AA48</f>
        <v>161.85</v>
      </c>
      <c r="S48" s="8">
        <f>Elettricità!AB48</f>
        <v>290.32</v>
      </c>
      <c r="T48" s="8">
        <f>Elettricità!AC48</f>
        <v>0</v>
      </c>
      <c r="U48" s="8">
        <f>Elettricità!AD48</f>
        <v>259.61</v>
      </c>
      <c r="V48" s="8">
        <f t="shared" si="13"/>
        <v>2024</v>
      </c>
      <c r="W48" s="8">
        <f>_xlfn.XLOOKUP(A48,Fabbricati!E:E,Fabbricati!D:D)</f>
        <v>382908180</v>
      </c>
      <c r="X48" s="9">
        <f t="shared" si="14"/>
        <v>45632</v>
      </c>
      <c r="Y48" s="9">
        <f t="shared" si="15"/>
        <v>45597</v>
      </c>
      <c r="Z48" s="9">
        <f t="shared" si="16"/>
        <v>45626</v>
      </c>
      <c r="AA48" s="8">
        <f t="shared" si="17"/>
        <v>30</v>
      </c>
      <c r="AB48" s="8">
        <f t="shared" si="18"/>
        <v>4044</v>
      </c>
      <c r="AC48" s="12" t="s">
        <v>149</v>
      </c>
      <c r="AD48" s="11" t="str">
        <f t="shared" si="19"/>
        <v>1625
1395
1024</v>
      </c>
      <c r="AE48" s="11" t="str">
        <f t="shared" si="20"/>
        <v>511
365
268</v>
      </c>
      <c r="AF48" s="11"/>
      <c r="AG48" s="11"/>
      <c r="AH48" s="8">
        <f t="shared" si="21"/>
        <v>452.16999999999996</v>
      </c>
      <c r="AI48" s="8">
        <f t="shared" si="22"/>
        <v>677.34</v>
      </c>
      <c r="AJ48" s="8">
        <f t="shared" si="23"/>
        <v>259.61</v>
      </c>
      <c r="AK48" s="8"/>
      <c r="AL48" s="8"/>
      <c r="AM48" s="8">
        <f t="shared" si="24"/>
        <v>0</v>
      </c>
      <c r="AN48" s="8">
        <f t="shared" si="25"/>
        <v>1439.67</v>
      </c>
    </row>
    <row r="49" spans="1:40" ht="48" customHeight="1" x14ac:dyDescent="0.2">
      <c r="A49" s="8" t="str">
        <f>Elettricità!I49</f>
        <v>IT001E04170934</v>
      </c>
      <c r="B49" s="8" t="str">
        <f>Elettricità!A49</f>
        <v>005200218700.PDF</v>
      </c>
      <c r="C49" s="9">
        <f>Elettricità!E49</f>
        <v>45665</v>
      </c>
      <c r="D49" s="9">
        <f>Elettricità!K49</f>
        <v>45627</v>
      </c>
      <c r="E49" s="9">
        <f>Elettricità!L49</f>
        <v>45657</v>
      </c>
      <c r="F49" s="8">
        <f>Elettricità!M49</f>
        <v>4449</v>
      </c>
      <c r="G49" s="8">
        <f>Elettricità!N49</f>
        <v>1700</v>
      </c>
      <c r="H49" s="8">
        <f>Elettricità!O49</f>
        <v>1227</v>
      </c>
      <c r="I49" s="8">
        <f>Elettricità!P49</f>
        <v>1522</v>
      </c>
      <c r="J49" s="8">
        <f>Elettricità!Q49</f>
        <v>882</v>
      </c>
      <c r="K49" s="8">
        <f>Elettricità!R49</f>
        <v>392</v>
      </c>
      <c r="L49" s="8">
        <f>Elettricità!S49</f>
        <v>258</v>
      </c>
      <c r="M49" s="8">
        <f>Elettricità!T49</f>
        <v>232</v>
      </c>
      <c r="N49" s="8">
        <f>Elettricità!W49</f>
        <v>1334.78</v>
      </c>
      <c r="O49" s="8">
        <f>Elettricità!X49</f>
        <v>1628.43</v>
      </c>
      <c r="P49" s="8">
        <f>Elettricità!Y49</f>
        <v>0</v>
      </c>
      <c r="Q49" s="8">
        <f>Elettricità!Z49</f>
        <v>791.64</v>
      </c>
      <c r="R49" s="8">
        <f>Elettricità!AA49</f>
        <v>172.8</v>
      </c>
      <c r="S49" s="8">
        <f>Elettricità!AB49</f>
        <v>314.73</v>
      </c>
      <c r="T49" s="8">
        <f>Elettricità!AC49</f>
        <v>0</v>
      </c>
      <c r="U49" s="8">
        <f>Elettricità!AD49</f>
        <v>293.64999999999998</v>
      </c>
      <c r="V49" s="8">
        <f t="shared" si="13"/>
        <v>2024</v>
      </c>
      <c r="W49" s="8">
        <f>_xlfn.XLOOKUP(A49,Fabbricati!E:E,Fabbricati!D:D)</f>
        <v>382908180</v>
      </c>
      <c r="X49" s="9">
        <f t="shared" si="14"/>
        <v>45665</v>
      </c>
      <c r="Y49" s="9">
        <f t="shared" si="15"/>
        <v>45627</v>
      </c>
      <c r="Z49" s="9">
        <f t="shared" si="16"/>
        <v>45657</v>
      </c>
      <c r="AA49" s="8">
        <f t="shared" si="17"/>
        <v>31</v>
      </c>
      <c r="AB49" s="8">
        <f t="shared" si="18"/>
        <v>4449</v>
      </c>
      <c r="AC49" s="12" t="s">
        <v>149</v>
      </c>
      <c r="AD49" s="11" t="str">
        <f t="shared" si="19"/>
        <v>1700
1227
1522</v>
      </c>
      <c r="AE49" s="11" t="str">
        <f t="shared" si="20"/>
        <v>392
258
232</v>
      </c>
      <c r="AF49" s="11"/>
      <c r="AG49" s="11"/>
      <c r="AH49" s="8">
        <f t="shared" si="21"/>
        <v>487.53000000000003</v>
      </c>
      <c r="AI49" s="8">
        <f t="shared" si="22"/>
        <v>791.64</v>
      </c>
      <c r="AJ49" s="8">
        <f t="shared" si="23"/>
        <v>293.64999999999998</v>
      </c>
      <c r="AK49" s="8"/>
      <c r="AL49" s="8"/>
      <c r="AM49" s="8">
        <f t="shared" si="24"/>
        <v>0</v>
      </c>
      <c r="AN49" s="8">
        <f t="shared" si="25"/>
        <v>1628.43</v>
      </c>
    </row>
    <row r="50" spans="1:40" ht="48" customHeight="1" x14ac:dyDescent="0.2">
      <c r="A50" s="8" t="str">
        <f>Elettricità!I50</f>
        <v>IT001E04170940</v>
      </c>
      <c r="B50" s="8" t="str">
        <f>Elettricità!A50</f>
        <v>824500037183_2024_d.pdf</v>
      </c>
      <c r="C50" s="9">
        <f>Elettricità!E50</f>
        <v>45349</v>
      </c>
      <c r="D50" s="9">
        <f>Elettricità!K50</f>
        <v>45292</v>
      </c>
      <c r="E50" s="9">
        <f>Elettricità!L50</f>
        <v>45322</v>
      </c>
      <c r="F50" s="8">
        <f>Elettricità!M50</f>
        <v>197</v>
      </c>
      <c r="G50" s="8">
        <f>Elettricità!N50</f>
        <v>51</v>
      </c>
      <c r="H50" s="8">
        <f>Elettricità!O50</f>
        <v>43</v>
      </c>
      <c r="I50" s="8">
        <f>Elettricità!P50</f>
        <v>103</v>
      </c>
      <c r="J50" s="8">
        <f>Elettricità!Q50</f>
        <v>209</v>
      </c>
      <c r="K50" s="8">
        <f>Elettricità!R50</f>
        <v>25</v>
      </c>
      <c r="L50" s="8">
        <f>Elettricità!S50</f>
        <v>55</v>
      </c>
      <c r="M50" s="8">
        <f>Elettricità!T50</f>
        <v>129</v>
      </c>
      <c r="N50" s="8">
        <f>Elettricità!W50</f>
        <v>61.65</v>
      </c>
      <c r="O50" s="8">
        <f>Elettricità!X50</f>
        <v>75.209999999999994</v>
      </c>
      <c r="P50" s="8">
        <f>Elettricità!Y50</f>
        <v>0</v>
      </c>
      <c r="Q50" s="8">
        <f>Elettricità!Z50</f>
        <v>30.39</v>
      </c>
      <c r="R50" s="8">
        <f>Elettricità!AA50</f>
        <v>12.26</v>
      </c>
      <c r="S50" s="8">
        <f>Elettricità!AB50</f>
        <v>15.55</v>
      </c>
      <c r="T50" s="8">
        <f>Elettricità!AC50</f>
        <v>0.99</v>
      </c>
      <c r="U50" s="8">
        <f>Elettricità!AD50</f>
        <v>2.46</v>
      </c>
      <c r="V50" s="8">
        <f t="shared" si="13"/>
        <v>2024</v>
      </c>
      <c r="W50" s="8">
        <f>_xlfn.XLOOKUP(A50,Fabbricati!E:E,Fabbricati!D:D)</f>
        <v>343500343</v>
      </c>
      <c r="X50" s="9">
        <f t="shared" si="14"/>
        <v>45349</v>
      </c>
      <c r="Y50" s="9">
        <f t="shared" si="15"/>
        <v>45292</v>
      </c>
      <c r="Z50" s="9">
        <f t="shared" si="16"/>
        <v>45322</v>
      </c>
      <c r="AA50" s="8">
        <f t="shared" si="17"/>
        <v>31</v>
      </c>
      <c r="AB50" s="8">
        <f t="shared" si="18"/>
        <v>197</v>
      </c>
      <c r="AC50" s="12" t="s">
        <v>149</v>
      </c>
      <c r="AD50" s="11" t="str">
        <f t="shared" si="19"/>
        <v>51
43
103</v>
      </c>
      <c r="AE50" s="11" t="str">
        <f t="shared" si="20"/>
        <v>25
55
129</v>
      </c>
      <c r="AF50" s="11"/>
      <c r="AG50" s="11"/>
      <c r="AH50" s="8">
        <f t="shared" si="21"/>
        <v>27.810000000000002</v>
      </c>
      <c r="AI50" s="8">
        <f t="shared" si="22"/>
        <v>30.39</v>
      </c>
      <c r="AJ50" s="8">
        <f t="shared" si="23"/>
        <v>2.46</v>
      </c>
      <c r="AK50" s="8"/>
      <c r="AL50" s="8"/>
      <c r="AM50" s="8">
        <f t="shared" si="24"/>
        <v>0.99</v>
      </c>
      <c r="AN50" s="8">
        <f t="shared" si="25"/>
        <v>75.209999999999994</v>
      </c>
    </row>
    <row r="51" spans="1:40" ht="48" customHeight="1" x14ac:dyDescent="0.2">
      <c r="A51" s="8" t="str">
        <f>Elettricità!I51</f>
        <v>IT001E04170940</v>
      </c>
      <c r="B51" s="8" t="str">
        <f>Elettricità!A51</f>
        <v>005018359680.pdf</v>
      </c>
      <c r="C51" s="9">
        <f>Elettricità!E51</f>
        <v>45358</v>
      </c>
      <c r="D51" s="9">
        <f>Elettricità!K51</f>
        <v>45323</v>
      </c>
      <c r="E51" s="9">
        <f>Elettricità!L51</f>
        <v>45351</v>
      </c>
      <c r="F51" s="8">
        <f>Elettricità!M51</f>
        <v>190</v>
      </c>
      <c r="G51" s="8">
        <f>Elettricità!N51</f>
        <v>67</v>
      </c>
      <c r="H51" s="8">
        <f>Elettricità!O51</f>
        <v>38</v>
      </c>
      <c r="I51" s="8">
        <f>Elettricità!P51</f>
        <v>85</v>
      </c>
      <c r="J51" s="8">
        <f>Elettricità!Q51</f>
        <v>185</v>
      </c>
      <c r="K51" s="8">
        <f>Elettricità!R51</f>
        <v>18</v>
      </c>
      <c r="L51" s="8">
        <f>Elettricità!S51</f>
        <v>51</v>
      </c>
      <c r="M51" s="8">
        <f>Elettricità!T51</f>
        <v>116</v>
      </c>
      <c r="N51" s="8">
        <f>Elettricità!W51</f>
        <v>52.43</v>
      </c>
      <c r="O51" s="8">
        <f>Elettricità!X51</f>
        <v>63.96</v>
      </c>
      <c r="P51" s="8">
        <f>Elettricità!Y51</f>
        <v>0</v>
      </c>
      <c r="Q51" s="8">
        <f>Elettricità!Z51</f>
        <v>22.61</v>
      </c>
      <c r="R51" s="8">
        <f>Elettricità!AA51</f>
        <v>12.17</v>
      </c>
      <c r="S51" s="8">
        <f>Elettricità!AB51</f>
        <v>15.27</v>
      </c>
      <c r="T51" s="8">
        <f>Elettricità!AC51</f>
        <v>0</v>
      </c>
      <c r="U51" s="8">
        <f>Elettricità!AD51</f>
        <v>11.53</v>
      </c>
      <c r="V51" s="8">
        <f t="shared" si="13"/>
        <v>2024</v>
      </c>
      <c r="W51" s="8">
        <f>_xlfn.XLOOKUP(A51,Fabbricati!E:E,Fabbricati!D:D)</f>
        <v>343500343</v>
      </c>
      <c r="X51" s="9">
        <f t="shared" si="14"/>
        <v>45358</v>
      </c>
      <c r="Y51" s="9">
        <f t="shared" si="15"/>
        <v>45323</v>
      </c>
      <c r="Z51" s="9">
        <f t="shared" si="16"/>
        <v>45351</v>
      </c>
      <c r="AA51" s="8">
        <f t="shared" si="17"/>
        <v>29</v>
      </c>
      <c r="AB51" s="8">
        <f t="shared" si="18"/>
        <v>190</v>
      </c>
      <c r="AC51" s="12" t="s">
        <v>149</v>
      </c>
      <c r="AD51" s="11" t="str">
        <f t="shared" si="19"/>
        <v>67
38
85</v>
      </c>
      <c r="AE51" s="11" t="str">
        <f t="shared" si="20"/>
        <v>18
51
116</v>
      </c>
      <c r="AF51" s="11"/>
      <c r="AG51" s="11"/>
      <c r="AH51" s="8">
        <f t="shared" si="21"/>
        <v>27.439999999999998</v>
      </c>
      <c r="AI51" s="8">
        <f t="shared" si="22"/>
        <v>22.61</v>
      </c>
      <c r="AJ51" s="8">
        <f t="shared" si="23"/>
        <v>11.53</v>
      </c>
      <c r="AK51" s="8"/>
      <c r="AL51" s="8"/>
      <c r="AM51" s="8">
        <f t="shared" si="24"/>
        <v>0</v>
      </c>
      <c r="AN51" s="8">
        <f t="shared" si="25"/>
        <v>63.96</v>
      </c>
    </row>
    <row r="52" spans="1:40" ht="48" customHeight="1" x14ac:dyDescent="0.2">
      <c r="A52" s="8" t="str">
        <f>Elettricità!I52</f>
        <v>IT001E04170940</v>
      </c>
      <c r="B52" s="8" t="str">
        <f>Elettricità!A52</f>
        <v>005032977774(1).pdf</v>
      </c>
      <c r="C52" s="9">
        <f>Elettricità!E52</f>
        <v>45395</v>
      </c>
      <c r="D52" s="9">
        <f>Elettricità!K52</f>
        <v>45352</v>
      </c>
      <c r="E52" s="9">
        <f>Elettricità!L52</f>
        <v>45382</v>
      </c>
      <c r="F52" s="8">
        <f>Elettricità!M52</f>
        <v>244</v>
      </c>
      <c r="G52" s="8">
        <f>Elettricità!N52</f>
        <v>108</v>
      </c>
      <c r="H52" s="8">
        <f>Elettricità!O52</f>
        <v>44</v>
      </c>
      <c r="I52" s="8">
        <f>Elettricità!P52</f>
        <v>92</v>
      </c>
      <c r="J52" s="8">
        <f>Elettricità!Q52</f>
        <v>178</v>
      </c>
      <c r="K52" s="8">
        <f>Elettricità!R52</f>
        <v>14</v>
      </c>
      <c r="L52" s="8">
        <f>Elettricità!S52</f>
        <v>50</v>
      </c>
      <c r="M52" s="8">
        <f>Elettricità!T52</f>
        <v>114</v>
      </c>
      <c r="N52" s="8">
        <f>Elettricità!W52</f>
        <v>61.87</v>
      </c>
      <c r="O52" s="8">
        <f>Elettricità!X52</f>
        <v>75.48</v>
      </c>
      <c r="P52" s="8">
        <f>Elettricità!Y52</f>
        <v>0</v>
      </c>
      <c r="Q52" s="8">
        <f>Elettricità!Z52</f>
        <v>28.45</v>
      </c>
      <c r="R52" s="8">
        <f>Elettricità!AA52</f>
        <v>12.87</v>
      </c>
      <c r="S52" s="8">
        <f>Elettricità!AB52</f>
        <v>17.5</v>
      </c>
      <c r="T52" s="8">
        <f>Elettricità!AC52</f>
        <v>0</v>
      </c>
      <c r="U52" s="8">
        <f>Elettricità!AD52</f>
        <v>13.61</v>
      </c>
      <c r="V52" s="8">
        <f t="shared" si="13"/>
        <v>2024</v>
      </c>
      <c r="W52" s="8">
        <f>_xlfn.XLOOKUP(A52,Fabbricati!E:E,Fabbricati!D:D)</f>
        <v>343500343</v>
      </c>
      <c r="X52" s="9">
        <f t="shared" si="14"/>
        <v>45395</v>
      </c>
      <c r="Y52" s="9">
        <f t="shared" si="15"/>
        <v>45352</v>
      </c>
      <c r="Z52" s="9">
        <f t="shared" si="16"/>
        <v>45382</v>
      </c>
      <c r="AA52" s="8">
        <f t="shared" si="17"/>
        <v>31</v>
      </c>
      <c r="AB52" s="8">
        <f t="shared" si="18"/>
        <v>244</v>
      </c>
      <c r="AC52" s="12" t="s">
        <v>149</v>
      </c>
      <c r="AD52" s="11" t="str">
        <f t="shared" si="19"/>
        <v>108
44
92</v>
      </c>
      <c r="AE52" s="11" t="str">
        <f t="shared" si="20"/>
        <v>14
50
114</v>
      </c>
      <c r="AF52" s="11"/>
      <c r="AG52" s="11"/>
      <c r="AH52" s="8">
        <f t="shared" si="21"/>
        <v>30.369999999999997</v>
      </c>
      <c r="AI52" s="8">
        <f t="shared" si="22"/>
        <v>28.45</v>
      </c>
      <c r="AJ52" s="8">
        <f t="shared" si="23"/>
        <v>13.61</v>
      </c>
      <c r="AK52" s="8"/>
      <c r="AL52" s="8"/>
      <c r="AM52" s="8">
        <f t="shared" si="24"/>
        <v>0</v>
      </c>
      <c r="AN52" s="8">
        <f t="shared" si="25"/>
        <v>75.48</v>
      </c>
    </row>
    <row r="53" spans="1:40" ht="48" customHeight="1" x14ac:dyDescent="0.2">
      <c r="A53" s="8" t="str">
        <f>Elettricità!I53</f>
        <v>IT001E04170940</v>
      </c>
      <c r="B53" s="8" t="str">
        <f>Elettricità!A53</f>
        <v>005034930235.PDF</v>
      </c>
      <c r="C53" s="9">
        <f>Elettricità!E53</f>
        <v>45419</v>
      </c>
      <c r="D53" s="9">
        <f>Elettricità!K53</f>
        <v>45383</v>
      </c>
      <c r="E53" s="9">
        <f>Elettricità!L53</f>
        <v>45391</v>
      </c>
      <c r="F53" s="8">
        <f>Elettricità!M53</f>
        <v>212</v>
      </c>
      <c r="G53" s="8">
        <f>Elettricità!N53</f>
        <v>90</v>
      </c>
      <c r="H53" s="8">
        <f>Elettricità!O53</f>
        <v>32</v>
      </c>
      <c r="I53" s="8">
        <f>Elettricità!P53</f>
        <v>90</v>
      </c>
      <c r="J53" s="8">
        <f>Elettricità!Q53</f>
        <v>134</v>
      </c>
      <c r="K53" s="8">
        <f>Elettricità!R53</f>
        <v>2</v>
      </c>
      <c r="L53" s="8">
        <f>Elettricità!S53</f>
        <v>33</v>
      </c>
      <c r="M53" s="8">
        <f>Elettricità!T53</f>
        <v>99</v>
      </c>
      <c r="N53" s="8">
        <f>Elettricità!W53</f>
        <v>57.73</v>
      </c>
      <c r="O53" s="8">
        <f>Elettricità!X53</f>
        <v>70.430000000000007</v>
      </c>
      <c r="P53" s="8">
        <f>Elettricità!Y53</f>
        <v>0</v>
      </c>
      <c r="Q53" s="8">
        <f>Elettricità!Z53</f>
        <v>23.76</v>
      </c>
      <c r="R53" s="8">
        <f>Elettricità!AA53</f>
        <v>12.47</v>
      </c>
      <c r="S53" s="8">
        <f>Elettricità!AB53</f>
        <v>18.850000000000001</v>
      </c>
      <c r="T53" s="8">
        <f>Elettricità!AC53</f>
        <v>0</v>
      </c>
      <c r="U53" s="8">
        <f>Elettricità!AD53</f>
        <v>12.7</v>
      </c>
      <c r="V53" s="8">
        <f t="shared" si="13"/>
        <v>2024</v>
      </c>
      <c r="W53" s="8">
        <f>_xlfn.XLOOKUP(A53,Fabbricati!E:E,Fabbricati!D:D)</f>
        <v>343500343</v>
      </c>
      <c r="X53" s="9">
        <f t="shared" si="14"/>
        <v>45419</v>
      </c>
      <c r="Y53" s="9">
        <f t="shared" si="15"/>
        <v>45383</v>
      </c>
      <c r="Z53" s="9">
        <f t="shared" si="16"/>
        <v>45391</v>
      </c>
      <c r="AA53" s="8">
        <f t="shared" si="17"/>
        <v>9</v>
      </c>
      <c r="AB53" s="8">
        <f t="shared" si="18"/>
        <v>212</v>
      </c>
      <c r="AC53" s="12" t="s">
        <v>149</v>
      </c>
      <c r="AD53" s="11" t="str">
        <f t="shared" si="19"/>
        <v>90
32
90</v>
      </c>
      <c r="AE53" s="11" t="str">
        <f t="shared" si="20"/>
        <v>2
33
99</v>
      </c>
      <c r="AF53" s="11"/>
      <c r="AG53" s="11"/>
      <c r="AH53" s="8">
        <f t="shared" si="21"/>
        <v>31.32</v>
      </c>
      <c r="AI53" s="8">
        <f t="shared" si="22"/>
        <v>23.76</v>
      </c>
      <c r="AJ53" s="8">
        <f t="shared" si="23"/>
        <v>12.7</v>
      </c>
      <c r="AK53" s="8"/>
      <c r="AL53" s="8"/>
      <c r="AM53" s="8">
        <f t="shared" si="24"/>
        <v>0</v>
      </c>
      <c r="AN53" s="8">
        <f t="shared" si="25"/>
        <v>70.430000000000007</v>
      </c>
    </row>
    <row r="54" spans="1:40" ht="48" customHeight="1" x14ac:dyDescent="0.2">
      <c r="A54" s="8" t="str">
        <f>Elettricità!I54</f>
        <v>IT001E04170940</v>
      </c>
      <c r="B54" s="8" t="str">
        <f>Elettricità!A54</f>
        <v>005043663099.PDF</v>
      </c>
      <c r="C54" s="9">
        <f>Elettricità!E54</f>
        <v>45449</v>
      </c>
      <c r="D54" s="9">
        <f>Elettricità!K54</f>
        <v>45413</v>
      </c>
      <c r="E54" s="9">
        <f>Elettricità!L54</f>
        <v>45443</v>
      </c>
      <c r="F54" s="8">
        <f>Elettricità!M54</f>
        <v>140</v>
      </c>
      <c r="G54" s="8">
        <f>Elettricità!N54</f>
        <v>53</v>
      </c>
      <c r="H54" s="8">
        <f>Elettricità!O54</f>
        <v>29</v>
      </c>
      <c r="I54" s="8">
        <f>Elettricità!P54</f>
        <v>58</v>
      </c>
      <c r="J54" s="8">
        <f>Elettricità!Q54</f>
        <v>39</v>
      </c>
      <c r="K54" s="8">
        <f>Elettricità!R54</f>
        <v>2</v>
      </c>
      <c r="L54" s="8">
        <f>Elettricità!S54</f>
        <v>17</v>
      </c>
      <c r="M54" s="8">
        <f>Elettricità!T54</f>
        <v>20</v>
      </c>
      <c r="N54" s="8">
        <f>Elettricità!W54</f>
        <v>45.54</v>
      </c>
      <c r="O54" s="8">
        <f>Elettricità!X54</f>
        <v>55.56</v>
      </c>
      <c r="P54" s="8">
        <f>Elettricità!Y54</f>
        <v>0</v>
      </c>
      <c r="Q54" s="8">
        <f>Elettricità!Z54</f>
        <v>16.899999999999999</v>
      </c>
      <c r="R54" s="8">
        <f>Elettricità!AA54</f>
        <v>11.53</v>
      </c>
      <c r="S54" s="8">
        <f>Elettricità!AB54</f>
        <v>15.36</v>
      </c>
      <c r="T54" s="8">
        <f>Elettricità!AC54</f>
        <v>0</v>
      </c>
      <c r="U54" s="8">
        <f>Elettricità!AD54</f>
        <v>10.02</v>
      </c>
      <c r="V54" s="8">
        <f t="shared" si="13"/>
        <v>2024</v>
      </c>
      <c r="W54" s="8">
        <f>_xlfn.XLOOKUP(A54,Fabbricati!E:E,Fabbricati!D:D)</f>
        <v>343500343</v>
      </c>
      <c r="X54" s="9">
        <f t="shared" si="14"/>
        <v>45449</v>
      </c>
      <c r="Y54" s="9">
        <f t="shared" si="15"/>
        <v>45413</v>
      </c>
      <c r="Z54" s="9">
        <f t="shared" si="16"/>
        <v>45443</v>
      </c>
      <c r="AA54" s="8">
        <f t="shared" si="17"/>
        <v>31</v>
      </c>
      <c r="AB54" s="8">
        <f t="shared" si="18"/>
        <v>140</v>
      </c>
      <c r="AC54" s="12" t="s">
        <v>149</v>
      </c>
      <c r="AD54" s="11" t="str">
        <f t="shared" si="19"/>
        <v>53
29
58</v>
      </c>
      <c r="AE54" s="11" t="str">
        <f t="shared" si="20"/>
        <v>2
17
20</v>
      </c>
      <c r="AF54" s="11"/>
      <c r="AG54" s="11"/>
      <c r="AH54" s="8">
        <f t="shared" si="21"/>
        <v>26.89</v>
      </c>
      <c r="AI54" s="8">
        <f t="shared" si="22"/>
        <v>16.899999999999999</v>
      </c>
      <c r="AJ54" s="8">
        <f t="shared" si="23"/>
        <v>10.02</v>
      </c>
      <c r="AK54" s="8"/>
      <c r="AL54" s="8"/>
      <c r="AM54" s="8">
        <f t="shared" si="24"/>
        <v>0</v>
      </c>
      <c r="AN54" s="8">
        <f t="shared" si="25"/>
        <v>55.56</v>
      </c>
    </row>
    <row r="55" spans="1:40" ht="48" customHeight="1" x14ac:dyDescent="0.2">
      <c r="A55" s="8" t="str">
        <f>Elettricità!I55</f>
        <v>IT001E04170940</v>
      </c>
      <c r="B55" s="8" t="str">
        <f>Elettricità!A55</f>
        <v>005051431112.PDF</v>
      </c>
      <c r="C55" s="9">
        <f>Elettricità!E55</f>
        <v>45478</v>
      </c>
      <c r="D55" s="9">
        <f>Elettricità!K55</f>
        <v>45444</v>
      </c>
      <c r="E55" s="9">
        <f>Elettricità!L55</f>
        <v>45473</v>
      </c>
      <c r="F55" s="8">
        <f>Elettricità!M55</f>
        <v>186</v>
      </c>
      <c r="G55" s="8">
        <f>Elettricità!N55</f>
        <v>37</v>
      </c>
      <c r="H55" s="8">
        <f>Elettricità!O55</f>
        <v>51</v>
      </c>
      <c r="I55" s="8">
        <f>Elettricità!P55</f>
        <v>98</v>
      </c>
      <c r="J55" s="8">
        <f>Elettricità!Q55</f>
        <v>195</v>
      </c>
      <c r="K55" s="8">
        <f>Elettricità!R55</f>
        <v>36</v>
      </c>
      <c r="L55" s="8">
        <f>Elettricità!S55</f>
        <v>58</v>
      </c>
      <c r="M55" s="8">
        <f>Elettricità!T55</f>
        <v>101</v>
      </c>
      <c r="N55" s="8">
        <f>Elettricità!W55</f>
        <v>56.81</v>
      </c>
      <c r="O55" s="8">
        <f>Elettricità!X55</f>
        <v>69.31</v>
      </c>
      <c r="P55" s="8">
        <f>Elettricità!Y55</f>
        <v>0</v>
      </c>
      <c r="Q55" s="8">
        <f>Elettricità!Z55</f>
        <v>24.78</v>
      </c>
      <c r="R55" s="8">
        <f>Elettricità!AA55</f>
        <v>12.12</v>
      </c>
      <c r="S55" s="8">
        <f>Elettricità!AB55</f>
        <v>17.579999999999998</v>
      </c>
      <c r="T55" s="8">
        <f>Elettricità!AC55</f>
        <v>0</v>
      </c>
      <c r="U55" s="8">
        <f>Elettricità!AD55</f>
        <v>12.5</v>
      </c>
      <c r="V55" s="8">
        <f t="shared" si="13"/>
        <v>2024</v>
      </c>
      <c r="W55" s="8">
        <f>_xlfn.XLOOKUP(A55,Fabbricati!E:E,Fabbricati!D:D)</f>
        <v>343500343</v>
      </c>
      <c r="X55" s="9">
        <f t="shared" si="14"/>
        <v>45478</v>
      </c>
      <c r="Y55" s="9">
        <f t="shared" si="15"/>
        <v>45444</v>
      </c>
      <c r="Z55" s="9">
        <f t="shared" si="16"/>
        <v>45473</v>
      </c>
      <c r="AA55" s="8">
        <f t="shared" si="17"/>
        <v>30</v>
      </c>
      <c r="AB55" s="8">
        <f t="shared" si="18"/>
        <v>186</v>
      </c>
      <c r="AC55" s="12" t="s">
        <v>149</v>
      </c>
      <c r="AD55" s="11" t="str">
        <f t="shared" si="19"/>
        <v>37
51
98</v>
      </c>
      <c r="AE55" s="11" t="str">
        <f t="shared" si="20"/>
        <v>36
58
101</v>
      </c>
      <c r="AF55" s="11"/>
      <c r="AG55" s="11"/>
      <c r="AH55" s="8">
        <f t="shared" si="21"/>
        <v>29.699999999999996</v>
      </c>
      <c r="AI55" s="8">
        <f t="shared" si="22"/>
        <v>24.78</v>
      </c>
      <c r="AJ55" s="8">
        <f t="shared" si="23"/>
        <v>12.5</v>
      </c>
      <c r="AK55" s="8"/>
      <c r="AL55" s="8"/>
      <c r="AM55" s="8">
        <f t="shared" si="24"/>
        <v>0</v>
      </c>
      <c r="AN55" s="8">
        <f t="shared" si="25"/>
        <v>69.31</v>
      </c>
    </row>
    <row r="56" spans="1:40" ht="48" customHeight="1" x14ac:dyDescent="0.2">
      <c r="A56" s="8" t="str">
        <f>Elettricità!I56</f>
        <v>IT001E04170940</v>
      </c>
      <c r="B56" s="8" t="str">
        <f>Elettricità!A56</f>
        <v>005059958076.PDF</v>
      </c>
      <c r="C56" s="9">
        <f>Elettricità!E56</f>
        <v>45511</v>
      </c>
      <c r="D56" s="9">
        <f>Elettricità!K56</f>
        <v>45474</v>
      </c>
      <c r="E56" s="9">
        <f>Elettricità!L56</f>
        <v>45504</v>
      </c>
      <c r="F56" s="8">
        <f>Elettricità!M56</f>
        <v>324</v>
      </c>
      <c r="G56" s="8">
        <f>Elettricità!N56</f>
        <v>95</v>
      </c>
      <c r="H56" s="8">
        <f>Elettricità!O56</f>
        <v>79</v>
      </c>
      <c r="I56" s="8">
        <f>Elettricità!P56</f>
        <v>150</v>
      </c>
      <c r="J56" s="8">
        <f>Elettricità!Q56</f>
        <v>344</v>
      </c>
      <c r="K56" s="8">
        <f>Elettricità!R56</f>
        <v>102</v>
      </c>
      <c r="L56" s="8">
        <f>Elettricità!S56</f>
        <v>85</v>
      </c>
      <c r="M56" s="8">
        <f>Elettricità!T56</f>
        <v>157</v>
      </c>
      <c r="N56" s="8">
        <f>Elettricità!W56</f>
        <v>92.04</v>
      </c>
      <c r="O56" s="8">
        <f>Elettricità!X56</f>
        <v>112.29</v>
      </c>
      <c r="P56" s="8">
        <f>Elettricità!Y56</f>
        <v>0</v>
      </c>
      <c r="Q56" s="8">
        <f>Elettricità!Z56</f>
        <v>49.86</v>
      </c>
      <c r="R56" s="8">
        <f>Elettricità!AA56</f>
        <v>13.9</v>
      </c>
      <c r="S56" s="8">
        <f>Elettricità!AB56</f>
        <v>24.23</v>
      </c>
      <c r="T56" s="8">
        <f>Elettricità!AC56</f>
        <v>0</v>
      </c>
      <c r="U56" s="8">
        <f>Elettricità!AD56</f>
        <v>20.25</v>
      </c>
      <c r="V56" s="8">
        <f t="shared" si="13"/>
        <v>2024</v>
      </c>
      <c r="W56" s="8">
        <f>_xlfn.XLOOKUP(A56,Fabbricati!E:E,Fabbricati!D:D)</f>
        <v>343500343</v>
      </c>
      <c r="X56" s="9">
        <f t="shared" si="14"/>
        <v>45511</v>
      </c>
      <c r="Y56" s="9">
        <f t="shared" si="15"/>
        <v>45474</v>
      </c>
      <c r="Z56" s="9">
        <f t="shared" si="16"/>
        <v>45504</v>
      </c>
      <c r="AA56" s="8">
        <f t="shared" si="17"/>
        <v>31</v>
      </c>
      <c r="AB56" s="8">
        <f t="shared" si="18"/>
        <v>324</v>
      </c>
      <c r="AC56" s="12" t="s">
        <v>149</v>
      </c>
      <c r="AD56" s="11" t="str">
        <f t="shared" si="19"/>
        <v>95
79
150</v>
      </c>
      <c r="AE56" s="11" t="str">
        <f t="shared" si="20"/>
        <v>102
85
157</v>
      </c>
      <c r="AF56" s="11"/>
      <c r="AG56" s="11"/>
      <c r="AH56" s="8">
        <f t="shared" si="21"/>
        <v>38.130000000000003</v>
      </c>
      <c r="AI56" s="8">
        <f t="shared" si="22"/>
        <v>49.86</v>
      </c>
      <c r="AJ56" s="8">
        <f t="shared" si="23"/>
        <v>20.25</v>
      </c>
      <c r="AK56" s="8"/>
      <c r="AL56" s="8"/>
      <c r="AM56" s="8">
        <f t="shared" si="24"/>
        <v>0</v>
      </c>
      <c r="AN56" s="8">
        <f t="shared" si="25"/>
        <v>112.29</v>
      </c>
    </row>
    <row r="57" spans="1:40" ht="48" customHeight="1" x14ac:dyDescent="0.2">
      <c r="A57" s="8" t="str">
        <f>Elettricità!I57</f>
        <v>IT001E04170940</v>
      </c>
      <c r="B57" s="8" t="str">
        <f>Elettricità!A57</f>
        <v>005067307610.PDF</v>
      </c>
      <c r="C57" s="9">
        <f>Elettricità!E57</f>
        <v>45541</v>
      </c>
      <c r="D57" s="9">
        <f>Elettricità!K57</f>
        <v>45505</v>
      </c>
      <c r="E57" s="9">
        <f>Elettricità!L57</f>
        <v>45535</v>
      </c>
      <c r="F57" s="8">
        <f>Elettricità!M57</f>
        <v>1187</v>
      </c>
      <c r="G57" s="8">
        <f>Elettricità!N57</f>
        <v>361</v>
      </c>
      <c r="H57" s="8">
        <f>Elettricità!O57</f>
        <v>265</v>
      </c>
      <c r="I57" s="8">
        <f>Elettricità!P57</f>
        <v>561</v>
      </c>
      <c r="J57" s="8">
        <f>Elettricità!Q57</f>
        <v>1076</v>
      </c>
      <c r="K57" s="8">
        <f>Elettricità!R57</f>
        <v>242</v>
      </c>
      <c r="L57" s="8">
        <f>Elettricità!S57</f>
        <v>275</v>
      </c>
      <c r="M57" s="8">
        <f>Elettricità!T57</f>
        <v>559</v>
      </c>
      <c r="N57" s="8">
        <f>Elettricità!W57</f>
        <v>93.3</v>
      </c>
      <c r="O57" s="8">
        <f>Elettricità!X57</f>
        <v>113.83</v>
      </c>
      <c r="P57" s="8">
        <f>Elettricità!Y57</f>
        <v>0</v>
      </c>
      <c r="Q57" s="8">
        <f>Elettricità!Z57</f>
        <v>51.3</v>
      </c>
      <c r="R57" s="8">
        <f>Elettricità!AA57</f>
        <v>13.91</v>
      </c>
      <c r="S57" s="8">
        <f>Elettricità!AB57</f>
        <v>24.28</v>
      </c>
      <c r="T57" s="8">
        <f>Elettricità!AC57</f>
        <v>0</v>
      </c>
      <c r="U57" s="8">
        <f>Elettricità!AD57</f>
        <v>20.53</v>
      </c>
      <c r="V57" s="8">
        <f t="shared" si="13"/>
        <v>2024</v>
      </c>
      <c r="W57" s="8">
        <f>_xlfn.XLOOKUP(A57,Fabbricati!E:E,Fabbricati!D:D)</f>
        <v>343500343</v>
      </c>
      <c r="X57" s="9">
        <f t="shared" si="14"/>
        <v>45541</v>
      </c>
      <c r="Y57" s="9">
        <f t="shared" si="15"/>
        <v>45505</v>
      </c>
      <c r="Z57" s="9">
        <f t="shared" si="16"/>
        <v>45535</v>
      </c>
      <c r="AA57" s="8">
        <f t="shared" si="17"/>
        <v>31</v>
      </c>
      <c r="AB57" s="8">
        <f t="shared" si="18"/>
        <v>1187</v>
      </c>
      <c r="AC57" s="12" t="s">
        <v>149</v>
      </c>
      <c r="AD57" s="11" t="str">
        <f t="shared" si="19"/>
        <v>361
265
561</v>
      </c>
      <c r="AE57" s="11" t="str">
        <f t="shared" si="20"/>
        <v>242
275
559</v>
      </c>
      <c r="AF57" s="11"/>
      <c r="AG57" s="11"/>
      <c r="AH57" s="8">
        <f t="shared" si="21"/>
        <v>38.19</v>
      </c>
      <c r="AI57" s="8">
        <f t="shared" si="22"/>
        <v>51.3</v>
      </c>
      <c r="AJ57" s="8">
        <f t="shared" si="23"/>
        <v>20.53</v>
      </c>
      <c r="AK57" s="8"/>
      <c r="AL57" s="8"/>
      <c r="AM57" s="8">
        <f t="shared" si="24"/>
        <v>0</v>
      </c>
      <c r="AN57" s="8">
        <f t="shared" si="25"/>
        <v>113.83</v>
      </c>
    </row>
    <row r="58" spans="1:40" ht="48" customHeight="1" x14ac:dyDescent="0.2">
      <c r="A58" s="8" t="str">
        <f>Elettricità!I58</f>
        <v>IT001E04170940</v>
      </c>
      <c r="B58" s="8" t="str">
        <f>Elettricità!A58</f>
        <v>005076347790(1).PDF</v>
      </c>
      <c r="C58" s="9">
        <f>Elettricità!E58</f>
        <v>45571</v>
      </c>
      <c r="D58" s="9">
        <f>Elettricità!K58</f>
        <v>45536</v>
      </c>
      <c r="E58" s="9">
        <f>Elettricità!L58</f>
        <v>45565</v>
      </c>
      <c r="F58" s="8">
        <f>Elettricità!M58</f>
        <v>164</v>
      </c>
      <c r="G58" s="8">
        <f>Elettricità!N58</f>
        <v>46</v>
      </c>
      <c r="H58" s="8">
        <f>Elettricità!O58</f>
        <v>38</v>
      </c>
      <c r="I58" s="8">
        <f>Elettricità!P58</f>
        <v>80</v>
      </c>
      <c r="J58" s="8">
        <f>Elettricità!Q58</f>
        <v>74</v>
      </c>
      <c r="K58" s="8">
        <f>Elettricità!R58</f>
        <v>5</v>
      </c>
      <c r="L58" s="8">
        <f>Elettricità!S58</f>
        <v>25</v>
      </c>
      <c r="M58" s="8">
        <f>Elettricità!T58</f>
        <v>44</v>
      </c>
      <c r="N58" s="8">
        <f>Elettricità!W58</f>
        <v>54.12</v>
      </c>
      <c r="O58" s="8">
        <f>Elettricità!X58</f>
        <v>66.03</v>
      </c>
      <c r="P58" s="8">
        <f>Elettricità!Y58</f>
        <v>0</v>
      </c>
      <c r="Q58" s="8">
        <f>Elettricità!Z58</f>
        <v>23.72</v>
      </c>
      <c r="R58" s="8">
        <f>Elettricità!AA58</f>
        <v>11.84</v>
      </c>
      <c r="S58" s="8">
        <f>Elettricità!AB58</f>
        <v>16.510000000000002</v>
      </c>
      <c r="T58" s="8">
        <f>Elettricità!AC58</f>
        <v>0</v>
      </c>
      <c r="U58" s="8">
        <f>Elettricità!AD58</f>
        <v>11.91</v>
      </c>
      <c r="V58" s="8">
        <f t="shared" si="13"/>
        <v>2024</v>
      </c>
      <c r="W58" s="8">
        <f>_xlfn.XLOOKUP(A58,Fabbricati!E:E,Fabbricati!D:D)</f>
        <v>343500343</v>
      </c>
      <c r="X58" s="9">
        <f t="shared" si="14"/>
        <v>45571</v>
      </c>
      <c r="Y58" s="9">
        <f t="shared" si="15"/>
        <v>45536</v>
      </c>
      <c r="Z58" s="9">
        <f t="shared" si="16"/>
        <v>45565</v>
      </c>
      <c r="AA58" s="8">
        <f t="shared" si="17"/>
        <v>30</v>
      </c>
      <c r="AB58" s="8">
        <f t="shared" si="18"/>
        <v>164</v>
      </c>
      <c r="AC58" s="12" t="s">
        <v>149</v>
      </c>
      <c r="AD58" s="11" t="str">
        <f t="shared" si="19"/>
        <v>46
38
80</v>
      </c>
      <c r="AE58" s="11" t="str">
        <f t="shared" si="20"/>
        <v>5
25
44</v>
      </c>
      <c r="AF58" s="11"/>
      <c r="AG58" s="11"/>
      <c r="AH58" s="8">
        <f t="shared" si="21"/>
        <v>28.35</v>
      </c>
      <c r="AI58" s="8">
        <f t="shared" si="22"/>
        <v>23.72</v>
      </c>
      <c r="AJ58" s="8">
        <f t="shared" si="23"/>
        <v>11.91</v>
      </c>
      <c r="AK58" s="8"/>
      <c r="AL58" s="8"/>
      <c r="AM58" s="8">
        <f t="shared" si="24"/>
        <v>0</v>
      </c>
      <c r="AN58" s="8">
        <f t="shared" si="25"/>
        <v>66.03</v>
      </c>
    </row>
    <row r="59" spans="1:40" ht="48" customHeight="1" x14ac:dyDescent="0.2">
      <c r="A59" s="8" t="str">
        <f>Elettricità!I59</f>
        <v>IT001E04170940</v>
      </c>
      <c r="B59" s="8" t="str">
        <f>Elettricità!A59</f>
        <v>005085485046.PDF</v>
      </c>
      <c r="C59" s="9">
        <f>Elettricità!E59</f>
        <v>45604</v>
      </c>
      <c r="D59" s="9">
        <f>Elettricità!K59</f>
        <v>45566</v>
      </c>
      <c r="E59" s="9">
        <f>Elettricità!L59</f>
        <v>45596</v>
      </c>
      <c r="F59" s="8">
        <f>Elettricità!M59</f>
        <v>178</v>
      </c>
      <c r="G59" s="8">
        <f>Elettricità!N59</f>
        <v>70</v>
      </c>
      <c r="H59" s="8">
        <f>Elettricità!O59</f>
        <v>34</v>
      </c>
      <c r="I59" s="8">
        <f>Elettricità!P59</f>
        <v>74</v>
      </c>
      <c r="J59" s="8">
        <f>Elettricità!Q59</f>
        <v>63</v>
      </c>
      <c r="K59" s="8">
        <f>Elettricità!R59</f>
        <v>10</v>
      </c>
      <c r="L59" s="8">
        <f>Elettricità!S59</f>
        <v>18</v>
      </c>
      <c r="M59" s="8">
        <f>Elettricità!T59</f>
        <v>35</v>
      </c>
      <c r="N59" s="8">
        <f>Elettricità!W59</f>
        <v>57.45</v>
      </c>
      <c r="O59" s="8">
        <f>Elettricità!X59</f>
        <v>70.09</v>
      </c>
      <c r="P59" s="8">
        <f>Elettricità!Y59</f>
        <v>0</v>
      </c>
      <c r="Q59" s="8">
        <f>Elettricità!Z59</f>
        <v>26.01</v>
      </c>
      <c r="R59" s="8">
        <f>Elettricità!AA59</f>
        <v>12.02</v>
      </c>
      <c r="S59" s="8">
        <f>Elettricità!AB59</f>
        <v>17.190000000000001</v>
      </c>
      <c r="T59" s="8">
        <f>Elettricità!AC59</f>
        <v>0</v>
      </c>
      <c r="U59" s="8">
        <f>Elettricità!AD59</f>
        <v>12.64</v>
      </c>
      <c r="V59" s="8">
        <f t="shared" si="13"/>
        <v>2024</v>
      </c>
      <c r="W59" s="8">
        <f>_xlfn.XLOOKUP(A59,Fabbricati!E:E,Fabbricati!D:D)</f>
        <v>343500343</v>
      </c>
      <c r="X59" s="9">
        <f t="shared" si="14"/>
        <v>45604</v>
      </c>
      <c r="Y59" s="9">
        <f t="shared" si="15"/>
        <v>45566</v>
      </c>
      <c r="Z59" s="9">
        <f t="shared" si="16"/>
        <v>45596</v>
      </c>
      <c r="AA59" s="8">
        <f t="shared" si="17"/>
        <v>31</v>
      </c>
      <c r="AB59" s="8">
        <f t="shared" si="18"/>
        <v>178</v>
      </c>
      <c r="AC59" s="12" t="s">
        <v>149</v>
      </c>
      <c r="AD59" s="11" t="str">
        <f t="shared" si="19"/>
        <v>70
34
74</v>
      </c>
      <c r="AE59" s="11" t="str">
        <f t="shared" si="20"/>
        <v>10
18
35</v>
      </c>
      <c r="AF59" s="11"/>
      <c r="AG59" s="11"/>
      <c r="AH59" s="8">
        <f t="shared" si="21"/>
        <v>29.21</v>
      </c>
      <c r="AI59" s="8">
        <f t="shared" si="22"/>
        <v>26.01</v>
      </c>
      <c r="AJ59" s="8">
        <f t="shared" si="23"/>
        <v>12.64</v>
      </c>
      <c r="AK59" s="8"/>
      <c r="AL59" s="8"/>
      <c r="AM59" s="8">
        <f t="shared" si="24"/>
        <v>0</v>
      </c>
      <c r="AN59" s="8">
        <f t="shared" si="25"/>
        <v>70.09</v>
      </c>
    </row>
    <row r="60" spans="1:40" ht="48" customHeight="1" x14ac:dyDescent="0.2">
      <c r="A60" s="8" t="str">
        <f>Elettricità!I60</f>
        <v>IT001E04170940</v>
      </c>
      <c r="B60" s="8" t="str">
        <f>Elettricità!A60</f>
        <v>005093369280.PDF</v>
      </c>
      <c r="C60" s="9">
        <f>Elettricità!E60</f>
        <v>45632</v>
      </c>
      <c r="D60" s="9">
        <f>Elettricità!K60</f>
        <v>45597</v>
      </c>
      <c r="E60" s="9">
        <f>Elettricità!L60</f>
        <v>45626</v>
      </c>
      <c r="F60" s="8">
        <f>Elettricità!M60</f>
        <v>186</v>
      </c>
      <c r="G60" s="8">
        <f>Elettricità!N60</f>
        <v>65</v>
      </c>
      <c r="H60" s="8">
        <f>Elettricità!O60</f>
        <v>39</v>
      </c>
      <c r="I60" s="8">
        <f>Elettricità!P60</f>
        <v>82</v>
      </c>
      <c r="J60" s="8">
        <f>Elettricità!Q60</f>
        <v>144</v>
      </c>
      <c r="K60" s="8">
        <f>Elettricità!R60</f>
        <v>20</v>
      </c>
      <c r="L60" s="8">
        <f>Elettricità!S60</f>
        <v>37</v>
      </c>
      <c r="M60" s="8">
        <f>Elettricità!T60</f>
        <v>87</v>
      </c>
      <c r="N60" s="8">
        <f>Elettricità!W60</f>
        <v>62.38</v>
      </c>
      <c r="O60" s="8">
        <f>Elettricità!X60</f>
        <v>76.099999999999994</v>
      </c>
      <c r="P60" s="8">
        <f>Elettricità!Y60</f>
        <v>0</v>
      </c>
      <c r="Q60" s="8">
        <f>Elettricità!Z60</f>
        <v>30.35</v>
      </c>
      <c r="R60" s="8">
        <f>Elettricità!AA60</f>
        <v>12.12</v>
      </c>
      <c r="S60" s="8">
        <f>Elettricità!AB60</f>
        <v>17.579999999999998</v>
      </c>
      <c r="T60" s="8">
        <f>Elettricità!AC60</f>
        <v>0</v>
      </c>
      <c r="U60" s="8">
        <f>Elettricità!AD60</f>
        <v>13.72</v>
      </c>
      <c r="V60" s="8">
        <f t="shared" si="13"/>
        <v>2024</v>
      </c>
      <c r="W60" s="8">
        <f>_xlfn.XLOOKUP(A60,Fabbricati!E:E,Fabbricati!D:D)</f>
        <v>343500343</v>
      </c>
      <c r="X60" s="9">
        <f t="shared" si="14"/>
        <v>45632</v>
      </c>
      <c r="Y60" s="9">
        <f t="shared" si="15"/>
        <v>45597</v>
      </c>
      <c r="Z60" s="9">
        <f t="shared" si="16"/>
        <v>45626</v>
      </c>
      <c r="AA60" s="8">
        <f t="shared" si="17"/>
        <v>30</v>
      </c>
      <c r="AB60" s="8">
        <f t="shared" si="18"/>
        <v>186</v>
      </c>
      <c r="AC60" s="12" t="s">
        <v>149</v>
      </c>
      <c r="AD60" s="11" t="str">
        <f t="shared" si="19"/>
        <v>65
39
82</v>
      </c>
      <c r="AE60" s="11" t="str">
        <f t="shared" si="20"/>
        <v>20
37
87</v>
      </c>
      <c r="AF60" s="11"/>
      <c r="AG60" s="11"/>
      <c r="AH60" s="8">
        <f t="shared" si="21"/>
        <v>29.699999999999996</v>
      </c>
      <c r="AI60" s="8">
        <f t="shared" si="22"/>
        <v>30.35</v>
      </c>
      <c r="AJ60" s="8">
        <f t="shared" si="23"/>
        <v>13.72</v>
      </c>
      <c r="AK60" s="8"/>
      <c r="AL60" s="8"/>
      <c r="AM60" s="8">
        <f t="shared" si="24"/>
        <v>0</v>
      </c>
      <c r="AN60" s="8">
        <f t="shared" si="25"/>
        <v>76.099999999999994</v>
      </c>
    </row>
    <row r="61" spans="1:40" ht="48" customHeight="1" x14ac:dyDescent="0.2">
      <c r="A61" s="8" t="str">
        <f>Elettricità!I61</f>
        <v>IT001E04170940</v>
      </c>
      <c r="B61" s="8" t="str">
        <f>Elettricità!A61</f>
        <v>005200218693.PDF</v>
      </c>
      <c r="C61" s="9">
        <f>Elettricità!E61</f>
        <v>45665</v>
      </c>
      <c r="D61" s="9">
        <f>Elettricità!K61</f>
        <v>45627</v>
      </c>
      <c r="E61" s="9">
        <f>Elettricità!L61</f>
        <v>45657</v>
      </c>
      <c r="F61" s="8">
        <f>Elettricità!M61</f>
        <v>141</v>
      </c>
      <c r="G61" s="8">
        <f>Elettricità!N61</f>
        <v>37</v>
      </c>
      <c r="H61" s="8">
        <f>Elettricità!O61</f>
        <v>31</v>
      </c>
      <c r="I61" s="8">
        <f>Elettricità!P61</f>
        <v>73</v>
      </c>
      <c r="J61" s="8">
        <f>Elettricità!Q61</f>
        <v>136</v>
      </c>
      <c r="K61" s="8">
        <f>Elettricità!R61</f>
        <v>17</v>
      </c>
      <c r="L61" s="8">
        <f>Elettricità!S61</f>
        <v>34</v>
      </c>
      <c r="M61" s="8">
        <f>Elettricità!T61</f>
        <v>85</v>
      </c>
      <c r="N61" s="8">
        <f>Elettricità!W61</f>
        <v>52.74</v>
      </c>
      <c r="O61" s="8">
        <f>Elettricità!X61</f>
        <v>64.34</v>
      </c>
      <c r="P61" s="8">
        <f>Elettricità!Y61</f>
        <v>0</v>
      </c>
      <c r="Q61" s="8">
        <f>Elettricità!Z61</f>
        <v>24.03</v>
      </c>
      <c r="R61" s="8">
        <f>Elettricità!AA61</f>
        <v>11.54</v>
      </c>
      <c r="S61" s="8">
        <f>Elettricità!AB61</f>
        <v>15.41</v>
      </c>
      <c r="T61" s="8">
        <f>Elettricità!AC61</f>
        <v>0</v>
      </c>
      <c r="U61" s="8">
        <f>Elettricità!AD61</f>
        <v>11.6</v>
      </c>
      <c r="V61" s="8">
        <f t="shared" si="13"/>
        <v>2024</v>
      </c>
      <c r="W61" s="8">
        <f>_xlfn.XLOOKUP(A61,Fabbricati!E:E,Fabbricati!D:D)</f>
        <v>343500343</v>
      </c>
      <c r="X61" s="9">
        <f t="shared" si="14"/>
        <v>45665</v>
      </c>
      <c r="Y61" s="9">
        <f t="shared" si="15"/>
        <v>45627</v>
      </c>
      <c r="Z61" s="9">
        <f t="shared" si="16"/>
        <v>45657</v>
      </c>
      <c r="AA61" s="8">
        <f t="shared" si="17"/>
        <v>31</v>
      </c>
      <c r="AB61" s="8">
        <f t="shared" si="18"/>
        <v>141</v>
      </c>
      <c r="AC61" s="12" t="s">
        <v>149</v>
      </c>
      <c r="AD61" s="11" t="str">
        <f t="shared" si="19"/>
        <v>37
31
73</v>
      </c>
      <c r="AE61" s="11" t="str">
        <f t="shared" si="20"/>
        <v>17
34
85</v>
      </c>
      <c r="AF61" s="11"/>
      <c r="AG61" s="11"/>
      <c r="AH61" s="8">
        <f t="shared" si="21"/>
        <v>26.95</v>
      </c>
      <c r="AI61" s="8">
        <f t="shared" si="22"/>
        <v>24.03</v>
      </c>
      <c r="AJ61" s="8">
        <f t="shared" si="23"/>
        <v>11.6</v>
      </c>
      <c r="AK61" s="8"/>
      <c r="AL61" s="8"/>
      <c r="AM61" s="8">
        <f t="shared" si="24"/>
        <v>0</v>
      </c>
      <c r="AN61" s="8">
        <f t="shared" si="25"/>
        <v>64.34</v>
      </c>
    </row>
    <row r="62" spans="1:40" ht="48" customHeight="1" x14ac:dyDescent="0.2">
      <c r="A62" s="8" t="str">
        <f>Elettricità!I62</f>
        <v>IT001E04170953</v>
      </c>
      <c r="B62" s="8" t="str">
        <f>Elettricità!A62</f>
        <v>824500045371_2024_d(2).pdf</v>
      </c>
      <c r="C62" s="9">
        <f>Elettricità!E62</f>
        <v>45350</v>
      </c>
      <c r="D62" s="9">
        <f>Elettricità!K62</f>
        <v>45292</v>
      </c>
      <c r="E62" s="9">
        <f>Elettricità!L62</f>
        <v>45322</v>
      </c>
      <c r="F62" s="8">
        <f>Elettricità!M62</f>
        <v>242</v>
      </c>
      <c r="G62" s="8">
        <f>Elettricità!N62</f>
        <v>117</v>
      </c>
      <c r="H62" s="8">
        <f>Elettricità!O62</f>
        <v>58</v>
      </c>
      <c r="I62" s="8">
        <f>Elettricità!P62</f>
        <v>67</v>
      </c>
      <c r="J62" s="8">
        <f>Elettricità!Q62</f>
        <v>14</v>
      </c>
      <c r="K62" s="8">
        <f>Elettricità!R62</f>
        <v>9</v>
      </c>
      <c r="L62" s="8">
        <f>Elettricità!S62</f>
        <v>5</v>
      </c>
      <c r="M62" s="8">
        <f>Elettricità!T62</f>
        <v>0</v>
      </c>
      <c r="N62" s="8">
        <f>Elettricità!W62</f>
        <v>89.25</v>
      </c>
      <c r="O62" s="8">
        <f>Elettricità!X62</f>
        <v>108.89</v>
      </c>
      <c r="P62" s="8">
        <f>Elettricità!Y62</f>
        <v>0</v>
      </c>
      <c r="Q62" s="8">
        <f>Elettricità!Z62</f>
        <v>38.630000000000003</v>
      </c>
      <c r="R62" s="8">
        <f>Elettricità!AA62</f>
        <v>21.93</v>
      </c>
      <c r="S62" s="8">
        <f>Elettricità!AB62</f>
        <v>24.45</v>
      </c>
      <c r="T62" s="8">
        <f>Elettricità!AC62</f>
        <v>1.21</v>
      </c>
      <c r="U62" s="8">
        <f>Elettricità!AD62</f>
        <v>3.03</v>
      </c>
      <c r="V62" s="8">
        <f t="shared" si="13"/>
        <v>2024</v>
      </c>
      <c r="W62" s="8">
        <f>_xlfn.XLOOKUP(A62,Fabbricati!E:E,Fabbricati!D:D)</f>
        <v>382443721</v>
      </c>
      <c r="X62" s="9">
        <f t="shared" si="14"/>
        <v>45350</v>
      </c>
      <c r="Y62" s="9">
        <f t="shared" si="15"/>
        <v>45292</v>
      </c>
      <c r="Z62" s="9">
        <f t="shared" si="16"/>
        <v>45322</v>
      </c>
      <c r="AA62" s="8">
        <f t="shared" si="17"/>
        <v>31</v>
      </c>
      <c r="AB62" s="8">
        <f t="shared" si="18"/>
        <v>242</v>
      </c>
      <c r="AC62" s="12" t="s">
        <v>149</v>
      </c>
      <c r="AD62" s="11" t="str">
        <f t="shared" si="19"/>
        <v>117
58
67</v>
      </c>
      <c r="AE62" s="11" t="str">
        <f t="shared" si="20"/>
        <v>9
5
0</v>
      </c>
      <c r="AF62" s="11"/>
      <c r="AG62" s="11"/>
      <c r="AH62" s="8">
        <f t="shared" si="21"/>
        <v>46.379999999999995</v>
      </c>
      <c r="AI62" s="8">
        <f t="shared" si="22"/>
        <v>38.630000000000003</v>
      </c>
      <c r="AJ62" s="8">
        <f t="shared" si="23"/>
        <v>3.03</v>
      </c>
      <c r="AK62" s="8"/>
      <c r="AL62" s="8"/>
      <c r="AM62" s="8">
        <f t="shared" si="24"/>
        <v>1.21</v>
      </c>
      <c r="AN62" s="8">
        <f t="shared" si="25"/>
        <v>108.89</v>
      </c>
    </row>
    <row r="63" spans="1:40" ht="48" customHeight="1" x14ac:dyDescent="0.2">
      <c r="A63" s="8" t="str">
        <f>Elettricità!I63</f>
        <v>IT001E04170953</v>
      </c>
      <c r="B63" s="8" t="str">
        <f>Elettricità!A63</f>
        <v>005018359671.pdf</v>
      </c>
      <c r="C63" s="9">
        <f>Elettricità!E63</f>
        <v>45358</v>
      </c>
      <c r="D63" s="9">
        <f>Elettricità!K63</f>
        <v>45323</v>
      </c>
      <c r="E63" s="9">
        <f>Elettricità!L63</f>
        <v>45351</v>
      </c>
      <c r="F63" s="8">
        <f>Elettricità!M63</f>
        <v>222</v>
      </c>
      <c r="G63" s="8">
        <f>Elettricità!N63</f>
        <v>100</v>
      </c>
      <c r="H63" s="8">
        <f>Elettricità!O63</f>
        <v>66</v>
      </c>
      <c r="I63" s="8">
        <f>Elettricità!P63</f>
        <v>56</v>
      </c>
      <c r="J63" s="8">
        <f>Elettricità!Q63</f>
        <v>12</v>
      </c>
      <c r="K63" s="8">
        <f>Elettricità!R63</f>
        <v>6</v>
      </c>
      <c r="L63" s="8">
        <f>Elettricità!S63</f>
        <v>5</v>
      </c>
      <c r="M63" s="8">
        <f>Elettricità!T63</f>
        <v>1</v>
      </c>
      <c r="N63" s="8">
        <f>Elettricità!W63</f>
        <v>75.37</v>
      </c>
      <c r="O63" s="8">
        <f>Elettricità!X63</f>
        <v>91.95</v>
      </c>
      <c r="P63" s="8">
        <f>Elettricità!Y63</f>
        <v>0</v>
      </c>
      <c r="Q63" s="8">
        <f>Elettricità!Z63</f>
        <v>27.3</v>
      </c>
      <c r="R63" s="8">
        <f>Elettricità!AA63</f>
        <v>21.67</v>
      </c>
      <c r="S63" s="8">
        <f>Elettricità!AB63</f>
        <v>23.62</v>
      </c>
      <c r="T63" s="8">
        <f>Elettricità!AC63</f>
        <v>0</v>
      </c>
      <c r="U63" s="8">
        <f>Elettricità!AD63</f>
        <v>16.579999999999998</v>
      </c>
      <c r="V63" s="8">
        <f t="shared" si="13"/>
        <v>2024</v>
      </c>
      <c r="W63" s="8">
        <f>_xlfn.XLOOKUP(A63,Fabbricati!E:E,Fabbricati!D:D)</f>
        <v>382443721</v>
      </c>
      <c r="X63" s="9">
        <f t="shared" si="14"/>
        <v>45358</v>
      </c>
      <c r="Y63" s="9">
        <f t="shared" si="15"/>
        <v>45323</v>
      </c>
      <c r="Z63" s="9">
        <f t="shared" si="16"/>
        <v>45351</v>
      </c>
      <c r="AA63" s="8">
        <f t="shared" si="17"/>
        <v>29</v>
      </c>
      <c r="AB63" s="8">
        <f t="shared" si="18"/>
        <v>222</v>
      </c>
      <c r="AC63" s="12" t="s">
        <v>149</v>
      </c>
      <c r="AD63" s="11" t="str">
        <f t="shared" si="19"/>
        <v>100
66
56</v>
      </c>
      <c r="AE63" s="11" t="str">
        <f t="shared" si="20"/>
        <v>6
5
1</v>
      </c>
      <c r="AF63" s="11"/>
      <c r="AG63" s="11"/>
      <c r="AH63" s="8">
        <f t="shared" si="21"/>
        <v>45.290000000000006</v>
      </c>
      <c r="AI63" s="8">
        <f t="shared" si="22"/>
        <v>27.3</v>
      </c>
      <c r="AJ63" s="8">
        <f t="shared" si="23"/>
        <v>16.579999999999998</v>
      </c>
      <c r="AK63" s="8"/>
      <c r="AL63" s="8"/>
      <c r="AM63" s="8">
        <f t="shared" si="24"/>
        <v>0</v>
      </c>
      <c r="AN63" s="8">
        <f t="shared" si="25"/>
        <v>91.95</v>
      </c>
    </row>
    <row r="64" spans="1:40" ht="48" customHeight="1" x14ac:dyDescent="0.2">
      <c r="A64" s="8" t="str">
        <f>Elettricità!I64</f>
        <v>IT001E04170953</v>
      </c>
      <c r="B64" s="8" t="str">
        <f>Elettricità!A64</f>
        <v>005026659958.pdf</v>
      </c>
      <c r="C64" s="9">
        <f>Elettricità!E64</f>
        <v>45390</v>
      </c>
      <c r="D64" s="9">
        <f>Elettricità!K64</f>
        <v>45352</v>
      </c>
      <c r="E64" s="9">
        <f>Elettricità!L64</f>
        <v>45382</v>
      </c>
      <c r="F64" s="8">
        <f>Elettricità!M64</f>
        <v>212</v>
      </c>
      <c r="G64" s="8">
        <f>Elettricità!N64</f>
        <v>89</v>
      </c>
      <c r="H64" s="8">
        <f>Elettricità!O64</f>
        <v>66</v>
      </c>
      <c r="I64" s="8">
        <f>Elettricità!P64</f>
        <v>57</v>
      </c>
      <c r="J64" s="8">
        <f>Elettricità!Q64</f>
        <v>11</v>
      </c>
      <c r="K64" s="8">
        <f>Elettricità!R64</f>
        <v>6</v>
      </c>
      <c r="L64" s="8">
        <f>Elettricità!S64</f>
        <v>5</v>
      </c>
      <c r="M64" s="8">
        <f>Elettricità!T64</f>
        <v>0</v>
      </c>
      <c r="N64" s="8">
        <f>Elettricità!W64</f>
        <v>72.58</v>
      </c>
      <c r="O64" s="8">
        <f>Elettricità!X64</f>
        <v>88.55</v>
      </c>
      <c r="P64" s="8">
        <f>Elettricità!Y64</f>
        <v>0</v>
      </c>
      <c r="Q64" s="8">
        <f>Elettricità!Z64</f>
        <v>25.18</v>
      </c>
      <c r="R64" s="8">
        <f>Elettricità!AA64</f>
        <v>21.55</v>
      </c>
      <c r="S64" s="8">
        <f>Elettricità!AB64</f>
        <v>23.2</v>
      </c>
      <c r="T64" s="8">
        <f>Elettricità!AC64</f>
        <v>0</v>
      </c>
      <c r="U64" s="8">
        <f>Elettricità!AD64</f>
        <v>15.97</v>
      </c>
      <c r="V64" s="8">
        <f t="shared" si="13"/>
        <v>2024</v>
      </c>
      <c r="W64" s="8">
        <f>_xlfn.XLOOKUP(A64,Fabbricati!E:E,Fabbricati!D:D)</f>
        <v>382443721</v>
      </c>
      <c r="X64" s="9">
        <f t="shared" si="14"/>
        <v>45390</v>
      </c>
      <c r="Y64" s="9">
        <f t="shared" si="15"/>
        <v>45352</v>
      </c>
      <c r="Z64" s="9">
        <f t="shared" si="16"/>
        <v>45382</v>
      </c>
      <c r="AA64" s="8">
        <f t="shared" si="17"/>
        <v>31</v>
      </c>
      <c r="AB64" s="8">
        <f t="shared" si="18"/>
        <v>212</v>
      </c>
      <c r="AC64" s="12" t="s">
        <v>149</v>
      </c>
      <c r="AD64" s="11" t="str">
        <f t="shared" si="19"/>
        <v>89
66
57</v>
      </c>
      <c r="AE64" s="11" t="str">
        <f t="shared" si="20"/>
        <v>6
5
0</v>
      </c>
      <c r="AF64" s="11"/>
      <c r="AG64" s="11"/>
      <c r="AH64" s="8">
        <f t="shared" si="21"/>
        <v>44.75</v>
      </c>
      <c r="AI64" s="8">
        <f t="shared" si="22"/>
        <v>25.18</v>
      </c>
      <c r="AJ64" s="8">
        <f t="shared" si="23"/>
        <v>15.97</v>
      </c>
      <c r="AK64" s="8"/>
      <c r="AL64" s="8"/>
      <c r="AM64" s="8">
        <f t="shared" si="24"/>
        <v>0</v>
      </c>
      <c r="AN64" s="8">
        <f t="shared" si="25"/>
        <v>88.55</v>
      </c>
    </row>
    <row r="65" spans="1:40" ht="48" customHeight="1" x14ac:dyDescent="0.2">
      <c r="A65" s="8" t="str">
        <f>Elettricità!I65</f>
        <v>IT001E04170953</v>
      </c>
      <c r="B65" s="8" t="str">
        <f>Elettricità!A65</f>
        <v>005034930226.PDF</v>
      </c>
      <c r="C65" s="9">
        <f>Elettricità!E65</f>
        <v>45419</v>
      </c>
      <c r="D65" s="9">
        <f>Elettricità!K65</f>
        <v>45383</v>
      </c>
      <c r="E65" s="9">
        <f>Elettricità!L65</f>
        <v>45392</v>
      </c>
      <c r="F65" s="8">
        <f>Elettricità!M65</f>
        <v>142</v>
      </c>
      <c r="G65" s="8">
        <f>Elettricità!N65</f>
        <v>53</v>
      </c>
      <c r="H65" s="8">
        <f>Elettricità!O65</f>
        <v>38</v>
      </c>
      <c r="I65" s="8">
        <f>Elettricità!P65</f>
        <v>51</v>
      </c>
      <c r="J65" s="8">
        <f>Elettricità!Q65</f>
        <v>4</v>
      </c>
      <c r="K65" s="8">
        <f>Elettricità!R65</f>
        <v>2</v>
      </c>
      <c r="L65" s="8">
        <f>Elettricità!S65</f>
        <v>1</v>
      </c>
      <c r="M65" s="8">
        <f>Elettricità!T65</f>
        <v>1</v>
      </c>
      <c r="N65" s="8">
        <f>Elettricità!W65</f>
        <v>62.15</v>
      </c>
      <c r="O65" s="8">
        <f>Elettricità!X65</f>
        <v>75.819999999999993</v>
      </c>
      <c r="P65" s="8">
        <f>Elettricità!Y65</f>
        <v>0</v>
      </c>
      <c r="Q65" s="8">
        <f>Elettricità!Z65</f>
        <v>16.11</v>
      </c>
      <c r="R65" s="8">
        <f>Elettricità!AA65</f>
        <v>20.63</v>
      </c>
      <c r="S65" s="8">
        <f>Elettricità!AB65</f>
        <v>23.63</v>
      </c>
      <c r="T65" s="8">
        <f>Elettricità!AC65</f>
        <v>0</v>
      </c>
      <c r="U65" s="8">
        <f>Elettricità!AD65</f>
        <v>13.67</v>
      </c>
      <c r="V65" s="8">
        <f t="shared" si="13"/>
        <v>2024</v>
      </c>
      <c r="W65" s="8">
        <f>_xlfn.XLOOKUP(A65,Fabbricati!E:E,Fabbricati!D:D)</f>
        <v>382443721</v>
      </c>
      <c r="X65" s="9">
        <f t="shared" si="14"/>
        <v>45419</v>
      </c>
      <c r="Y65" s="9">
        <f t="shared" si="15"/>
        <v>45383</v>
      </c>
      <c r="Z65" s="9">
        <f t="shared" si="16"/>
        <v>45392</v>
      </c>
      <c r="AA65" s="8">
        <f t="shared" si="17"/>
        <v>10</v>
      </c>
      <c r="AB65" s="8">
        <f t="shared" si="18"/>
        <v>142</v>
      </c>
      <c r="AC65" s="12" t="s">
        <v>149</v>
      </c>
      <c r="AD65" s="11" t="str">
        <f t="shared" si="19"/>
        <v>53
38
51</v>
      </c>
      <c r="AE65" s="11" t="str">
        <f t="shared" si="20"/>
        <v>2
1
1</v>
      </c>
      <c r="AF65" s="11"/>
      <c r="AG65" s="11"/>
      <c r="AH65" s="8">
        <f t="shared" si="21"/>
        <v>44.26</v>
      </c>
      <c r="AI65" s="8">
        <f t="shared" si="22"/>
        <v>16.11</v>
      </c>
      <c r="AJ65" s="8">
        <f t="shared" si="23"/>
        <v>13.67</v>
      </c>
      <c r="AK65" s="8"/>
      <c r="AL65" s="8"/>
      <c r="AM65" s="8">
        <f t="shared" si="24"/>
        <v>0</v>
      </c>
      <c r="AN65" s="8">
        <f t="shared" si="25"/>
        <v>75.819999999999993</v>
      </c>
    </row>
    <row r="66" spans="1:40" ht="48" customHeight="1" x14ac:dyDescent="0.2">
      <c r="A66" s="8" t="str">
        <f>Elettricità!I66</f>
        <v>IT001E04170953</v>
      </c>
      <c r="B66" s="8" t="str">
        <f>Elettricità!A66</f>
        <v>005043663090.PDF</v>
      </c>
      <c r="C66" s="9">
        <f>Elettricità!E66</f>
        <v>45449</v>
      </c>
      <c r="D66" s="9">
        <f>Elettricità!K66</f>
        <v>45413</v>
      </c>
      <c r="E66" s="9">
        <f>Elettricità!L66</f>
        <v>45443</v>
      </c>
      <c r="F66" s="8">
        <f>Elettricità!M66</f>
        <v>88</v>
      </c>
      <c r="G66" s="8">
        <f>Elettricità!N66</f>
        <v>29</v>
      </c>
      <c r="H66" s="8">
        <f>Elettricità!O66</f>
        <v>35</v>
      </c>
      <c r="I66" s="8">
        <f>Elettricità!P66</f>
        <v>24</v>
      </c>
      <c r="J66" s="8">
        <f>Elettricità!Q66</f>
        <v>2</v>
      </c>
      <c r="K66" s="8">
        <f>Elettricità!R66</f>
        <v>0</v>
      </c>
      <c r="L66" s="8">
        <f>Elettricità!S66</f>
        <v>1</v>
      </c>
      <c r="M66" s="8">
        <f>Elettricità!T66</f>
        <v>1</v>
      </c>
      <c r="N66" s="8">
        <f>Elettricità!W66</f>
        <v>53.15</v>
      </c>
      <c r="O66" s="8">
        <f>Elettricità!X66</f>
        <v>64.84</v>
      </c>
      <c r="P66" s="8">
        <f>Elettricità!Y66</f>
        <v>0</v>
      </c>
      <c r="Q66" s="8">
        <f>Elettricità!Z66</f>
        <v>11.07</v>
      </c>
      <c r="R66" s="8">
        <f>Elettricità!AA66</f>
        <v>19.95</v>
      </c>
      <c r="S66" s="8">
        <f>Elettricità!AB66</f>
        <v>21.03</v>
      </c>
      <c r="T66" s="8">
        <f>Elettricità!AC66</f>
        <v>0</v>
      </c>
      <c r="U66" s="8">
        <f>Elettricità!AD66</f>
        <v>11.69</v>
      </c>
      <c r="V66" s="8">
        <f t="shared" si="13"/>
        <v>2024</v>
      </c>
      <c r="W66" s="8">
        <f>_xlfn.XLOOKUP(A66,Fabbricati!E:E,Fabbricati!D:D)</f>
        <v>382443721</v>
      </c>
      <c r="X66" s="9">
        <f t="shared" si="14"/>
        <v>45449</v>
      </c>
      <c r="Y66" s="9">
        <f t="shared" si="15"/>
        <v>45413</v>
      </c>
      <c r="Z66" s="9">
        <f t="shared" si="16"/>
        <v>45443</v>
      </c>
      <c r="AA66" s="8">
        <f t="shared" si="17"/>
        <v>31</v>
      </c>
      <c r="AB66" s="8">
        <f t="shared" si="18"/>
        <v>88</v>
      </c>
      <c r="AC66" s="12" t="s">
        <v>149</v>
      </c>
      <c r="AD66" s="11" t="str">
        <f t="shared" si="19"/>
        <v>29
35
24</v>
      </c>
      <c r="AE66" s="11" t="str">
        <f t="shared" si="20"/>
        <v>0
1
1</v>
      </c>
      <c r="AF66" s="11"/>
      <c r="AG66" s="11"/>
      <c r="AH66" s="8">
        <f t="shared" si="21"/>
        <v>40.980000000000004</v>
      </c>
      <c r="AI66" s="8">
        <f t="shared" si="22"/>
        <v>11.07</v>
      </c>
      <c r="AJ66" s="8">
        <f t="shared" si="23"/>
        <v>11.69</v>
      </c>
      <c r="AK66" s="8"/>
      <c r="AL66" s="8"/>
      <c r="AM66" s="8">
        <f t="shared" si="24"/>
        <v>0</v>
      </c>
      <c r="AN66" s="8">
        <f t="shared" si="25"/>
        <v>64.84</v>
      </c>
    </row>
    <row r="67" spans="1:40" ht="48" customHeight="1" x14ac:dyDescent="0.2">
      <c r="A67" s="8" t="str">
        <f>Elettricità!I67</f>
        <v>IT001E04170953</v>
      </c>
      <c r="B67" s="8" t="str">
        <f>Elettricità!A67</f>
        <v>005051431105.pdf</v>
      </c>
      <c r="C67" s="9">
        <f>Elettricità!E67</f>
        <v>45478</v>
      </c>
      <c r="D67" s="9">
        <f>Elettricità!K67</f>
        <v>45444</v>
      </c>
      <c r="E67" s="9">
        <f>Elettricità!L67</f>
        <v>45473</v>
      </c>
      <c r="F67" s="8">
        <f>Elettricità!M67</f>
        <v>43</v>
      </c>
      <c r="G67" s="8">
        <f>Elettricità!N67</f>
        <v>8</v>
      </c>
      <c r="H67" s="8">
        <f>Elettricità!O67</f>
        <v>21</v>
      </c>
      <c r="I67" s="8">
        <f>Elettricità!P67</f>
        <v>14</v>
      </c>
      <c r="J67" s="8">
        <f>Elettricità!Q67</f>
        <v>3</v>
      </c>
      <c r="K67" s="8">
        <f>Elettricità!R67</f>
        <v>1</v>
      </c>
      <c r="L67" s="8">
        <f>Elettricità!S67</f>
        <v>1</v>
      </c>
      <c r="M67" s="8">
        <f>Elettricità!T67</f>
        <v>1</v>
      </c>
      <c r="N67" s="8">
        <f>Elettricità!W67</f>
        <v>44.64</v>
      </c>
      <c r="O67" s="8">
        <f>Elettricità!X67</f>
        <v>54.46</v>
      </c>
      <c r="P67" s="8">
        <f>Elettricità!Y67</f>
        <v>0</v>
      </c>
      <c r="Q67" s="8">
        <f>Elettricità!Z67</f>
        <v>5.87</v>
      </c>
      <c r="R67" s="8">
        <f>Elettricità!AA67</f>
        <v>19.37</v>
      </c>
      <c r="S67" s="8">
        <f>Elettricità!AB67</f>
        <v>18.86</v>
      </c>
      <c r="T67" s="8">
        <f>Elettricità!AC67</f>
        <v>0</v>
      </c>
      <c r="U67" s="8">
        <f>Elettricità!AD67</f>
        <v>9.82</v>
      </c>
      <c r="V67" s="8">
        <f t="shared" ref="V67:V130" si="26">YEAR(Y67)</f>
        <v>2024</v>
      </c>
      <c r="W67" s="8">
        <f>_xlfn.XLOOKUP(A67,Fabbricati!E:E,Fabbricati!D:D)</f>
        <v>382443721</v>
      </c>
      <c r="X67" s="9">
        <f t="shared" ref="X67:X130" si="27">C67</f>
        <v>45478</v>
      </c>
      <c r="Y67" s="9">
        <f t="shared" ref="Y67:Y130" si="28">D67</f>
        <v>45444</v>
      </c>
      <c r="Z67" s="9">
        <f t="shared" ref="Z67:Z130" si="29">E67</f>
        <v>45473</v>
      </c>
      <c r="AA67" s="8">
        <f t="shared" ref="AA67:AA130" si="30">Z67-Y67+1</f>
        <v>30</v>
      </c>
      <c r="AB67" s="8">
        <f t="shared" ref="AB67:AB130" si="31">F67</f>
        <v>43</v>
      </c>
      <c r="AC67" s="12" t="s">
        <v>149</v>
      </c>
      <c r="AD67" s="11" t="str">
        <f t="shared" ref="AD67:AD130" si="32">G67  &amp; _xlfn.UNICHAR(10) &amp; H67  &amp; _xlfn.UNICHAR(10)  &amp;  I67</f>
        <v>8
21
14</v>
      </c>
      <c r="AE67" s="11" t="str">
        <f t="shared" ref="AE67:AE130" si="33">K67  &amp; _xlfn.UNICHAR(10) &amp; L67  &amp; _xlfn.UNICHAR(10)  &amp;  M67</f>
        <v>1
1
1</v>
      </c>
      <c r="AF67" s="11"/>
      <c r="AG67" s="11"/>
      <c r="AH67" s="8">
        <f t="shared" ref="AH67:AH130" si="34">R67+S67</f>
        <v>38.230000000000004</v>
      </c>
      <c r="AI67" s="8">
        <f t="shared" ref="AI67:AI130" si="35">Q67</f>
        <v>5.87</v>
      </c>
      <c r="AJ67" s="8">
        <f t="shared" ref="AJ67:AJ130" si="36">U67</f>
        <v>9.82</v>
      </c>
      <c r="AK67" s="8"/>
      <c r="AL67" s="8"/>
      <c r="AM67" s="8">
        <f t="shared" ref="AM67:AM130" si="37">T67</f>
        <v>0</v>
      </c>
      <c r="AN67" s="8">
        <f t="shared" ref="AN67:AN130" si="38">O67</f>
        <v>54.46</v>
      </c>
    </row>
    <row r="68" spans="1:40" ht="48" customHeight="1" x14ac:dyDescent="0.2">
      <c r="A68" s="8" t="str">
        <f>Elettricità!I68</f>
        <v>IT001E04170953</v>
      </c>
      <c r="B68" s="8" t="str">
        <f>Elettricità!A68</f>
        <v>005059958070.PDF</v>
      </c>
      <c r="C68" s="9">
        <f>Elettricità!E68</f>
        <v>45511</v>
      </c>
      <c r="D68" s="9">
        <f>Elettricità!K68</f>
        <v>45474</v>
      </c>
      <c r="E68" s="9">
        <f>Elettricità!L68</f>
        <v>45504</v>
      </c>
      <c r="F68" s="8">
        <f>Elettricità!M68</f>
        <v>44</v>
      </c>
      <c r="G68" s="8">
        <f>Elettricità!N68</f>
        <v>14</v>
      </c>
      <c r="H68" s="8">
        <f>Elettricità!O68</f>
        <v>15</v>
      </c>
      <c r="I68" s="8">
        <f>Elettricità!P68</f>
        <v>15</v>
      </c>
      <c r="J68" s="8">
        <f>Elettricità!Q68</f>
        <v>5</v>
      </c>
      <c r="K68" s="8">
        <f>Elettricità!R68</f>
        <v>2</v>
      </c>
      <c r="L68" s="8">
        <f>Elettricità!S68</f>
        <v>1</v>
      </c>
      <c r="M68" s="8">
        <f>Elettricità!T68</f>
        <v>2</v>
      </c>
      <c r="N68" s="8">
        <f>Elettricità!W68</f>
        <v>45.81</v>
      </c>
      <c r="O68" s="8">
        <f>Elettricità!X68</f>
        <v>55.89</v>
      </c>
      <c r="P68" s="8">
        <f>Elettricità!Y68</f>
        <v>0</v>
      </c>
      <c r="Q68" s="8">
        <f>Elettricità!Z68</f>
        <v>6.96</v>
      </c>
      <c r="R68" s="8">
        <f>Elettricità!AA68</f>
        <v>19.38</v>
      </c>
      <c r="S68" s="8">
        <f>Elettricità!AB68</f>
        <v>18.920000000000002</v>
      </c>
      <c r="T68" s="8">
        <f>Elettricità!AC68</f>
        <v>0</v>
      </c>
      <c r="U68" s="8">
        <f>Elettricità!AD68</f>
        <v>10.08</v>
      </c>
      <c r="V68" s="8">
        <f t="shared" si="26"/>
        <v>2024</v>
      </c>
      <c r="W68" s="8">
        <f>_xlfn.XLOOKUP(A68,Fabbricati!E:E,Fabbricati!D:D)</f>
        <v>382443721</v>
      </c>
      <c r="X68" s="9">
        <f t="shared" si="27"/>
        <v>45511</v>
      </c>
      <c r="Y68" s="9">
        <f t="shared" si="28"/>
        <v>45474</v>
      </c>
      <c r="Z68" s="9">
        <f t="shared" si="29"/>
        <v>45504</v>
      </c>
      <c r="AA68" s="8">
        <f t="shared" si="30"/>
        <v>31</v>
      </c>
      <c r="AB68" s="8">
        <f t="shared" si="31"/>
        <v>44</v>
      </c>
      <c r="AC68" s="12" t="s">
        <v>149</v>
      </c>
      <c r="AD68" s="11" t="str">
        <f t="shared" si="32"/>
        <v>14
15
15</v>
      </c>
      <c r="AE68" s="11" t="str">
        <f t="shared" si="33"/>
        <v>2
1
2</v>
      </c>
      <c r="AF68" s="11"/>
      <c r="AG68" s="11"/>
      <c r="AH68" s="8">
        <f t="shared" si="34"/>
        <v>38.299999999999997</v>
      </c>
      <c r="AI68" s="8">
        <f t="shared" si="35"/>
        <v>6.96</v>
      </c>
      <c r="AJ68" s="8">
        <f t="shared" si="36"/>
        <v>10.08</v>
      </c>
      <c r="AK68" s="8"/>
      <c r="AL68" s="8"/>
      <c r="AM68" s="8">
        <f t="shared" si="37"/>
        <v>0</v>
      </c>
      <c r="AN68" s="8">
        <f t="shared" si="38"/>
        <v>55.89</v>
      </c>
    </row>
    <row r="69" spans="1:40" ht="48" customHeight="1" x14ac:dyDescent="0.2">
      <c r="A69" s="8" t="str">
        <f>Elettricità!I69</f>
        <v>IT001E04170953</v>
      </c>
      <c r="B69" s="8" t="str">
        <f>Elettricità!A69</f>
        <v>005067307602.PDF</v>
      </c>
      <c r="C69" s="9">
        <f>Elettricità!E69</f>
        <v>45541</v>
      </c>
      <c r="D69" s="9">
        <f>Elettricità!K69</f>
        <v>45505</v>
      </c>
      <c r="E69" s="9">
        <f>Elettricità!L69</f>
        <v>45535</v>
      </c>
      <c r="F69" s="8">
        <f>Elettricità!M69</f>
        <v>355</v>
      </c>
      <c r="G69" s="8">
        <f>Elettricità!N69</f>
        <v>116</v>
      </c>
      <c r="H69" s="8">
        <f>Elettricità!O69</f>
        <v>121</v>
      </c>
      <c r="I69" s="8">
        <f>Elettricità!P69</f>
        <v>118</v>
      </c>
      <c r="J69" s="8">
        <f>Elettricità!Q69</f>
        <v>19</v>
      </c>
      <c r="K69" s="8">
        <f>Elettricità!R69</f>
        <v>6</v>
      </c>
      <c r="L69" s="8">
        <f>Elettricità!S69</f>
        <v>6</v>
      </c>
      <c r="M69" s="8">
        <f>Elettricità!T69</f>
        <v>7</v>
      </c>
      <c r="N69" s="8">
        <f>Elettricità!W69</f>
        <v>44.25</v>
      </c>
      <c r="O69" s="8">
        <f>Elettricità!X69</f>
        <v>53.99</v>
      </c>
      <c r="P69" s="8">
        <f>Elettricità!Y69</f>
        <v>0</v>
      </c>
      <c r="Q69" s="8">
        <f>Elettricità!Z69</f>
        <v>5.99</v>
      </c>
      <c r="R69" s="8">
        <f>Elettricità!AA69</f>
        <v>19.309999999999999</v>
      </c>
      <c r="S69" s="8">
        <f>Elettricità!AB69</f>
        <v>18.62</v>
      </c>
      <c r="T69" s="8">
        <f>Elettricità!AC69</f>
        <v>0</v>
      </c>
      <c r="U69" s="8">
        <f>Elettricità!AD69</f>
        <v>9.74</v>
      </c>
      <c r="V69" s="8">
        <f t="shared" si="26"/>
        <v>2024</v>
      </c>
      <c r="W69" s="8">
        <f>_xlfn.XLOOKUP(A69,Fabbricati!E:E,Fabbricati!D:D)</f>
        <v>382443721</v>
      </c>
      <c r="X69" s="9">
        <f t="shared" si="27"/>
        <v>45541</v>
      </c>
      <c r="Y69" s="9">
        <f t="shared" si="28"/>
        <v>45505</v>
      </c>
      <c r="Z69" s="9">
        <f t="shared" si="29"/>
        <v>45535</v>
      </c>
      <c r="AA69" s="8">
        <f t="shared" si="30"/>
        <v>31</v>
      </c>
      <c r="AB69" s="8">
        <f t="shared" si="31"/>
        <v>355</v>
      </c>
      <c r="AC69" s="12" t="s">
        <v>149</v>
      </c>
      <c r="AD69" s="11" t="str">
        <f t="shared" si="32"/>
        <v>116
121
118</v>
      </c>
      <c r="AE69" s="11" t="str">
        <f t="shared" si="33"/>
        <v>6
6
7</v>
      </c>
      <c r="AF69" s="11"/>
      <c r="AG69" s="11"/>
      <c r="AH69" s="8">
        <f t="shared" si="34"/>
        <v>37.93</v>
      </c>
      <c r="AI69" s="8">
        <f t="shared" si="35"/>
        <v>5.99</v>
      </c>
      <c r="AJ69" s="8">
        <f t="shared" si="36"/>
        <v>9.74</v>
      </c>
      <c r="AK69" s="8"/>
      <c r="AL69" s="8"/>
      <c r="AM69" s="8">
        <f t="shared" si="37"/>
        <v>0</v>
      </c>
      <c r="AN69" s="8">
        <f t="shared" si="38"/>
        <v>53.99</v>
      </c>
    </row>
    <row r="70" spans="1:40" ht="48" customHeight="1" x14ac:dyDescent="0.2">
      <c r="A70" s="8" t="str">
        <f>Elettricità!I70</f>
        <v>IT001E04170953</v>
      </c>
      <c r="B70" s="8" t="str">
        <f>Elettricità!A70</f>
        <v>005076347781.PDF</v>
      </c>
      <c r="C70" s="9">
        <f>Elettricità!E70</f>
        <v>45571</v>
      </c>
      <c r="D70" s="9">
        <f>Elettricità!K70</f>
        <v>45536</v>
      </c>
      <c r="E70" s="9">
        <f>Elettricità!L70</f>
        <v>45565</v>
      </c>
      <c r="F70" s="8">
        <f>Elettricità!M70</f>
        <v>42</v>
      </c>
      <c r="G70" s="8">
        <f>Elettricità!N70</f>
        <v>14</v>
      </c>
      <c r="H70" s="8">
        <f>Elettricità!O70</f>
        <v>15</v>
      </c>
      <c r="I70" s="8">
        <f>Elettricità!P70</f>
        <v>13</v>
      </c>
      <c r="J70" s="8">
        <f>Elettricità!Q70</f>
        <v>4</v>
      </c>
      <c r="K70" s="8">
        <f>Elettricità!R70</f>
        <v>1</v>
      </c>
      <c r="L70" s="8">
        <f>Elettricità!S70</f>
        <v>1</v>
      </c>
      <c r="M70" s="8">
        <f>Elettricità!T70</f>
        <v>2</v>
      </c>
      <c r="N70" s="8">
        <f>Elettricità!W70</f>
        <v>44.92</v>
      </c>
      <c r="O70" s="8">
        <f>Elettricità!X70</f>
        <v>54.8</v>
      </c>
      <c r="P70" s="8">
        <f>Elettricità!Y70</f>
        <v>0</v>
      </c>
      <c r="Q70" s="8">
        <f>Elettricità!Z70</f>
        <v>6.22</v>
      </c>
      <c r="R70" s="8">
        <f>Elettricità!AA70</f>
        <v>19.36</v>
      </c>
      <c r="S70" s="8">
        <f>Elettricità!AB70</f>
        <v>18.809999999999999</v>
      </c>
      <c r="T70" s="8">
        <f>Elettricità!AC70</f>
        <v>0</v>
      </c>
      <c r="U70" s="8">
        <f>Elettricità!AD70</f>
        <v>9.8800000000000008</v>
      </c>
      <c r="V70" s="8">
        <f t="shared" si="26"/>
        <v>2024</v>
      </c>
      <c r="W70" s="8">
        <f>_xlfn.XLOOKUP(A70,Fabbricati!E:E,Fabbricati!D:D)</f>
        <v>382443721</v>
      </c>
      <c r="X70" s="9">
        <f t="shared" si="27"/>
        <v>45571</v>
      </c>
      <c r="Y70" s="9">
        <f t="shared" si="28"/>
        <v>45536</v>
      </c>
      <c r="Z70" s="9">
        <f t="shared" si="29"/>
        <v>45565</v>
      </c>
      <c r="AA70" s="8">
        <f t="shared" si="30"/>
        <v>30</v>
      </c>
      <c r="AB70" s="8">
        <f t="shared" si="31"/>
        <v>42</v>
      </c>
      <c r="AC70" s="12" t="s">
        <v>149</v>
      </c>
      <c r="AD70" s="11" t="str">
        <f t="shared" si="32"/>
        <v>14
15
13</v>
      </c>
      <c r="AE70" s="11" t="str">
        <f t="shared" si="33"/>
        <v>1
1
2</v>
      </c>
      <c r="AF70" s="11"/>
      <c r="AG70" s="11"/>
      <c r="AH70" s="8">
        <f t="shared" si="34"/>
        <v>38.17</v>
      </c>
      <c r="AI70" s="8">
        <f t="shared" si="35"/>
        <v>6.22</v>
      </c>
      <c r="AJ70" s="8">
        <f t="shared" si="36"/>
        <v>9.8800000000000008</v>
      </c>
      <c r="AK70" s="8"/>
      <c r="AL70" s="8"/>
      <c r="AM70" s="8">
        <f t="shared" si="37"/>
        <v>0</v>
      </c>
      <c r="AN70" s="8">
        <f t="shared" si="38"/>
        <v>54.8</v>
      </c>
    </row>
    <row r="71" spans="1:40" ht="48" customHeight="1" x14ac:dyDescent="0.2">
      <c r="A71" s="8" t="str">
        <f>Elettricità!I71</f>
        <v>IT001E04170953</v>
      </c>
      <c r="B71" s="8" t="str">
        <f>Elettricità!A71</f>
        <v>005085485037.PDF</v>
      </c>
      <c r="C71" s="9">
        <f>Elettricità!E71</f>
        <v>45604</v>
      </c>
      <c r="D71" s="9">
        <f>Elettricità!K71</f>
        <v>45566</v>
      </c>
      <c r="E71" s="9">
        <f>Elettricità!L71</f>
        <v>45596</v>
      </c>
      <c r="F71" s="8">
        <f>Elettricità!M71</f>
        <v>135</v>
      </c>
      <c r="G71" s="8">
        <f>Elettricità!N71</f>
        <v>54</v>
      </c>
      <c r="H71" s="8">
        <f>Elettricità!O71</f>
        <v>39</v>
      </c>
      <c r="I71" s="8">
        <f>Elettricità!P71</f>
        <v>42</v>
      </c>
      <c r="J71" s="8">
        <f>Elettricità!Q71</f>
        <v>0</v>
      </c>
      <c r="K71" s="8">
        <f>Elettricità!R71</f>
        <v>0</v>
      </c>
      <c r="L71" s="8">
        <f>Elettricità!S71</f>
        <v>0</v>
      </c>
      <c r="M71" s="8">
        <f>Elettricità!T71</f>
        <v>0</v>
      </c>
      <c r="N71" s="8">
        <f>Elettricità!W71</f>
        <v>65.61</v>
      </c>
      <c r="O71" s="8">
        <f>Elettricità!X71</f>
        <v>80.040000000000006</v>
      </c>
      <c r="P71" s="8">
        <f>Elettricità!Y71</f>
        <v>0</v>
      </c>
      <c r="Q71" s="8">
        <f>Elettricità!Z71</f>
        <v>20.07</v>
      </c>
      <c r="R71" s="8">
        <f>Elettricità!AA71</f>
        <v>20.55</v>
      </c>
      <c r="S71" s="8">
        <f>Elettricità!AB71</f>
        <v>23.3</v>
      </c>
      <c r="T71" s="8">
        <f>Elettricità!AC71</f>
        <v>0</v>
      </c>
      <c r="U71" s="8">
        <f>Elettricità!AD71</f>
        <v>14.43</v>
      </c>
      <c r="V71" s="8">
        <f t="shared" si="26"/>
        <v>2024</v>
      </c>
      <c r="W71" s="8">
        <f>_xlfn.XLOOKUP(A71,Fabbricati!E:E,Fabbricati!D:D)</f>
        <v>382443721</v>
      </c>
      <c r="X71" s="9">
        <f t="shared" si="27"/>
        <v>45604</v>
      </c>
      <c r="Y71" s="9">
        <f t="shared" si="28"/>
        <v>45566</v>
      </c>
      <c r="Z71" s="9">
        <f t="shared" si="29"/>
        <v>45596</v>
      </c>
      <c r="AA71" s="8">
        <f t="shared" si="30"/>
        <v>31</v>
      </c>
      <c r="AB71" s="8">
        <f t="shared" si="31"/>
        <v>135</v>
      </c>
      <c r="AC71" s="12" t="s">
        <v>149</v>
      </c>
      <c r="AD71" s="11" t="str">
        <f t="shared" si="32"/>
        <v>54
39
42</v>
      </c>
      <c r="AE71" s="11" t="str">
        <f t="shared" si="33"/>
        <v>0
0
0</v>
      </c>
      <c r="AF71" s="11"/>
      <c r="AG71" s="11"/>
      <c r="AH71" s="8">
        <f t="shared" si="34"/>
        <v>43.85</v>
      </c>
      <c r="AI71" s="8">
        <f t="shared" si="35"/>
        <v>20.07</v>
      </c>
      <c r="AJ71" s="8">
        <f t="shared" si="36"/>
        <v>14.43</v>
      </c>
      <c r="AK71" s="8"/>
      <c r="AL71" s="8"/>
      <c r="AM71" s="8">
        <f t="shared" si="37"/>
        <v>0</v>
      </c>
      <c r="AN71" s="8">
        <f t="shared" si="38"/>
        <v>80.040000000000006</v>
      </c>
    </row>
    <row r="72" spans="1:40" ht="48" customHeight="1" x14ac:dyDescent="0.2">
      <c r="A72" s="8" t="str">
        <f>Elettricità!I72</f>
        <v>IT001E04170953</v>
      </c>
      <c r="B72" s="8" t="str">
        <f>Elettricità!A72</f>
        <v>005093369271.PDF</v>
      </c>
      <c r="C72" s="9">
        <f>Elettricità!E72</f>
        <v>45632</v>
      </c>
      <c r="D72" s="9">
        <f>Elettricità!K72</f>
        <v>45597</v>
      </c>
      <c r="E72" s="9">
        <f>Elettricità!L72</f>
        <v>45626</v>
      </c>
      <c r="F72" s="8">
        <f>Elettricità!M72</f>
        <v>222</v>
      </c>
      <c r="G72" s="8">
        <f>Elettricità!N72</f>
        <v>91</v>
      </c>
      <c r="H72" s="8">
        <f>Elettricità!O72</f>
        <v>63</v>
      </c>
      <c r="I72" s="8">
        <f>Elettricità!P72</f>
        <v>68</v>
      </c>
      <c r="J72" s="8">
        <f>Elettricità!Q72</f>
        <v>11</v>
      </c>
      <c r="K72" s="8">
        <f>Elettricità!R72</f>
        <v>6</v>
      </c>
      <c r="L72" s="8">
        <f>Elettricità!S72</f>
        <v>3</v>
      </c>
      <c r="M72" s="8">
        <f>Elettricità!T72</f>
        <v>2</v>
      </c>
      <c r="N72" s="8">
        <f>Elettricità!W72</f>
        <v>88.85</v>
      </c>
      <c r="O72" s="8">
        <f>Elettricità!X72</f>
        <v>108.4</v>
      </c>
      <c r="P72" s="8">
        <f>Elettricità!Y72</f>
        <v>0</v>
      </c>
      <c r="Q72" s="8">
        <f>Elettricità!Z72</f>
        <v>36.909999999999997</v>
      </c>
      <c r="R72" s="8">
        <f>Elettricità!AA72</f>
        <v>21.67</v>
      </c>
      <c r="S72" s="8">
        <f>Elettricità!AB72</f>
        <v>27.49</v>
      </c>
      <c r="T72" s="8">
        <f>Elettricità!AC72</f>
        <v>0</v>
      </c>
      <c r="U72" s="8">
        <f>Elettricità!AD72</f>
        <v>19.55</v>
      </c>
      <c r="V72" s="8">
        <f t="shared" si="26"/>
        <v>2024</v>
      </c>
      <c r="W72" s="8">
        <f>_xlfn.XLOOKUP(A72,Fabbricati!E:E,Fabbricati!D:D)</f>
        <v>382443721</v>
      </c>
      <c r="X72" s="9">
        <f t="shared" si="27"/>
        <v>45632</v>
      </c>
      <c r="Y72" s="9">
        <f t="shared" si="28"/>
        <v>45597</v>
      </c>
      <c r="Z72" s="9">
        <f t="shared" si="29"/>
        <v>45626</v>
      </c>
      <c r="AA72" s="8">
        <f t="shared" si="30"/>
        <v>30</v>
      </c>
      <c r="AB72" s="8">
        <f t="shared" si="31"/>
        <v>222</v>
      </c>
      <c r="AC72" s="12" t="s">
        <v>149</v>
      </c>
      <c r="AD72" s="11" t="str">
        <f t="shared" si="32"/>
        <v>91
63
68</v>
      </c>
      <c r="AE72" s="11" t="str">
        <f t="shared" si="33"/>
        <v>6
3
2</v>
      </c>
      <c r="AF72" s="11"/>
      <c r="AG72" s="11"/>
      <c r="AH72" s="8">
        <f t="shared" si="34"/>
        <v>49.16</v>
      </c>
      <c r="AI72" s="8">
        <f t="shared" si="35"/>
        <v>36.909999999999997</v>
      </c>
      <c r="AJ72" s="8">
        <f t="shared" si="36"/>
        <v>19.55</v>
      </c>
      <c r="AK72" s="8"/>
      <c r="AL72" s="8"/>
      <c r="AM72" s="8">
        <f t="shared" si="37"/>
        <v>0</v>
      </c>
      <c r="AN72" s="8">
        <f t="shared" si="38"/>
        <v>108.4</v>
      </c>
    </row>
    <row r="73" spans="1:40" ht="48" customHeight="1" x14ac:dyDescent="0.2">
      <c r="A73" s="8" t="str">
        <f>Elettricità!I73</f>
        <v>IT001E04170953</v>
      </c>
      <c r="B73" s="8" t="str">
        <f>Elettricità!A73</f>
        <v>005200218684.PDF</v>
      </c>
      <c r="C73" s="9">
        <f>Elettricità!E73</f>
        <v>45665</v>
      </c>
      <c r="D73" s="9">
        <f>Elettricità!K73</f>
        <v>45627</v>
      </c>
      <c r="E73" s="9">
        <f>Elettricità!L73</f>
        <v>45657</v>
      </c>
      <c r="F73" s="8">
        <f>Elettricità!M73</f>
        <v>210</v>
      </c>
      <c r="G73" s="8">
        <f>Elettricità!N73</f>
        <v>88</v>
      </c>
      <c r="H73" s="8">
        <f>Elettricità!O73</f>
        <v>60</v>
      </c>
      <c r="I73" s="8">
        <f>Elettricità!P73</f>
        <v>62</v>
      </c>
      <c r="J73" s="8">
        <f>Elettricità!Q73</f>
        <v>23</v>
      </c>
      <c r="K73" s="8">
        <f>Elettricità!R73</f>
        <v>13</v>
      </c>
      <c r="L73" s="8">
        <f>Elettricità!S73</f>
        <v>6</v>
      </c>
      <c r="M73" s="8">
        <f>Elettricità!T73</f>
        <v>4</v>
      </c>
      <c r="N73" s="8">
        <f>Elettricità!W73</f>
        <v>88.88</v>
      </c>
      <c r="O73" s="8">
        <f>Elettricità!X73</f>
        <v>108.43</v>
      </c>
      <c r="P73" s="8">
        <f>Elettricità!Y73</f>
        <v>0</v>
      </c>
      <c r="Q73" s="8">
        <f>Elettricità!Z73</f>
        <v>37.82</v>
      </c>
      <c r="R73" s="8">
        <f>Elettricità!AA73</f>
        <v>21.52</v>
      </c>
      <c r="S73" s="8">
        <f>Elettricità!AB73</f>
        <v>26.91</v>
      </c>
      <c r="T73" s="8">
        <f>Elettricità!AC73</f>
        <v>0</v>
      </c>
      <c r="U73" s="8">
        <f>Elettricità!AD73</f>
        <v>19.55</v>
      </c>
      <c r="V73" s="8">
        <f t="shared" si="26"/>
        <v>2024</v>
      </c>
      <c r="W73" s="8">
        <f>_xlfn.XLOOKUP(A73,Fabbricati!E:E,Fabbricati!D:D)</f>
        <v>382443721</v>
      </c>
      <c r="X73" s="9">
        <f t="shared" si="27"/>
        <v>45665</v>
      </c>
      <c r="Y73" s="9">
        <f t="shared" si="28"/>
        <v>45627</v>
      </c>
      <c r="Z73" s="9">
        <f t="shared" si="29"/>
        <v>45657</v>
      </c>
      <c r="AA73" s="8">
        <f t="shared" si="30"/>
        <v>31</v>
      </c>
      <c r="AB73" s="8">
        <f t="shared" si="31"/>
        <v>210</v>
      </c>
      <c r="AC73" s="12" t="s">
        <v>149</v>
      </c>
      <c r="AD73" s="11" t="str">
        <f t="shared" si="32"/>
        <v>88
60
62</v>
      </c>
      <c r="AE73" s="11" t="str">
        <f t="shared" si="33"/>
        <v>13
6
4</v>
      </c>
      <c r="AF73" s="11"/>
      <c r="AG73" s="11"/>
      <c r="AH73" s="8">
        <f t="shared" si="34"/>
        <v>48.43</v>
      </c>
      <c r="AI73" s="8">
        <f t="shared" si="35"/>
        <v>37.82</v>
      </c>
      <c r="AJ73" s="8">
        <f t="shared" si="36"/>
        <v>19.55</v>
      </c>
      <c r="AK73" s="8"/>
      <c r="AL73" s="8"/>
      <c r="AM73" s="8">
        <f t="shared" si="37"/>
        <v>0</v>
      </c>
      <c r="AN73" s="8">
        <f t="shared" si="38"/>
        <v>108.43</v>
      </c>
    </row>
    <row r="74" spans="1:40" ht="48" customHeight="1" x14ac:dyDescent="0.2">
      <c r="A74" s="8" t="str">
        <f>Elettricità!I74</f>
        <v>IT001E04170957</v>
      </c>
      <c r="B74" s="8" t="str">
        <f>Elettricità!A74</f>
        <v>824500054079_2024_D.PDF</v>
      </c>
      <c r="C74" s="9">
        <f>Elettricità!E74</f>
        <v>45365</v>
      </c>
      <c r="D74" s="9">
        <f>Elettricità!K74</f>
        <v>45292</v>
      </c>
      <c r="E74" s="9">
        <f>Elettricità!L74</f>
        <v>45322</v>
      </c>
      <c r="F74" s="8">
        <f>Elettricità!M74</f>
        <v>3053</v>
      </c>
      <c r="G74" s="8">
        <f>Elettricità!N74</f>
        <v>1246</v>
      </c>
      <c r="H74" s="8">
        <f>Elettricità!O74</f>
        <v>686</v>
      </c>
      <c r="I74" s="8">
        <f>Elettricità!P74</f>
        <v>1121</v>
      </c>
      <c r="J74" s="8">
        <f>Elettricità!Q74</f>
        <v>524</v>
      </c>
      <c r="K74" s="8">
        <f>Elettricità!R74</f>
        <v>167</v>
      </c>
      <c r="L74" s="8">
        <f>Elettricità!S74</f>
        <v>158</v>
      </c>
      <c r="M74" s="8">
        <f>Elettricità!T74</f>
        <v>199</v>
      </c>
      <c r="N74" s="8">
        <f>Elettricità!W74</f>
        <v>778.71</v>
      </c>
      <c r="O74" s="8">
        <f>Elettricità!X74</f>
        <v>950.03</v>
      </c>
      <c r="P74" s="8">
        <f>Elettricità!Y74</f>
        <v>0</v>
      </c>
      <c r="Q74" s="8">
        <f>Elettricità!Z74</f>
        <v>481.33</v>
      </c>
      <c r="R74" s="8">
        <f>Elettricità!AA74</f>
        <v>84.6</v>
      </c>
      <c r="S74" s="8">
        <f>Elettricità!AB74</f>
        <v>159.35</v>
      </c>
      <c r="T74" s="8">
        <f>Elettricità!AC74</f>
        <v>15.27</v>
      </c>
      <c r="U74" s="8">
        <f>Elettricità!AD74</f>
        <v>38.159999999999997</v>
      </c>
      <c r="V74" s="8">
        <f t="shared" si="26"/>
        <v>2024</v>
      </c>
      <c r="W74" s="8">
        <f>_xlfn.XLOOKUP(A74,Fabbricati!E:E,Fabbricati!D:D)</f>
        <v>382905555</v>
      </c>
      <c r="X74" s="9">
        <f t="shared" si="27"/>
        <v>45365</v>
      </c>
      <c r="Y74" s="9">
        <f t="shared" si="28"/>
        <v>45292</v>
      </c>
      <c r="Z74" s="9">
        <f t="shared" si="29"/>
        <v>45322</v>
      </c>
      <c r="AA74" s="8">
        <f t="shared" si="30"/>
        <v>31</v>
      </c>
      <c r="AB74" s="8">
        <f t="shared" si="31"/>
        <v>3053</v>
      </c>
      <c r="AC74" s="12" t="s">
        <v>149</v>
      </c>
      <c r="AD74" s="11" t="str">
        <f t="shared" si="32"/>
        <v>1246
686
1121</v>
      </c>
      <c r="AE74" s="11" t="str">
        <f t="shared" si="33"/>
        <v>167
158
199</v>
      </c>
      <c r="AF74" s="11"/>
      <c r="AG74" s="11"/>
      <c r="AH74" s="8">
        <f t="shared" si="34"/>
        <v>243.95</v>
      </c>
      <c r="AI74" s="8">
        <f t="shared" si="35"/>
        <v>481.33</v>
      </c>
      <c r="AJ74" s="8">
        <f t="shared" si="36"/>
        <v>38.159999999999997</v>
      </c>
      <c r="AK74" s="8"/>
      <c r="AL74" s="8"/>
      <c r="AM74" s="8">
        <f t="shared" si="37"/>
        <v>15.27</v>
      </c>
      <c r="AN74" s="8">
        <f t="shared" si="38"/>
        <v>950.03</v>
      </c>
    </row>
    <row r="75" spans="1:40" ht="48" customHeight="1" x14ac:dyDescent="0.2">
      <c r="A75" s="8" t="str">
        <f>Elettricità!I75</f>
        <v>IT001E04170957</v>
      </c>
      <c r="B75" s="8" t="str">
        <f>Elettricità!A75</f>
        <v>005018359666.pdf</v>
      </c>
      <c r="C75" s="9">
        <f>Elettricità!E75</f>
        <v>45358</v>
      </c>
      <c r="D75" s="9">
        <f>Elettricità!K75</f>
        <v>45323</v>
      </c>
      <c r="E75" s="9">
        <f>Elettricità!L75</f>
        <v>45351</v>
      </c>
      <c r="F75" s="8">
        <f>Elettricità!M75</f>
        <v>3334</v>
      </c>
      <c r="G75" s="8">
        <f>Elettricità!N75</f>
        <v>1276</v>
      </c>
      <c r="H75" s="8">
        <f>Elettricità!O75</f>
        <v>989</v>
      </c>
      <c r="I75" s="8">
        <f>Elettricità!P75</f>
        <v>1069</v>
      </c>
      <c r="J75" s="8">
        <f>Elettricità!Q75</f>
        <v>751</v>
      </c>
      <c r="K75" s="8">
        <f>Elettricità!R75</f>
        <v>240</v>
      </c>
      <c r="L75" s="8">
        <f>Elettricità!S75</f>
        <v>319</v>
      </c>
      <c r="M75" s="8">
        <f>Elettricità!T75</f>
        <v>192</v>
      </c>
      <c r="N75" s="8">
        <f>Elettricità!W75</f>
        <v>710.61</v>
      </c>
      <c r="O75" s="8">
        <f>Elettricità!X75</f>
        <v>866.94</v>
      </c>
      <c r="P75" s="8">
        <f>Elettricità!Y75</f>
        <v>0</v>
      </c>
      <c r="Q75" s="8">
        <f>Elettricità!Z75</f>
        <v>404.84</v>
      </c>
      <c r="R75" s="8">
        <f>Elettricità!AA75</f>
        <v>91.07</v>
      </c>
      <c r="S75" s="8">
        <f>Elettricità!AB75</f>
        <v>173.02</v>
      </c>
      <c r="T75" s="8">
        <f>Elettricità!AC75</f>
        <v>0</v>
      </c>
      <c r="U75" s="8">
        <f>Elettricità!AD75</f>
        <v>156.33000000000001</v>
      </c>
      <c r="V75" s="8">
        <f t="shared" si="26"/>
        <v>2024</v>
      </c>
      <c r="W75" s="8">
        <f>_xlfn.XLOOKUP(A75,Fabbricati!E:E,Fabbricati!D:D)</f>
        <v>382905555</v>
      </c>
      <c r="X75" s="9">
        <f t="shared" si="27"/>
        <v>45358</v>
      </c>
      <c r="Y75" s="9">
        <f t="shared" si="28"/>
        <v>45323</v>
      </c>
      <c r="Z75" s="9">
        <f t="shared" si="29"/>
        <v>45351</v>
      </c>
      <c r="AA75" s="8">
        <f t="shared" si="30"/>
        <v>29</v>
      </c>
      <c r="AB75" s="8">
        <f t="shared" si="31"/>
        <v>3334</v>
      </c>
      <c r="AC75" s="12" t="s">
        <v>149</v>
      </c>
      <c r="AD75" s="11" t="str">
        <f t="shared" si="32"/>
        <v>1276
989
1069</v>
      </c>
      <c r="AE75" s="11" t="str">
        <f t="shared" si="33"/>
        <v>240
319
192</v>
      </c>
      <c r="AF75" s="11"/>
      <c r="AG75" s="11"/>
      <c r="AH75" s="8">
        <f t="shared" si="34"/>
        <v>264.09000000000003</v>
      </c>
      <c r="AI75" s="8">
        <f t="shared" si="35"/>
        <v>404.84</v>
      </c>
      <c r="AJ75" s="8">
        <f t="shared" si="36"/>
        <v>156.33000000000001</v>
      </c>
      <c r="AK75" s="8"/>
      <c r="AL75" s="8"/>
      <c r="AM75" s="8">
        <f t="shared" si="37"/>
        <v>0</v>
      </c>
      <c r="AN75" s="8">
        <f t="shared" si="38"/>
        <v>866.94</v>
      </c>
    </row>
    <row r="76" spans="1:40" ht="48" customHeight="1" x14ac:dyDescent="0.2">
      <c r="A76" s="8" t="str">
        <f>Elettricità!I76</f>
        <v>IT001E04170957</v>
      </c>
      <c r="B76" s="8" t="str">
        <f>Elettricità!A76</f>
        <v>005026659954.pdf</v>
      </c>
      <c r="C76" s="9">
        <f>Elettricità!E76</f>
        <v>45390</v>
      </c>
      <c r="D76" s="9">
        <f>Elettricità!K76</f>
        <v>45352</v>
      </c>
      <c r="E76" s="9">
        <f>Elettricità!L76</f>
        <v>45382</v>
      </c>
      <c r="F76" s="8">
        <f>Elettricità!M76</f>
        <v>2410</v>
      </c>
      <c r="G76" s="8">
        <f>Elettricità!N76</f>
        <v>833</v>
      </c>
      <c r="H76" s="8">
        <f>Elettricità!O76</f>
        <v>767</v>
      </c>
      <c r="I76" s="8">
        <f>Elettricità!P76</f>
        <v>810</v>
      </c>
      <c r="J76" s="8">
        <f>Elettricità!Q76</f>
        <v>144</v>
      </c>
      <c r="K76" s="8">
        <f>Elettricità!R76</f>
        <v>2</v>
      </c>
      <c r="L76" s="8">
        <f>Elettricità!S76</f>
        <v>141</v>
      </c>
      <c r="M76" s="8">
        <f>Elettricità!T76</f>
        <v>1</v>
      </c>
      <c r="N76" s="8">
        <f>Elettricità!W76</f>
        <v>532.53</v>
      </c>
      <c r="O76" s="8">
        <f>Elettricità!X76</f>
        <v>649.69000000000005</v>
      </c>
      <c r="P76" s="8">
        <f>Elettricità!Y76</f>
        <v>0</v>
      </c>
      <c r="Q76" s="8">
        <f>Elettricità!Z76</f>
        <v>282.8</v>
      </c>
      <c r="R76" s="8">
        <f>Elettricità!AA76</f>
        <v>82.1</v>
      </c>
      <c r="S76" s="8">
        <f>Elettricità!AB76</f>
        <v>137.5</v>
      </c>
      <c r="T76" s="8">
        <f>Elettricità!AC76</f>
        <v>0</v>
      </c>
      <c r="U76" s="8">
        <f>Elettricità!AD76</f>
        <v>117.16</v>
      </c>
      <c r="V76" s="8">
        <f t="shared" si="26"/>
        <v>2024</v>
      </c>
      <c r="W76" s="8">
        <f>_xlfn.XLOOKUP(A76,Fabbricati!E:E,Fabbricati!D:D)</f>
        <v>382905555</v>
      </c>
      <c r="X76" s="9">
        <f t="shared" si="27"/>
        <v>45390</v>
      </c>
      <c r="Y76" s="9">
        <f t="shared" si="28"/>
        <v>45352</v>
      </c>
      <c r="Z76" s="9">
        <f t="shared" si="29"/>
        <v>45382</v>
      </c>
      <c r="AA76" s="8">
        <f t="shared" si="30"/>
        <v>31</v>
      </c>
      <c r="AB76" s="8">
        <f t="shared" si="31"/>
        <v>2410</v>
      </c>
      <c r="AC76" s="12" t="s">
        <v>149</v>
      </c>
      <c r="AD76" s="11" t="str">
        <f t="shared" si="32"/>
        <v>833
767
810</v>
      </c>
      <c r="AE76" s="11" t="str">
        <f t="shared" si="33"/>
        <v>2
141
1</v>
      </c>
      <c r="AF76" s="11"/>
      <c r="AG76" s="11"/>
      <c r="AH76" s="8">
        <f t="shared" si="34"/>
        <v>219.6</v>
      </c>
      <c r="AI76" s="8">
        <f t="shared" si="35"/>
        <v>282.8</v>
      </c>
      <c r="AJ76" s="8">
        <f t="shared" si="36"/>
        <v>117.16</v>
      </c>
      <c r="AK76" s="8"/>
      <c r="AL76" s="8"/>
      <c r="AM76" s="8">
        <f t="shared" si="37"/>
        <v>0</v>
      </c>
      <c r="AN76" s="8">
        <f t="shared" si="38"/>
        <v>649.69000000000005</v>
      </c>
    </row>
    <row r="77" spans="1:40" ht="48" customHeight="1" x14ac:dyDescent="0.2">
      <c r="A77" s="8" t="str">
        <f>Elettricità!I77</f>
        <v>IT001E04170957</v>
      </c>
      <c r="B77" s="8" t="str">
        <f>Elettricità!A77</f>
        <v>005034930221.PDF</v>
      </c>
      <c r="C77" s="9">
        <f>Elettricità!E77</f>
        <v>45419</v>
      </c>
      <c r="D77" s="9">
        <f>Elettricità!K77</f>
        <v>45383</v>
      </c>
      <c r="E77" s="9">
        <f>Elettricità!L77</f>
        <v>45412</v>
      </c>
      <c r="F77" s="8">
        <f>Elettricità!M77</f>
        <v>2296</v>
      </c>
      <c r="G77" s="8">
        <f>Elettricità!N77</f>
        <v>852</v>
      </c>
      <c r="H77" s="8">
        <f>Elettricità!O77</f>
        <v>560</v>
      </c>
      <c r="I77" s="8">
        <f>Elettricità!P77</f>
        <v>884</v>
      </c>
      <c r="J77" s="8">
        <f>Elettricità!Q77</f>
        <v>79</v>
      </c>
      <c r="K77" s="8">
        <f>Elettricità!R77</f>
        <v>2</v>
      </c>
      <c r="L77" s="8">
        <f>Elettricità!S77</f>
        <v>42</v>
      </c>
      <c r="M77" s="8">
        <f>Elettricità!T77</f>
        <v>35</v>
      </c>
      <c r="N77" s="8">
        <f>Elettricità!W77</f>
        <v>494.36</v>
      </c>
      <c r="O77" s="8">
        <f>Elettricità!X77</f>
        <v>603.12</v>
      </c>
      <c r="P77" s="8">
        <f>Elettricità!Y77</f>
        <v>0</v>
      </c>
      <c r="Q77" s="8">
        <f>Elettricità!Z77</f>
        <v>259.02</v>
      </c>
      <c r="R77" s="8">
        <f>Elettricità!AA77</f>
        <v>65.48</v>
      </c>
      <c r="S77" s="8">
        <f>Elettricità!AB77</f>
        <v>141.16</v>
      </c>
      <c r="T77" s="8">
        <f>Elettricità!AC77</f>
        <v>0</v>
      </c>
      <c r="U77" s="8">
        <f>Elettricità!AD77</f>
        <v>108.76</v>
      </c>
      <c r="V77" s="8">
        <f t="shared" si="26"/>
        <v>2024</v>
      </c>
      <c r="W77" s="8">
        <f>_xlfn.XLOOKUP(A77,Fabbricati!E:E,Fabbricati!D:D)</f>
        <v>382905555</v>
      </c>
      <c r="X77" s="9">
        <f t="shared" si="27"/>
        <v>45419</v>
      </c>
      <c r="Y77" s="9">
        <f t="shared" si="28"/>
        <v>45383</v>
      </c>
      <c r="Z77" s="9">
        <f t="shared" si="29"/>
        <v>45412</v>
      </c>
      <c r="AA77" s="8">
        <f t="shared" si="30"/>
        <v>30</v>
      </c>
      <c r="AB77" s="8">
        <f t="shared" si="31"/>
        <v>2296</v>
      </c>
      <c r="AC77" s="12" t="s">
        <v>149</v>
      </c>
      <c r="AD77" s="11" t="str">
        <f t="shared" si="32"/>
        <v>852
560
884</v>
      </c>
      <c r="AE77" s="11" t="str">
        <f t="shared" si="33"/>
        <v>2
42
35</v>
      </c>
      <c r="AF77" s="11"/>
      <c r="AG77" s="11"/>
      <c r="AH77" s="8">
        <f t="shared" si="34"/>
        <v>206.64</v>
      </c>
      <c r="AI77" s="8">
        <f t="shared" si="35"/>
        <v>259.02</v>
      </c>
      <c r="AJ77" s="8">
        <f t="shared" si="36"/>
        <v>108.76</v>
      </c>
      <c r="AK77" s="8"/>
      <c r="AL77" s="8"/>
      <c r="AM77" s="8">
        <f t="shared" si="37"/>
        <v>0</v>
      </c>
      <c r="AN77" s="8">
        <f t="shared" si="38"/>
        <v>603.12</v>
      </c>
    </row>
    <row r="78" spans="1:40" ht="48" customHeight="1" x14ac:dyDescent="0.2">
      <c r="A78" s="8" t="str">
        <f>Elettricità!I78</f>
        <v>IT001E04170957</v>
      </c>
      <c r="B78" s="8" t="str">
        <f>Elettricità!A78</f>
        <v>005043663084.PDF</v>
      </c>
      <c r="C78" s="9">
        <f>Elettricità!E78</f>
        <v>45449</v>
      </c>
      <c r="D78" s="9">
        <f>Elettricità!K78</f>
        <v>45413</v>
      </c>
      <c r="E78" s="9">
        <f>Elettricità!L78</f>
        <v>45443</v>
      </c>
      <c r="F78" s="8">
        <f>Elettricità!M78</f>
        <v>2119</v>
      </c>
      <c r="G78" s="8">
        <f>Elettricità!N78</f>
        <v>876</v>
      </c>
      <c r="H78" s="8">
        <f>Elettricità!O78</f>
        <v>476</v>
      </c>
      <c r="I78" s="8">
        <f>Elettricità!P78</f>
        <v>767</v>
      </c>
      <c r="J78" s="8">
        <f>Elettricità!Q78</f>
        <v>12</v>
      </c>
      <c r="K78" s="8">
        <f>Elettricità!R78</f>
        <v>6</v>
      </c>
      <c r="L78" s="8">
        <f>Elettricità!S78</f>
        <v>3</v>
      </c>
      <c r="M78" s="8">
        <f>Elettricità!T78</f>
        <v>3</v>
      </c>
      <c r="N78" s="8">
        <f>Elettricità!W78</f>
        <v>482.73</v>
      </c>
      <c r="O78" s="8">
        <f>Elettricità!X78</f>
        <v>588.92999999999995</v>
      </c>
      <c r="P78" s="8">
        <f>Elettricità!Y78</f>
        <v>0</v>
      </c>
      <c r="Q78" s="8">
        <f>Elettricità!Z78</f>
        <v>257.66000000000003</v>
      </c>
      <c r="R78" s="8">
        <f>Elettricità!AA78</f>
        <v>67.23</v>
      </c>
      <c r="S78" s="8">
        <f>Elettricità!AB78</f>
        <v>131.35</v>
      </c>
      <c r="T78" s="8">
        <f>Elettricità!AC78</f>
        <v>0</v>
      </c>
      <c r="U78" s="8">
        <f>Elettricità!AD78</f>
        <v>106.2</v>
      </c>
      <c r="V78" s="8">
        <f t="shared" si="26"/>
        <v>2024</v>
      </c>
      <c r="W78" s="8">
        <f>_xlfn.XLOOKUP(A78,Fabbricati!E:E,Fabbricati!D:D)</f>
        <v>382905555</v>
      </c>
      <c r="X78" s="9">
        <f t="shared" si="27"/>
        <v>45449</v>
      </c>
      <c r="Y78" s="9">
        <f t="shared" si="28"/>
        <v>45413</v>
      </c>
      <c r="Z78" s="9">
        <f t="shared" si="29"/>
        <v>45443</v>
      </c>
      <c r="AA78" s="8">
        <f t="shared" si="30"/>
        <v>31</v>
      </c>
      <c r="AB78" s="8">
        <f t="shared" si="31"/>
        <v>2119</v>
      </c>
      <c r="AC78" s="12" t="s">
        <v>149</v>
      </c>
      <c r="AD78" s="11" t="str">
        <f t="shared" si="32"/>
        <v>876
476
767</v>
      </c>
      <c r="AE78" s="11" t="str">
        <f t="shared" si="33"/>
        <v>6
3
3</v>
      </c>
      <c r="AF78" s="11"/>
      <c r="AG78" s="11"/>
      <c r="AH78" s="8">
        <f t="shared" si="34"/>
        <v>198.57999999999998</v>
      </c>
      <c r="AI78" s="8">
        <f t="shared" si="35"/>
        <v>257.66000000000003</v>
      </c>
      <c r="AJ78" s="8">
        <f t="shared" si="36"/>
        <v>106.2</v>
      </c>
      <c r="AK78" s="8"/>
      <c r="AL78" s="8"/>
      <c r="AM78" s="8">
        <f t="shared" si="37"/>
        <v>0</v>
      </c>
      <c r="AN78" s="8">
        <f t="shared" si="38"/>
        <v>588.92999999999995</v>
      </c>
    </row>
    <row r="79" spans="1:40" ht="48" customHeight="1" x14ac:dyDescent="0.2">
      <c r="A79" s="8" t="str">
        <f>Elettricità!I79</f>
        <v>IT001E04170957</v>
      </c>
      <c r="B79" s="8" t="str">
        <f>Elettricità!A79</f>
        <v>005057542598(1).PDF</v>
      </c>
      <c r="C79" s="9">
        <f>Elettricità!E79</f>
        <v>45483</v>
      </c>
      <c r="D79" s="9">
        <f>Elettricità!K79</f>
        <v>45444</v>
      </c>
      <c r="E79" s="9">
        <f>Elettricità!L79</f>
        <v>45473</v>
      </c>
      <c r="F79" s="8">
        <f>Elettricità!M79</f>
        <v>3136</v>
      </c>
      <c r="G79" s="8">
        <f>Elettricità!N79</f>
        <v>1077</v>
      </c>
      <c r="H79" s="8">
        <f>Elettricità!O79</f>
        <v>637</v>
      </c>
      <c r="I79" s="8">
        <f>Elettricità!P79</f>
        <v>1422</v>
      </c>
      <c r="J79" s="8">
        <f>Elettricità!Q79</f>
        <v>492</v>
      </c>
      <c r="K79" s="8">
        <f>Elettricità!R79</f>
        <v>160</v>
      </c>
      <c r="L79" s="8">
        <f>Elettricità!S79</f>
        <v>26</v>
      </c>
      <c r="M79" s="8">
        <f>Elettricità!T79</f>
        <v>306</v>
      </c>
      <c r="N79" s="8">
        <f>Elettricità!W79</f>
        <v>790.39</v>
      </c>
      <c r="O79" s="8">
        <f>Elettricità!X79</f>
        <v>964.28</v>
      </c>
      <c r="P79" s="8">
        <f>Elettricità!Y79</f>
        <v>0</v>
      </c>
      <c r="Q79" s="8">
        <f>Elettricità!Z79</f>
        <v>418.68</v>
      </c>
      <c r="R79" s="8">
        <f>Elettricità!AA79</f>
        <v>117.8</v>
      </c>
      <c r="S79" s="8">
        <f>Elettricità!AB79</f>
        <v>214.71</v>
      </c>
      <c r="T79" s="8">
        <f>Elettricità!AC79</f>
        <v>0</v>
      </c>
      <c r="U79" s="8">
        <f>Elettricità!AD79</f>
        <v>173.89</v>
      </c>
      <c r="V79" s="8">
        <f t="shared" si="26"/>
        <v>2024</v>
      </c>
      <c r="W79" s="8">
        <f>_xlfn.XLOOKUP(A79,Fabbricati!E:E,Fabbricati!D:D)</f>
        <v>382905555</v>
      </c>
      <c r="X79" s="9">
        <f t="shared" si="27"/>
        <v>45483</v>
      </c>
      <c r="Y79" s="9">
        <f t="shared" si="28"/>
        <v>45444</v>
      </c>
      <c r="Z79" s="9">
        <f t="shared" si="29"/>
        <v>45473</v>
      </c>
      <c r="AA79" s="8">
        <f t="shared" si="30"/>
        <v>30</v>
      </c>
      <c r="AB79" s="8">
        <f t="shared" si="31"/>
        <v>3136</v>
      </c>
      <c r="AC79" s="12" t="s">
        <v>149</v>
      </c>
      <c r="AD79" s="11" t="str">
        <f t="shared" si="32"/>
        <v>1077
637
1422</v>
      </c>
      <c r="AE79" s="11" t="str">
        <f t="shared" si="33"/>
        <v>160
26
306</v>
      </c>
      <c r="AF79" s="11"/>
      <c r="AG79" s="11"/>
      <c r="AH79" s="8">
        <f t="shared" si="34"/>
        <v>332.51</v>
      </c>
      <c r="AI79" s="8">
        <f t="shared" si="35"/>
        <v>418.68</v>
      </c>
      <c r="AJ79" s="8">
        <f t="shared" si="36"/>
        <v>173.89</v>
      </c>
      <c r="AK79" s="8"/>
      <c r="AL79" s="8"/>
      <c r="AM79" s="8">
        <f t="shared" si="37"/>
        <v>0</v>
      </c>
      <c r="AN79" s="8">
        <f t="shared" si="38"/>
        <v>964.28</v>
      </c>
    </row>
    <row r="80" spans="1:40" ht="48" customHeight="1" x14ac:dyDescent="0.2">
      <c r="A80" s="8" t="str">
        <f>Elettricità!I80</f>
        <v>IT001E04170957</v>
      </c>
      <c r="B80" s="8" t="str">
        <f>Elettricità!A80</f>
        <v>005059958065.PDF</v>
      </c>
      <c r="C80" s="9">
        <f>Elettricità!E80</f>
        <v>45511</v>
      </c>
      <c r="D80" s="9">
        <f>Elettricità!K80</f>
        <v>45474</v>
      </c>
      <c r="E80" s="9">
        <f>Elettricità!L80</f>
        <v>45504</v>
      </c>
      <c r="F80" s="8">
        <f>Elettricità!M80</f>
        <v>8127</v>
      </c>
      <c r="G80" s="8">
        <f>Elettricità!N80</f>
        <v>3186</v>
      </c>
      <c r="H80" s="8">
        <f>Elettricità!O80</f>
        <v>1693</v>
      </c>
      <c r="I80" s="8">
        <f>Elettricità!P80</f>
        <v>3248</v>
      </c>
      <c r="J80" s="8">
        <f>Elettricità!Q80</f>
        <v>3931</v>
      </c>
      <c r="K80" s="8">
        <f>Elettricità!R80</f>
        <v>1581</v>
      </c>
      <c r="L80" s="8">
        <f>Elettricità!S80</f>
        <v>760</v>
      </c>
      <c r="M80" s="8">
        <f>Elettricità!T80</f>
        <v>1590</v>
      </c>
      <c r="N80" s="8">
        <f>Elettricità!W80</f>
        <v>2122.79</v>
      </c>
      <c r="O80" s="8">
        <f>Elettricità!X80</f>
        <v>2589.8000000000002</v>
      </c>
      <c r="P80" s="8">
        <f>Elettricità!Y80</f>
        <v>0</v>
      </c>
      <c r="Q80" s="8">
        <f>Elettricità!Z80</f>
        <v>1235.48</v>
      </c>
      <c r="R80" s="8">
        <f>Elettricità!AA80</f>
        <v>265.35000000000002</v>
      </c>
      <c r="S80" s="8">
        <f>Elettricità!AB80</f>
        <v>520.37</v>
      </c>
      <c r="T80" s="8">
        <f>Elettricità!AC80</f>
        <v>0</v>
      </c>
      <c r="U80" s="8">
        <f>Elettricità!AD80</f>
        <v>467.01</v>
      </c>
      <c r="V80" s="8">
        <f t="shared" si="26"/>
        <v>2024</v>
      </c>
      <c r="W80" s="8">
        <f>_xlfn.XLOOKUP(A80,Fabbricati!E:E,Fabbricati!D:D)</f>
        <v>382905555</v>
      </c>
      <c r="X80" s="9">
        <f t="shared" si="27"/>
        <v>45511</v>
      </c>
      <c r="Y80" s="9">
        <f t="shared" si="28"/>
        <v>45474</v>
      </c>
      <c r="Z80" s="9">
        <f t="shared" si="29"/>
        <v>45504</v>
      </c>
      <c r="AA80" s="8">
        <f t="shared" si="30"/>
        <v>31</v>
      </c>
      <c r="AB80" s="8">
        <f t="shared" si="31"/>
        <v>8127</v>
      </c>
      <c r="AC80" s="12" t="s">
        <v>149</v>
      </c>
      <c r="AD80" s="11" t="str">
        <f t="shared" si="32"/>
        <v>3186
1693
3248</v>
      </c>
      <c r="AE80" s="11" t="str">
        <f t="shared" si="33"/>
        <v>1581
760
1590</v>
      </c>
      <c r="AF80" s="11"/>
      <c r="AG80" s="11"/>
      <c r="AH80" s="8">
        <f t="shared" si="34"/>
        <v>785.72</v>
      </c>
      <c r="AI80" s="8">
        <f t="shared" si="35"/>
        <v>1235.48</v>
      </c>
      <c r="AJ80" s="8">
        <f t="shared" si="36"/>
        <v>467.01</v>
      </c>
      <c r="AK80" s="8"/>
      <c r="AL80" s="8"/>
      <c r="AM80" s="8">
        <f t="shared" si="37"/>
        <v>0</v>
      </c>
      <c r="AN80" s="8">
        <f t="shared" si="38"/>
        <v>2589.8000000000002</v>
      </c>
    </row>
    <row r="81" spans="1:40" ht="48" customHeight="1" x14ac:dyDescent="0.2">
      <c r="A81" s="8" t="str">
        <f>Elettricità!I81</f>
        <v>IT001E04170957</v>
      </c>
      <c r="B81" s="8" t="str">
        <f>Elettricità!A81</f>
        <v>005068189119.PDF</v>
      </c>
      <c r="C81" s="9">
        <f>Elettricità!E81</f>
        <v>45542</v>
      </c>
      <c r="D81" s="9">
        <f>Elettricità!K81</f>
        <v>45505</v>
      </c>
      <c r="E81" s="9">
        <f>Elettricità!L81</f>
        <v>45535</v>
      </c>
      <c r="F81" s="8">
        <f>Elettricità!M81</f>
        <v>4830</v>
      </c>
      <c r="G81" s="8">
        <f>Elettricità!N81</f>
        <v>1664</v>
      </c>
      <c r="H81" s="8">
        <f>Elettricità!O81</f>
        <v>673</v>
      </c>
      <c r="I81" s="8">
        <f>Elettricità!P81</f>
        <v>2493</v>
      </c>
      <c r="J81" s="8">
        <f>Elettricità!Q81</f>
        <v>1768</v>
      </c>
      <c r="K81" s="8">
        <f>Elettricità!R81</f>
        <v>573</v>
      </c>
      <c r="L81" s="8">
        <f>Elettricità!S81</f>
        <v>100</v>
      </c>
      <c r="M81" s="8">
        <f>Elettricità!T81</f>
        <v>1095</v>
      </c>
      <c r="N81" s="8">
        <f>Elettricità!W81</f>
        <v>1241.7</v>
      </c>
      <c r="O81" s="8">
        <f>Elettricità!X81</f>
        <v>1514.87</v>
      </c>
      <c r="P81" s="8">
        <f>Elettricità!Y81</f>
        <v>0</v>
      </c>
      <c r="Q81" s="8">
        <f>Elettricità!Z81</f>
        <v>748.27</v>
      </c>
      <c r="R81" s="8">
        <f>Elettricità!AA81</f>
        <v>138.28</v>
      </c>
      <c r="S81" s="8">
        <f>Elettricità!AB81</f>
        <v>294.77</v>
      </c>
      <c r="T81" s="8">
        <f>Elettricità!AC81</f>
        <v>0</v>
      </c>
      <c r="U81" s="8">
        <f>Elettricità!AD81</f>
        <v>273.17</v>
      </c>
      <c r="V81" s="8">
        <f t="shared" si="26"/>
        <v>2024</v>
      </c>
      <c r="W81" s="8">
        <f>_xlfn.XLOOKUP(A81,Fabbricati!E:E,Fabbricati!D:D)</f>
        <v>382905555</v>
      </c>
      <c r="X81" s="9">
        <f t="shared" si="27"/>
        <v>45542</v>
      </c>
      <c r="Y81" s="9">
        <f t="shared" si="28"/>
        <v>45505</v>
      </c>
      <c r="Z81" s="9">
        <f t="shared" si="29"/>
        <v>45535</v>
      </c>
      <c r="AA81" s="8">
        <f t="shared" si="30"/>
        <v>31</v>
      </c>
      <c r="AB81" s="8">
        <f t="shared" si="31"/>
        <v>4830</v>
      </c>
      <c r="AC81" s="12" t="s">
        <v>149</v>
      </c>
      <c r="AD81" s="11" t="str">
        <f t="shared" si="32"/>
        <v>1664
673
2493</v>
      </c>
      <c r="AE81" s="11" t="str">
        <f t="shared" si="33"/>
        <v>573
100
1095</v>
      </c>
      <c r="AF81" s="11"/>
      <c r="AG81" s="11"/>
      <c r="AH81" s="8">
        <f t="shared" si="34"/>
        <v>433.04999999999995</v>
      </c>
      <c r="AI81" s="8">
        <f t="shared" si="35"/>
        <v>748.27</v>
      </c>
      <c r="AJ81" s="8">
        <f t="shared" si="36"/>
        <v>273.17</v>
      </c>
      <c r="AK81" s="8"/>
      <c r="AL81" s="8"/>
      <c r="AM81" s="8">
        <f t="shared" si="37"/>
        <v>0</v>
      </c>
      <c r="AN81" s="8">
        <f t="shared" si="38"/>
        <v>1514.87</v>
      </c>
    </row>
    <row r="82" spans="1:40" ht="48" customHeight="1" x14ac:dyDescent="0.2">
      <c r="A82" s="8" t="str">
        <f>Elettricità!I82</f>
        <v>IT001E04170957</v>
      </c>
      <c r="B82" s="8" t="str">
        <f>Elettricità!A82</f>
        <v>005076347775(1).PDF</v>
      </c>
      <c r="C82" s="9">
        <f>Elettricità!E82</f>
        <v>45571</v>
      </c>
      <c r="D82" s="9">
        <f>Elettricità!K82</f>
        <v>45536</v>
      </c>
      <c r="E82" s="9">
        <f>Elettricità!L82</f>
        <v>45565</v>
      </c>
      <c r="F82" s="8">
        <f>Elettricità!M82</f>
        <v>3075</v>
      </c>
      <c r="G82" s="8">
        <f>Elettricità!N82</f>
        <v>1121</v>
      </c>
      <c r="H82" s="8">
        <f>Elettricità!O82</f>
        <v>538</v>
      </c>
      <c r="I82" s="8">
        <f>Elettricità!P82</f>
        <v>1416</v>
      </c>
      <c r="J82" s="8">
        <f>Elettricità!Q82</f>
        <v>711</v>
      </c>
      <c r="K82" s="8">
        <f>Elettricità!R82</f>
        <v>222</v>
      </c>
      <c r="L82" s="8">
        <f>Elettricità!S82</f>
        <v>39</v>
      </c>
      <c r="M82" s="8">
        <f>Elettricità!T82</f>
        <v>450</v>
      </c>
      <c r="N82" s="8">
        <f>Elettricità!W82</f>
        <v>806.91</v>
      </c>
      <c r="O82" s="8">
        <f>Elettricità!X82</f>
        <v>984.43</v>
      </c>
      <c r="P82" s="8">
        <f>Elettricità!Y82</f>
        <v>0</v>
      </c>
      <c r="Q82" s="8">
        <f>Elettricità!Z82</f>
        <v>443.14</v>
      </c>
      <c r="R82" s="8">
        <f>Elettricità!AA82</f>
        <v>115.38</v>
      </c>
      <c r="S82" s="8">
        <f>Elettricità!AB82</f>
        <v>209.95</v>
      </c>
      <c r="T82" s="8">
        <f>Elettricità!AC82</f>
        <v>0</v>
      </c>
      <c r="U82" s="8">
        <f>Elettricità!AD82</f>
        <v>177.52</v>
      </c>
      <c r="V82" s="8">
        <f t="shared" si="26"/>
        <v>2024</v>
      </c>
      <c r="W82" s="8">
        <f>_xlfn.XLOOKUP(A82,Fabbricati!E:E,Fabbricati!D:D)</f>
        <v>382905555</v>
      </c>
      <c r="X82" s="9">
        <f t="shared" si="27"/>
        <v>45571</v>
      </c>
      <c r="Y82" s="9">
        <f t="shared" si="28"/>
        <v>45536</v>
      </c>
      <c r="Z82" s="9">
        <f t="shared" si="29"/>
        <v>45565</v>
      </c>
      <c r="AA82" s="8">
        <f t="shared" si="30"/>
        <v>30</v>
      </c>
      <c r="AB82" s="8">
        <f t="shared" si="31"/>
        <v>3075</v>
      </c>
      <c r="AC82" s="12" t="s">
        <v>149</v>
      </c>
      <c r="AD82" s="11" t="str">
        <f t="shared" si="32"/>
        <v>1121
538
1416</v>
      </c>
      <c r="AE82" s="11" t="str">
        <f t="shared" si="33"/>
        <v>222
39
450</v>
      </c>
      <c r="AF82" s="11"/>
      <c r="AG82" s="11"/>
      <c r="AH82" s="8">
        <f t="shared" si="34"/>
        <v>325.33</v>
      </c>
      <c r="AI82" s="8">
        <f t="shared" si="35"/>
        <v>443.14</v>
      </c>
      <c r="AJ82" s="8">
        <f t="shared" si="36"/>
        <v>177.52</v>
      </c>
      <c r="AK82" s="8"/>
      <c r="AL82" s="8"/>
      <c r="AM82" s="8">
        <f t="shared" si="37"/>
        <v>0</v>
      </c>
      <c r="AN82" s="8">
        <f t="shared" si="38"/>
        <v>984.43</v>
      </c>
    </row>
    <row r="83" spans="1:40" ht="48" customHeight="1" x14ac:dyDescent="0.2">
      <c r="A83" s="8" t="str">
        <f>Elettricità!I83</f>
        <v>IT001E04170957</v>
      </c>
      <c r="B83" s="8" t="str">
        <f>Elettricità!A83</f>
        <v>005085485031(1).PDF</v>
      </c>
      <c r="C83" s="9">
        <f>Elettricità!E83</f>
        <v>45604</v>
      </c>
      <c r="D83" s="9">
        <f>Elettricità!K83</f>
        <v>45566</v>
      </c>
      <c r="E83" s="9">
        <f>Elettricità!L83</f>
        <v>45596</v>
      </c>
      <c r="F83" s="8">
        <f>Elettricità!M83</f>
        <v>2509</v>
      </c>
      <c r="G83" s="8">
        <f>Elettricità!N83</f>
        <v>1207</v>
      </c>
      <c r="H83" s="8">
        <f>Elettricità!O83</f>
        <v>562</v>
      </c>
      <c r="I83" s="8">
        <f>Elettricità!P83</f>
        <v>740</v>
      </c>
      <c r="J83" s="8">
        <f>Elettricità!Q83</f>
        <v>9</v>
      </c>
      <c r="K83" s="8">
        <f>Elettricità!R83</f>
        <v>3</v>
      </c>
      <c r="L83" s="8">
        <f>Elettricità!S83</f>
        <v>4</v>
      </c>
      <c r="M83" s="8">
        <f>Elettricità!T83</f>
        <v>2</v>
      </c>
      <c r="N83" s="8">
        <f>Elettricità!W83</f>
        <v>636.19000000000005</v>
      </c>
      <c r="O83" s="8">
        <f>Elettricità!X83</f>
        <v>776.15</v>
      </c>
      <c r="P83" s="8">
        <f>Elettricità!Y83</f>
        <v>0</v>
      </c>
      <c r="Q83" s="8">
        <f>Elettricità!Z83</f>
        <v>374.4</v>
      </c>
      <c r="R83" s="8">
        <f>Elettricità!AA83</f>
        <v>76.569999999999993</v>
      </c>
      <c r="S83" s="8">
        <f>Elettricità!AB83</f>
        <v>153.86000000000001</v>
      </c>
      <c r="T83" s="8">
        <f>Elettricità!AC83</f>
        <v>0</v>
      </c>
      <c r="U83" s="8">
        <f>Elettricità!AD83</f>
        <v>139.96</v>
      </c>
      <c r="V83" s="8">
        <f t="shared" si="26"/>
        <v>2024</v>
      </c>
      <c r="W83" s="8">
        <f>_xlfn.XLOOKUP(A83,Fabbricati!E:E,Fabbricati!D:D)</f>
        <v>382905555</v>
      </c>
      <c r="X83" s="9">
        <f t="shared" si="27"/>
        <v>45604</v>
      </c>
      <c r="Y83" s="9">
        <f t="shared" si="28"/>
        <v>45566</v>
      </c>
      <c r="Z83" s="9">
        <f t="shared" si="29"/>
        <v>45596</v>
      </c>
      <c r="AA83" s="8">
        <f t="shared" si="30"/>
        <v>31</v>
      </c>
      <c r="AB83" s="8">
        <f t="shared" si="31"/>
        <v>2509</v>
      </c>
      <c r="AC83" s="12" t="s">
        <v>149</v>
      </c>
      <c r="AD83" s="11" t="str">
        <f t="shared" si="32"/>
        <v>1207
562
740</v>
      </c>
      <c r="AE83" s="11" t="str">
        <f t="shared" si="33"/>
        <v>3
4
2</v>
      </c>
      <c r="AF83" s="11"/>
      <c r="AG83" s="11"/>
      <c r="AH83" s="8">
        <f t="shared" si="34"/>
        <v>230.43</v>
      </c>
      <c r="AI83" s="8">
        <f t="shared" si="35"/>
        <v>374.4</v>
      </c>
      <c r="AJ83" s="8">
        <f t="shared" si="36"/>
        <v>139.96</v>
      </c>
      <c r="AK83" s="8"/>
      <c r="AL83" s="8"/>
      <c r="AM83" s="8">
        <f t="shared" si="37"/>
        <v>0</v>
      </c>
      <c r="AN83" s="8">
        <f t="shared" si="38"/>
        <v>776.15</v>
      </c>
    </row>
    <row r="84" spans="1:40" ht="48" customHeight="1" x14ac:dyDescent="0.2">
      <c r="A84" s="8" t="str">
        <f>Elettricità!I84</f>
        <v>IT001E04170957</v>
      </c>
      <c r="B84" s="8" t="str">
        <f>Elettricità!A84</f>
        <v>005093369265.PDF</v>
      </c>
      <c r="C84" s="9">
        <f>Elettricità!E84</f>
        <v>45632</v>
      </c>
      <c r="D84" s="9">
        <f>Elettricità!K84</f>
        <v>45597</v>
      </c>
      <c r="E84" s="9">
        <f>Elettricità!L84</f>
        <v>45626</v>
      </c>
      <c r="F84" s="8">
        <f>Elettricità!M84</f>
        <v>3139</v>
      </c>
      <c r="G84" s="8">
        <f>Elettricità!N84</f>
        <v>1153</v>
      </c>
      <c r="H84" s="8">
        <f>Elettricità!O84</f>
        <v>830</v>
      </c>
      <c r="I84" s="8">
        <f>Elettricità!P84</f>
        <v>1156</v>
      </c>
      <c r="J84" s="8">
        <f>Elettricità!Q84</f>
        <v>753</v>
      </c>
      <c r="K84" s="8">
        <f>Elettricità!R84</f>
        <v>197</v>
      </c>
      <c r="L84" s="8">
        <f>Elettricità!S84</f>
        <v>221</v>
      </c>
      <c r="M84" s="8">
        <f>Elettricità!T84</f>
        <v>335</v>
      </c>
      <c r="N84" s="8">
        <f>Elettricità!W84</f>
        <v>842.06</v>
      </c>
      <c r="O84" s="8">
        <f>Elettricità!X84</f>
        <v>1027.31</v>
      </c>
      <c r="P84" s="8">
        <f>Elettricità!Y84</f>
        <v>0</v>
      </c>
      <c r="Q84" s="8">
        <f>Elettricità!Z84</f>
        <v>516.66999999999996</v>
      </c>
      <c r="R84" s="8">
        <f>Elettricità!AA84</f>
        <v>93.7</v>
      </c>
      <c r="S84" s="8">
        <f>Elettricità!AB84</f>
        <v>192.45</v>
      </c>
      <c r="T84" s="8">
        <f>Elettricità!AC84</f>
        <v>0</v>
      </c>
      <c r="U84" s="8">
        <f>Elettricità!AD84</f>
        <v>185.25</v>
      </c>
      <c r="V84" s="8">
        <f t="shared" si="26"/>
        <v>2024</v>
      </c>
      <c r="W84" s="8">
        <f>_xlfn.XLOOKUP(A84,Fabbricati!E:E,Fabbricati!D:D)</f>
        <v>382905555</v>
      </c>
      <c r="X84" s="9">
        <f t="shared" si="27"/>
        <v>45632</v>
      </c>
      <c r="Y84" s="9">
        <f t="shared" si="28"/>
        <v>45597</v>
      </c>
      <c r="Z84" s="9">
        <f t="shared" si="29"/>
        <v>45626</v>
      </c>
      <c r="AA84" s="8">
        <f t="shared" si="30"/>
        <v>30</v>
      </c>
      <c r="AB84" s="8">
        <f t="shared" si="31"/>
        <v>3139</v>
      </c>
      <c r="AC84" s="12" t="s">
        <v>149</v>
      </c>
      <c r="AD84" s="11" t="str">
        <f t="shared" si="32"/>
        <v>1153
830
1156</v>
      </c>
      <c r="AE84" s="11" t="str">
        <f t="shared" si="33"/>
        <v>197
221
335</v>
      </c>
      <c r="AF84" s="11"/>
      <c r="AG84" s="11"/>
      <c r="AH84" s="8">
        <f t="shared" si="34"/>
        <v>286.14999999999998</v>
      </c>
      <c r="AI84" s="8">
        <f t="shared" si="35"/>
        <v>516.66999999999996</v>
      </c>
      <c r="AJ84" s="8">
        <f t="shared" si="36"/>
        <v>185.25</v>
      </c>
      <c r="AK84" s="8"/>
      <c r="AL84" s="8"/>
      <c r="AM84" s="8">
        <f t="shared" si="37"/>
        <v>0</v>
      </c>
      <c r="AN84" s="8">
        <f t="shared" si="38"/>
        <v>1027.31</v>
      </c>
    </row>
    <row r="85" spans="1:40" ht="48" customHeight="1" x14ac:dyDescent="0.2">
      <c r="A85" s="8" t="str">
        <f>Elettricità!I85</f>
        <v>IT001E04170957</v>
      </c>
      <c r="B85" s="8" t="str">
        <f>Elettricità!A85</f>
        <v>005200218678.PDF</v>
      </c>
      <c r="C85" s="9">
        <f>Elettricità!E85</f>
        <v>45665</v>
      </c>
      <c r="D85" s="9">
        <f>Elettricità!K85</f>
        <v>45627</v>
      </c>
      <c r="E85" s="9">
        <f>Elettricità!L85</f>
        <v>45657</v>
      </c>
      <c r="F85" s="8">
        <f>Elettricità!M85</f>
        <v>3051</v>
      </c>
      <c r="G85" s="8">
        <f>Elettricità!N85</f>
        <v>1282</v>
      </c>
      <c r="H85" s="8">
        <f>Elettricità!O85</f>
        <v>722</v>
      </c>
      <c r="I85" s="8">
        <f>Elettricità!P85</f>
        <v>1047</v>
      </c>
      <c r="J85" s="8">
        <f>Elettricità!Q85</f>
        <v>381</v>
      </c>
      <c r="K85" s="8">
        <f>Elettricità!R85</f>
        <v>194</v>
      </c>
      <c r="L85" s="8">
        <f>Elettricità!S85</f>
        <v>133</v>
      </c>
      <c r="M85" s="8">
        <f>Elettricità!T85</f>
        <v>54</v>
      </c>
      <c r="N85" s="8">
        <f>Elettricità!W85</f>
        <v>884.11</v>
      </c>
      <c r="O85" s="8">
        <f>Elettricità!X85</f>
        <v>1078.6099999999999</v>
      </c>
      <c r="P85" s="8">
        <f>Elettricità!Y85</f>
        <v>0</v>
      </c>
      <c r="Q85" s="8">
        <f>Elettricità!Z85</f>
        <v>547.6</v>
      </c>
      <c r="R85" s="8">
        <f>Elettricità!AA85</f>
        <v>102.17</v>
      </c>
      <c r="S85" s="8">
        <f>Elettricità!AB85</f>
        <v>196.2</v>
      </c>
      <c r="T85" s="8">
        <f>Elettricità!AC85</f>
        <v>0</v>
      </c>
      <c r="U85" s="8">
        <f>Elettricità!AD85</f>
        <v>194.5</v>
      </c>
      <c r="V85" s="8">
        <f t="shared" si="26"/>
        <v>2024</v>
      </c>
      <c r="W85" s="8">
        <f>_xlfn.XLOOKUP(A85,Fabbricati!E:E,Fabbricati!D:D)</f>
        <v>382905555</v>
      </c>
      <c r="X85" s="9">
        <f t="shared" si="27"/>
        <v>45665</v>
      </c>
      <c r="Y85" s="9">
        <f t="shared" si="28"/>
        <v>45627</v>
      </c>
      <c r="Z85" s="9">
        <f t="shared" si="29"/>
        <v>45657</v>
      </c>
      <c r="AA85" s="8">
        <f t="shared" si="30"/>
        <v>31</v>
      </c>
      <c r="AB85" s="8">
        <f t="shared" si="31"/>
        <v>3051</v>
      </c>
      <c r="AC85" s="12" t="s">
        <v>149</v>
      </c>
      <c r="AD85" s="11" t="str">
        <f t="shared" si="32"/>
        <v>1282
722
1047</v>
      </c>
      <c r="AE85" s="11" t="str">
        <f t="shared" si="33"/>
        <v>194
133
54</v>
      </c>
      <c r="AF85" s="11"/>
      <c r="AG85" s="11"/>
      <c r="AH85" s="8">
        <f t="shared" si="34"/>
        <v>298.37</v>
      </c>
      <c r="AI85" s="8">
        <f t="shared" si="35"/>
        <v>547.6</v>
      </c>
      <c r="AJ85" s="8">
        <f t="shared" si="36"/>
        <v>194.5</v>
      </c>
      <c r="AK85" s="8"/>
      <c r="AL85" s="8"/>
      <c r="AM85" s="8">
        <f t="shared" si="37"/>
        <v>0</v>
      </c>
      <c r="AN85" s="8">
        <f t="shared" si="38"/>
        <v>1078.6099999999999</v>
      </c>
    </row>
    <row r="86" spans="1:40" ht="48" customHeight="1" x14ac:dyDescent="0.2">
      <c r="A86" s="8" t="str">
        <f>Elettricità!I86</f>
        <v>IT001E04170962</v>
      </c>
      <c r="B86" s="8" t="str">
        <f>Elettricità!A86</f>
        <v>824500032716_2024_d(1).pdf</v>
      </c>
      <c r="C86" s="9">
        <f>Elettricità!E86</f>
        <v>45349</v>
      </c>
      <c r="D86" s="9">
        <f>Elettricità!K86</f>
        <v>45292</v>
      </c>
      <c r="E86" s="9">
        <f>Elettricità!L86</f>
        <v>45322</v>
      </c>
      <c r="F86" s="8">
        <f>Elettricità!M86</f>
        <v>68</v>
      </c>
      <c r="G86" s="8">
        <f>Elettricità!N86</f>
        <v>14</v>
      </c>
      <c r="H86" s="8">
        <f>Elettricità!O86</f>
        <v>28</v>
      </c>
      <c r="I86" s="8">
        <f>Elettricità!P86</f>
        <v>26</v>
      </c>
      <c r="J86" s="8">
        <f>Elettricità!Q86</f>
        <v>44</v>
      </c>
      <c r="K86" s="8">
        <f>Elettricità!R86</f>
        <v>14</v>
      </c>
      <c r="L86" s="8">
        <f>Elettricità!S86</f>
        <v>16</v>
      </c>
      <c r="M86" s="8">
        <f>Elettricità!T86</f>
        <v>14</v>
      </c>
      <c r="N86" s="8">
        <f>Elettricità!W86</f>
        <v>48.74</v>
      </c>
      <c r="O86" s="8">
        <f>Elettricità!X86</f>
        <v>59.46</v>
      </c>
      <c r="P86" s="8">
        <f>Elettricità!Y86</f>
        <v>0</v>
      </c>
      <c r="Q86" s="8">
        <f>Elettricità!Z86</f>
        <v>10.63</v>
      </c>
      <c r="R86" s="8">
        <f>Elettricità!AA86</f>
        <v>19.690000000000001</v>
      </c>
      <c r="S86" s="8">
        <f>Elettricità!AB86</f>
        <v>17.23</v>
      </c>
      <c r="T86" s="8">
        <f>Elettricità!AC86</f>
        <v>0.34</v>
      </c>
      <c r="U86" s="8">
        <f>Elettricità!AD86</f>
        <v>0.85</v>
      </c>
      <c r="V86" s="8">
        <f t="shared" si="26"/>
        <v>2024</v>
      </c>
      <c r="W86" s="8">
        <f>_xlfn.XLOOKUP(A86,Fabbricati!E:E,Fabbricati!D:D)</f>
        <v>382402260</v>
      </c>
      <c r="X86" s="9">
        <f t="shared" si="27"/>
        <v>45349</v>
      </c>
      <c r="Y86" s="9">
        <f t="shared" si="28"/>
        <v>45292</v>
      </c>
      <c r="Z86" s="9">
        <f t="shared" si="29"/>
        <v>45322</v>
      </c>
      <c r="AA86" s="8">
        <f t="shared" si="30"/>
        <v>31</v>
      </c>
      <c r="AB86" s="8">
        <f t="shared" si="31"/>
        <v>68</v>
      </c>
      <c r="AC86" s="12" t="s">
        <v>149</v>
      </c>
      <c r="AD86" s="11" t="str">
        <f t="shared" si="32"/>
        <v>14
28
26</v>
      </c>
      <c r="AE86" s="11" t="str">
        <f t="shared" si="33"/>
        <v>14
16
14</v>
      </c>
      <c r="AF86" s="11"/>
      <c r="AG86" s="11"/>
      <c r="AH86" s="8">
        <f t="shared" si="34"/>
        <v>36.92</v>
      </c>
      <c r="AI86" s="8">
        <f t="shared" si="35"/>
        <v>10.63</v>
      </c>
      <c r="AJ86" s="8">
        <f t="shared" si="36"/>
        <v>0.85</v>
      </c>
      <c r="AK86" s="8"/>
      <c r="AL86" s="8"/>
      <c r="AM86" s="8">
        <f t="shared" si="37"/>
        <v>0.34</v>
      </c>
      <c r="AN86" s="8">
        <f t="shared" si="38"/>
        <v>59.46</v>
      </c>
    </row>
    <row r="87" spans="1:40" ht="48" customHeight="1" x14ac:dyDescent="0.2">
      <c r="A87" s="8" t="str">
        <f>Elettricità!I87</f>
        <v>IT001E04170962</v>
      </c>
      <c r="B87" s="8" t="str">
        <f>Elettricità!A87</f>
        <v>005018359683.pdf</v>
      </c>
      <c r="C87" s="9">
        <f>Elettricità!E87</f>
        <v>45358</v>
      </c>
      <c r="D87" s="9">
        <f>Elettricità!K87</f>
        <v>45323</v>
      </c>
      <c r="E87" s="9">
        <f>Elettricità!L87</f>
        <v>45351</v>
      </c>
      <c r="F87" s="8">
        <f>Elettricità!M87</f>
        <v>63</v>
      </c>
      <c r="G87" s="8">
        <f>Elettricità!N87</f>
        <v>14</v>
      </c>
      <c r="H87" s="8">
        <f>Elettricità!O87</f>
        <v>31</v>
      </c>
      <c r="I87" s="8">
        <f>Elettricità!P87</f>
        <v>18</v>
      </c>
      <c r="J87" s="8">
        <f>Elettricità!Q87</f>
        <v>37</v>
      </c>
      <c r="K87" s="8">
        <f>Elettricità!R87</f>
        <v>9</v>
      </c>
      <c r="L87" s="8">
        <f>Elettricità!S87</f>
        <v>18</v>
      </c>
      <c r="M87" s="8">
        <f>Elettricità!T87</f>
        <v>10</v>
      </c>
      <c r="N87" s="8">
        <f>Elettricità!W87</f>
        <v>45.07</v>
      </c>
      <c r="O87" s="8">
        <f>Elettricità!X87</f>
        <v>54.99</v>
      </c>
      <c r="P87" s="8">
        <f>Elettricità!Y87</f>
        <v>0</v>
      </c>
      <c r="Q87" s="8">
        <f>Elettricità!Z87</f>
        <v>7.62</v>
      </c>
      <c r="R87" s="8">
        <f>Elettricità!AA87</f>
        <v>19.63</v>
      </c>
      <c r="S87" s="8">
        <f>Elettricità!AB87</f>
        <v>17.03</v>
      </c>
      <c r="T87" s="8">
        <f>Elettricità!AC87</f>
        <v>0</v>
      </c>
      <c r="U87" s="8">
        <f>Elettricità!AD87</f>
        <v>9.92</v>
      </c>
      <c r="V87" s="8">
        <f t="shared" si="26"/>
        <v>2024</v>
      </c>
      <c r="W87" s="8">
        <f>_xlfn.XLOOKUP(A87,Fabbricati!E:E,Fabbricati!D:D)</f>
        <v>382402260</v>
      </c>
      <c r="X87" s="9">
        <f t="shared" si="27"/>
        <v>45358</v>
      </c>
      <c r="Y87" s="9">
        <f t="shared" si="28"/>
        <v>45323</v>
      </c>
      <c r="Z87" s="9">
        <f t="shared" si="29"/>
        <v>45351</v>
      </c>
      <c r="AA87" s="8">
        <f t="shared" si="30"/>
        <v>29</v>
      </c>
      <c r="AB87" s="8">
        <f t="shared" si="31"/>
        <v>63</v>
      </c>
      <c r="AC87" s="12" t="s">
        <v>149</v>
      </c>
      <c r="AD87" s="11" t="str">
        <f t="shared" si="32"/>
        <v>14
31
18</v>
      </c>
      <c r="AE87" s="11" t="str">
        <f t="shared" si="33"/>
        <v>9
18
10</v>
      </c>
      <c r="AF87" s="11"/>
      <c r="AG87" s="11"/>
      <c r="AH87" s="8">
        <f t="shared" si="34"/>
        <v>36.659999999999997</v>
      </c>
      <c r="AI87" s="8">
        <f t="shared" si="35"/>
        <v>7.62</v>
      </c>
      <c r="AJ87" s="8">
        <f t="shared" si="36"/>
        <v>9.92</v>
      </c>
      <c r="AK87" s="8"/>
      <c r="AL87" s="8"/>
      <c r="AM87" s="8">
        <f t="shared" si="37"/>
        <v>0</v>
      </c>
      <c r="AN87" s="8">
        <f t="shared" si="38"/>
        <v>54.99</v>
      </c>
    </row>
    <row r="88" spans="1:40" ht="48" customHeight="1" x14ac:dyDescent="0.2">
      <c r="A88" s="8" t="str">
        <f>Elettricità!I88</f>
        <v>IT001E04170962</v>
      </c>
      <c r="B88" s="8" t="str">
        <f>Elettricità!A88</f>
        <v>005026659966.pdf</v>
      </c>
      <c r="C88" s="9">
        <f>Elettricità!E88</f>
        <v>45390</v>
      </c>
      <c r="D88" s="9">
        <f>Elettricità!K88</f>
        <v>45352</v>
      </c>
      <c r="E88" s="9">
        <f>Elettricità!L88</f>
        <v>45382</v>
      </c>
      <c r="F88" s="8">
        <f>Elettricità!M88</f>
        <v>37</v>
      </c>
      <c r="G88" s="8">
        <f>Elettricità!N88</f>
        <v>6</v>
      </c>
      <c r="H88" s="8">
        <f>Elettricità!O88</f>
        <v>17</v>
      </c>
      <c r="I88" s="8">
        <f>Elettricità!P88</f>
        <v>14</v>
      </c>
      <c r="J88" s="8">
        <f>Elettricità!Q88</f>
        <v>29</v>
      </c>
      <c r="K88" s="8">
        <f>Elettricità!R88</f>
        <v>7</v>
      </c>
      <c r="L88" s="8">
        <f>Elettricità!S88</f>
        <v>11</v>
      </c>
      <c r="M88" s="8">
        <f>Elettricità!T88</f>
        <v>11</v>
      </c>
      <c r="N88" s="8">
        <f>Elettricità!W88</f>
        <v>40.08</v>
      </c>
      <c r="O88" s="8">
        <f>Elettricità!X88</f>
        <v>48.9</v>
      </c>
      <c r="P88" s="8">
        <f>Elettricità!Y88</f>
        <v>0</v>
      </c>
      <c r="Q88" s="8">
        <f>Elettricità!Z88</f>
        <v>4.3600000000000003</v>
      </c>
      <c r="R88" s="8">
        <f>Elettricità!AA88</f>
        <v>19.3</v>
      </c>
      <c r="S88" s="8">
        <f>Elettricità!AB88</f>
        <v>15.96</v>
      </c>
      <c r="T88" s="8">
        <f>Elettricità!AC88</f>
        <v>0</v>
      </c>
      <c r="U88" s="8">
        <f>Elettricità!AD88</f>
        <v>8.82</v>
      </c>
      <c r="V88" s="8">
        <f t="shared" si="26"/>
        <v>2024</v>
      </c>
      <c r="W88" s="8">
        <f>_xlfn.XLOOKUP(A88,Fabbricati!E:E,Fabbricati!D:D)</f>
        <v>382402260</v>
      </c>
      <c r="X88" s="9">
        <f t="shared" si="27"/>
        <v>45390</v>
      </c>
      <c r="Y88" s="9">
        <f t="shared" si="28"/>
        <v>45352</v>
      </c>
      <c r="Z88" s="9">
        <f t="shared" si="29"/>
        <v>45382</v>
      </c>
      <c r="AA88" s="8">
        <f t="shared" si="30"/>
        <v>31</v>
      </c>
      <c r="AB88" s="8">
        <f t="shared" si="31"/>
        <v>37</v>
      </c>
      <c r="AC88" s="12" t="s">
        <v>149</v>
      </c>
      <c r="AD88" s="11" t="str">
        <f t="shared" si="32"/>
        <v>6
17
14</v>
      </c>
      <c r="AE88" s="11" t="str">
        <f t="shared" si="33"/>
        <v>7
11
11</v>
      </c>
      <c r="AF88" s="11"/>
      <c r="AG88" s="11"/>
      <c r="AH88" s="8">
        <f t="shared" si="34"/>
        <v>35.260000000000005</v>
      </c>
      <c r="AI88" s="8">
        <f t="shared" si="35"/>
        <v>4.3600000000000003</v>
      </c>
      <c r="AJ88" s="8">
        <f t="shared" si="36"/>
        <v>8.82</v>
      </c>
      <c r="AK88" s="8"/>
      <c r="AL88" s="8"/>
      <c r="AM88" s="8">
        <f t="shared" si="37"/>
        <v>0</v>
      </c>
      <c r="AN88" s="8">
        <f t="shared" si="38"/>
        <v>48.9</v>
      </c>
    </row>
    <row r="89" spans="1:40" ht="48" customHeight="1" x14ac:dyDescent="0.2">
      <c r="A89" s="8" t="str">
        <f>Elettricità!I89</f>
        <v>IT001E04170962</v>
      </c>
      <c r="B89" s="8" t="str">
        <f>Elettricità!A89</f>
        <v>005041953253(1).pdf</v>
      </c>
      <c r="C89" s="9">
        <f>Elettricità!E89</f>
        <v>45424</v>
      </c>
      <c r="D89" s="9">
        <f>Elettricità!K89</f>
        <v>45383</v>
      </c>
      <c r="E89" s="9">
        <f>Elettricità!L89</f>
        <v>45412</v>
      </c>
      <c r="F89" s="8">
        <f>Elettricità!M89</f>
        <v>26</v>
      </c>
      <c r="G89" s="8">
        <f>Elettricità!N89</f>
        <v>6</v>
      </c>
      <c r="H89" s="8">
        <f>Elettricità!O89</f>
        <v>11</v>
      </c>
      <c r="I89" s="8">
        <f>Elettricità!P89</f>
        <v>9</v>
      </c>
      <c r="J89" s="8">
        <f>Elettricità!Q89</f>
        <v>0</v>
      </c>
      <c r="K89" s="8">
        <f>Elettricità!R89</f>
        <v>0</v>
      </c>
      <c r="L89" s="8">
        <f>Elettricità!S89</f>
        <v>0</v>
      </c>
      <c r="M89" s="8">
        <f>Elettricità!T89</f>
        <v>0</v>
      </c>
      <c r="N89" s="8">
        <f>Elettricità!W89</f>
        <v>40.57</v>
      </c>
      <c r="O89" s="8">
        <f>Elettricità!X89</f>
        <v>49.5</v>
      </c>
      <c r="P89" s="8">
        <f>Elettricità!Y89</f>
        <v>0</v>
      </c>
      <c r="Q89" s="8">
        <f>Elettricità!Z89</f>
        <v>3.05</v>
      </c>
      <c r="R89" s="8">
        <f>Elettricità!AA89</f>
        <v>19.149999999999999</v>
      </c>
      <c r="S89" s="8">
        <f>Elettricità!AB89</f>
        <v>18.04</v>
      </c>
      <c r="T89" s="8">
        <f>Elettricità!AC89</f>
        <v>0</v>
      </c>
      <c r="U89" s="8">
        <f>Elettricità!AD89</f>
        <v>8.93</v>
      </c>
      <c r="V89" s="8">
        <f t="shared" si="26"/>
        <v>2024</v>
      </c>
      <c r="W89" s="8">
        <f>_xlfn.XLOOKUP(A89,Fabbricati!E:E,Fabbricati!D:D)</f>
        <v>382402260</v>
      </c>
      <c r="X89" s="9">
        <f t="shared" si="27"/>
        <v>45424</v>
      </c>
      <c r="Y89" s="9">
        <f t="shared" si="28"/>
        <v>45383</v>
      </c>
      <c r="Z89" s="9">
        <f t="shared" si="29"/>
        <v>45412</v>
      </c>
      <c r="AA89" s="8">
        <f t="shared" si="30"/>
        <v>30</v>
      </c>
      <c r="AB89" s="8">
        <f t="shared" si="31"/>
        <v>26</v>
      </c>
      <c r="AC89" s="12" t="s">
        <v>149</v>
      </c>
      <c r="AD89" s="11" t="str">
        <f t="shared" si="32"/>
        <v>6
11
9</v>
      </c>
      <c r="AE89" s="11" t="str">
        <f t="shared" si="33"/>
        <v>0
0
0</v>
      </c>
      <c r="AF89" s="11"/>
      <c r="AG89" s="11"/>
      <c r="AH89" s="8">
        <f t="shared" si="34"/>
        <v>37.19</v>
      </c>
      <c r="AI89" s="8">
        <f t="shared" si="35"/>
        <v>3.05</v>
      </c>
      <c r="AJ89" s="8">
        <f t="shared" si="36"/>
        <v>8.93</v>
      </c>
      <c r="AK89" s="8"/>
      <c r="AL89" s="8"/>
      <c r="AM89" s="8">
        <f t="shared" si="37"/>
        <v>0</v>
      </c>
      <c r="AN89" s="8">
        <f t="shared" si="38"/>
        <v>49.5</v>
      </c>
    </row>
    <row r="90" spans="1:40" ht="48" customHeight="1" x14ac:dyDescent="0.2">
      <c r="A90" s="8" t="str">
        <f>Elettricità!I90</f>
        <v>IT001E04170962</v>
      </c>
      <c r="B90" s="8" t="str">
        <f>Elettricità!A90</f>
        <v>005043663102(1).PDF</v>
      </c>
      <c r="C90" s="9">
        <f>Elettricità!E90</f>
        <v>45449</v>
      </c>
      <c r="D90" s="9">
        <f>Elettricità!K90</f>
        <v>45383</v>
      </c>
      <c r="E90" s="9">
        <f>Elettricità!L90</f>
        <v>45414</v>
      </c>
      <c r="F90" s="8">
        <f>Elettricità!M90</f>
        <v>60</v>
      </c>
      <c r="G90" s="8">
        <f>Elettricità!N90</f>
        <v>13</v>
      </c>
      <c r="H90" s="8">
        <f>Elettricità!O90</f>
        <v>26</v>
      </c>
      <c r="I90" s="8">
        <f>Elettricità!P90</f>
        <v>21</v>
      </c>
      <c r="J90" s="8">
        <f>Elettricità!Q90</f>
        <v>26</v>
      </c>
      <c r="K90" s="8">
        <f>Elettricità!R90</f>
        <v>8</v>
      </c>
      <c r="L90" s="8">
        <f>Elettricità!S90</f>
        <v>7</v>
      </c>
      <c r="M90" s="8">
        <f>Elettricità!T90</f>
        <v>11</v>
      </c>
      <c r="N90" s="8">
        <f>Elettricità!W90</f>
        <v>42.33</v>
      </c>
      <c r="O90" s="8">
        <f>Elettricità!X90</f>
        <v>51.64</v>
      </c>
      <c r="P90" s="8">
        <f>Elettricità!Y90</f>
        <v>0</v>
      </c>
      <c r="Q90" s="8">
        <f>Elettricità!Z90</f>
        <v>4.22</v>
      </c>
      <c r="R90" s="8">
        <f>Elettricità!AA90</f>
        <v>19.27</v>
      </c>
      <c r="S90" s="8">
        <f>Elettricità!AB90</f>
        <v>18.420000000000002</v>
      </c>
      <c r="T90" s="8">
        <f>Elettricità!AC90</f>
        <v>0</v>
      </c>
      <c r="U90" s="8">
        <f>Elettricità!AD90</f>
        <v>9.31</v>
      </c>
      <c r="V90" s="8">
        <f t="shared" si="26"/>
        <v>2024</v>
      </c>
      <c r="W90" s="8">
        <f>_xlfn.XLOOKUP(A90,Fabbricati!E:E,Fabbricati!D:D)</f>
        <v>382402260</v>
      </c>
      <c r="X90" s="9">
        <f t="shared" si="27"/>
        <v>45449</v>
      </c>
      <c r="Y90" s="9">
        <f t="shared" si="28"/>
        <v>45383</v>
      </c>
      <c r="Z90" s="9">
        <f t="shared" si="29"/>
        <v>45414</v>
      </c>
      <c r="AA90" s="8">
        <f t="shared" si="30"/>
        <v>32</v>
      </c>
      <c r="AB90" s="8">
        <f t="shared" si="31"/>
        <v>60</v>
      </c>
      <c r="AC90" s="12" t="s">
        <v>149</v>
      </c>
      <c r="AD90" s="11" t="str">
        <f t="shared" si="32"/>
        <v>13
26
21</v>
      </c>
      <c r="AE90" s="11" t="str">
        <f t="shared" si="33"/>
        <v>8
7
11</v>
      </c>
      <c r="AF90" s="11"/>
      <c r="AG90" s="11"/>
      <c r="AH90" s="8">
        <f t="shared" si="34"/>
        <v>37.69</v>
      </c>
      <c r="AI90" s="8">
        <f t="shared" si="35"/>
        <v>4.22</v>
      </c>
      <c r="AJ90" s="8">
        <f t="shared" si="36"/>
        <v>9.31</v>
      </c>
      <c r="AK90" s="8"/>
      <c r="AL90" s="8"/>
      <c r="AM90" s="8">
        <f t="shared" si="37"/>
        <v>0</v>
      </c>
      <c r="AN90" s="8">
        <f t="shared" si="38"/>
        <v>51.64</v>
      </c>
    </row>
    <row r="91" spans="1:40" ht="48" customHeight="1" x14ac:dyDescent="0.2">
      <c r="A91" s="8" t="str">
        <f>Elettricità!I91</f>
        <v>IT001E04170962</v>
      </c>
      <c r="B91" s="8" t="str">
        <f>Elettricità!A91</f>
        <v>005051431114.PDF</v>
      </c>
      <c r="C91" s="9">
        <f>Elettricità!E91</f>
        <v>45478</v>
      </c>
      <c r="D91" s="9">
        <f>Elettricità!K91</f>
        <v>45444</v>
      </c>
      <c r="E91" s="9">
        <f>Elettricità!L91</f>
        <v>45473</v>
      </c>
      <c r="F91" s="8">
        <f>Elettricità!M91</f>
        <v>39</v>
      </c>
      <c r="G91" s="8">
        <f>Elettricità!N91</f>
        <v>12</v>
      </c>
      <c r="H91" s="8">
        <f>Elettricità!O91</f>
        <v>13</v>
      </c>
      <c r="I91" s="8">
        <f>Elettricità!P91</f>
        <v>14</v>
      </c>
      <c r="J91" s="8">
        <f>Elettricità!Q91</f>
        <v>16</v>
      </c>
      <c r="K91" s="8">
        <f>Elettricità!R91</f>
        <v>5</v>
      </c>
      <c r="L91" s="8">
        <f>Elettricità!S91</f>
        <v>4</v>
      </c>
      <c r="M91" s="8">
        <f>Elettricità!T91</f>
        <v>7</v>
      </c>
      <c r="N91" s="8">
        <f>Elettricità!W91</f>
        <v>43.65</v>
      </c>
      <c r="O91" s="8">
        <f>Elettricità!X91</f>
        <v>53.25</v>
      </c>
      <c r="P91" s="8">
        <f>Elettricità!Y91</f>
        <v>0</v>
      </c>
      <c r="Q91" s="8">
        <f>Elettricità!Z91</f>
        <v>5.17</v>
      </c>
      <c r="R91" s="8">
        <f>Elettricità!AA91</f>
        <v>19.32</v>
      </c>
      <c r="S91" s="8">
        <f>Elettricità!AB91</f>
        <v>18.670000000000002</v>
      </c>
      <c r="T91" s="8">
        <f>Elettricità!AC91</f>
        <v>0</v>
      </c>
      <c r="U91" s="8">
        <f>Elettricità!AD91</f>
        <v>9.6</v>
      </c>
      <c r="V91" s="8">
        <f t="shared" si="26"/>
        <v>2024</v>
      </c>
      <c r="W91" s="8">
        <f>_xlfn.XLOOKUP(A91,Fabbricati!E:E,Fabbricati!D:D)</f>
        <v>382402260</v>
      </c>
      <c r="X91" s="9">
        <f t="shared" si="27"/>
        <v>45478</v>
      </c>
      <c r="Y91" s="9">
        <f t="shared" si="28"/>
        <v>45444</v>
      </c>
      <c r="Z91" s="9">
        <f t="shared" si="29"/>
        <v>45473</v>
      </c>
      <c r="AA91" s="8">
        <f t="shared" si="30"/>
        <v>30</v>
      </c>
      <c r="AB91" s="8">
        <f t="shared" si="31"/>
        <v>39</v>
      </c>
      <c r="AC91" s="12" t="s">
        <v>149</v>
      </c>
      <c r="AD91" s="11" t="str">
        <f t="shared" si="32"/>
        <v>12
13
14</v>
      </c>
      <c r="AE91" s="11" t="str">
        <f t="shared" si="33"/>
        <v>5
4
7</v>
      </c>
      <c r="AF91" s="11"/>
      <c r="AG91" s="11"/>
      <c r="AH91" s="8">
        <f t="shared" si="34"/>
        <v>37.99</v>
      </c>
      <c r="AI91" s="8">
        <f t="shared" si="35"/>
        <v>5.17</v>
      </c>
      <c r="AJ91" s="8">
        <f t="shared" si="36"/>
        <v>9.6</v>
      </c>
      <c r="AK91" s="8"/>
      <c r="AL91" s="8"/>
      <c r="AM91" s="8">
        <f t="shared" si="37"/>
        <v>0</v>
      </c>
      <c r="AN91" s="8">
        <f t="shared" si="38"/>
        <v>53.25</v>
      </c>
    </row>
    <row r="92" spans="1:40" ht="48" customHeight="1" x14ac:dyDescent="0.2">
      <c r="A92" s="8" t="str">
        <f>Elettricità!I92</f>
        <v>IT001E04170962</v>
      </c>
      <c r="B92" s="8" t="str">
        <f>Elettricità!A92</f>
        <v>005059958079.PDF</v>
      </c>
      <c r="C92" s="9">
        <f>Elettricità!E92</f>
        <v>45511</v>
      </c>
      <c r="D92" s="9">
        <f>Elettricità!K92</f>
        <v>45474</v>
      </c>
      <c r="E92" s="9">
        <f>Elettricità!L92</f>
        <v>45504</v>
      </c>
      <c r="F92" s="8">
        <f>Elettricità!M92</f>
        <v>44</v>
      </c>
      <c r="G92" s="8">
        <f>Elettricità!N92</f>
        <v>13</v>
      </c>
      <c r="H92" s="8">
        <f>Elettricità!O92</f>
        <v>15</v>
      </c>
      <c r="I92" s="8">
        <f>Elettricità!P92</f>
        <v>16</v>
      </c>
      <c r="J92" s="8">
        <f>Elettricità!Q92</f>
        <v>18</v>
      </c>
      <c r="K92" s="8">
        <f>Elettricità!R92</f>
        <v>7</v>
      </c>
      <c r="L92" s="8">
        <f>Elettricità!S92</f>
        <v>4</v>
      </c>
      <c r="M92" s="8">
        <f>Elettricità!T92</f>
        <v>7</v>
      </c>
      <c r="N92" s="8">
        <f>Elettricità!W92</f>
        <v>45.8</v>
      </c>
      <c r="O92" s="8">
        <f>Elettricità!X92</f>
        <v>55.88</v>
      </c>
      <c r="P92" s="8">
        <f>Elettricità!Y92</f>
        <v>0</v>
      </c>
      <c r="Q92" s="8">
        <f>Elettricità!Z92</f>
        <v>6.95</v>
      </c>
      <c r="R92" s="8">
        <f>Elettricità!AA92</f>
        <v>19.38</v>
      </c>
      <c r="S92" s="8">
        <f>Elettricità!AB92</f>
        <v>18.920000000000002</v>
      </c>
      <c r="T92" s="8">
        <f>Elettricità!AC92</f>
        <v>0</v>
      </c>
      <c r="U92" s="8">
        <f>Elettricità!AD92</f>
        <v>10.08</v>
      </c>
      <c r="V92" s="8">
        <f t="shared" si="26"/>
        <v>2024</v>
      </c>
      <c r="W92" s="8">
        <f>_xlfn.XLOOKUP(A92,Fabbricati!E:E,Fabbricati!D:D)</f>
        <v>382402260</v>
      </c>
      <c r="X92" s="9">
        <f t="shared" si="27"/>
        <v>45511</v>
      </c>
      <c r="Y92" s="9">
        <f t="shared" si="28"/>
        <v>45474</v>
      </c>
      <c r="Z92" s="9">
        <f t="shared" si="29"/>
        <v>45504</v>
      </c>
      <c r="AA92" s="8">
        <f t="shared" si="30"/>
        <v>31</v>
      </c>
      <c r="AB92" s="8">
        <f t="shared" si="31"/>
        <v>44</v>
      </c>
      <c r="AC92" s="12" t="s">
        <v>149</v>
      </c>
      <c r="AD92" s="11" t="str">
        <f t="shared" si="32"/>
        <v>13
15
16</v>
      </c>
      <c r="AE92" s="11" t="str">
        <f t="shared" si="33"/>
        <v>7
4
7</v>
      </c>
      <c r="AF92" s="11"/>
      <c r="AG92" s="11"/>
      <c r="AH92" s="8">
        <f t="shared" si="34"/>
        <v>38.299999999999997</v>
      </c>
      <c r="AI92" s="8">
        <f t="shared" si="35"/>
        <v>6.95</v>
      </c>
      <c r="AJ92" s="8">
        <f t="shared" si="36"/>
        <v>10.08</v>
      </c>
      <c r="AK92" s="8"/>
      <c r="AL92" s="8"/>
      <c r="AM92" s="8">
        <f t="shared" si="37"/>
        <v>0</v>
      </c>
      <c r="AN92" s="8">
        <f t="shared" si="38"/>
        <v>55.88</v>
      </c>
    </row>
    <row r="93" spans="1:40" ht="48" customHeight="1" x14ac:dyDescent="0.2">
      <c r="A93" s="8" t="str">
        <f>Elettricità!I93</f>
        <v>IT001E04170962</v>
      </c>
      <c r="B93" s="8" t="str">
        <f>Elettricità!A93</f>
        <v>005067307613.PDF</v>
      </c>
      <c r="C93" s="9">
        <f>Elettricità!E93</f>
        <v>45541</v>
      </c>
      <c r="D93" s="9">
        <f>Elettricità!K93</f>
        <v>45505</v>
      </c>
      <c r="E93" s="9">
        <f>Elettricità!L93</f>
        <v>45535</v>
      </c>
      <c r="F93" s="8">
        <f>Elettricità!M93</f>
        <v>200</v>
      </c>
      <c r="G93" s="8">
        <f>Elettricità!N93</f>
        <v>54</v>
      </c>
      <c r="H93" s="8">
        <f>Elettricità!O93</f>
        <v>70</v>
      </c>
      <c r="I93" s="8">
        <f>Elettricità!P93</f>
        <v>76</v>
      </c>
      <c r="J93" s="8">
        <f>Elettricità!Q93</f>
        <v>89</v>
      </c>
      <c r="K93" s="8">
        <f>Elettricità!R93</f>
        <v>29</v>
      </c>
      <c r="L93" s="8">
        <f>Elettricità!S93</f>
        <v>22</v>
      </c>
      <c r="M93" s="8">
        <f>Elettricità!T93</f>
        <v>38</v>
      </c>
      <c r="N93" s="8">
        <f>Elettricità!W93</f>
        <v>49.05</v>
      </c>
      <c r="O93" s="8">
        <f>Elettricità!X93</f>
        <v>59.84</v>
      </c>
      <c r="P93" s="8">
        <f>Elettricità!Y93</f>
        <v>0</v>
      </c>
      <c r="Q93" s="8">
        <f>Elettricità!Z93</f>
        <v>9.23</v>
      </c>
      <c r="R93" s="8">
        <f>Elettricità!AA93</f>
        <v>19.55</v>
      </c>
      <c r="S93" s="8">
        <f>Elettricità!AB93</f>
        <v>19.54</v>
      </c>
      <c r="T93" s="8">
        <f>Elettricità!AC93</f>
        <v>0</v>
      </c>
      <c r="U93" s="8">
        <f>Elettricità!AD93</f>
        <v>10.79</v>
      </c>
      <c r="V93" s="8">
        <f t="shared" si="26"/>
        <v>2024</v>
      </c>
      <c r="W93" s="8">
        <f>_xlfn.XLOOKUP(A93,Fabbricati!E:E,Fabbricati!D:D)</f>
        <v>382402260</v>
      </c>
      <c r="X93" s="9">
        <f t="shared" si="27"/>
        <v>45541</v>
      </c>
      <c r="Y93" s="9">
        <f t="shared" si="28"/>
        <v>45505</v>
      </c>
      <c r="Z93" s="9">
        <f t="shared" si="29"/>
        <v>45535</v>
      </c>
      <c r="AA93" s="8">
        <f t="shared" si="30"/>
        <v>31</v>
      </c>
      <c r="AB93" s="8">
        <f t="shared" si="31"/>
        <v>200</v>
      </c>
      <c r="AC93" s="12" t="s">
        <v>149</v>
      </c>
      <c r="AD93" s="11" t="str">
        <f t="shared" si="32"/>
        <v>54
70
76</v>
      </c>
      <c r="AE93" s="11" t="str">
        <f t="shared" si="33"/>
        <v>29
22
38</v>
      </c>
      <c r="AF93" s="11"/>
      <c r="AG93" s="11"/>
      <c r="AH93" s="8">
        <f t="shared" si="34"/>
        <v>39.090000000000003</v>
      </c>
      <c r="AI93" s="8">
        <f t="shared" si="35"/>
        <v>9.23</v>
      </c>
      <c r="AJ93" s="8">
        <f t="shared" si="36"/>
        <v>10.79</v>
      </c>
      <c r="AK93" s="8"/>
      <c r="AL93" s="8"/>
      <c r="AM93" s="8">
        <f t="shared" si="37"/>
        <v>0</v>
      </c>
      <c r="AN93" s="8">
        <f t="shared" si="38"/>
        <v>59.84</v>
      </c>
    </row>
    <row r="94" spans="1:40" ht="48" customHeight="1" x14ac:dyDescent="0.2">
      <c r="A94" s="8" t="str">
        <f>Elettricità!I94</f>
        <v>IT001E04170962</v>
      </c>
      <c r="B94" s="8" t="str">
        <f>Elettricità!A94</f>
        <v>005076347792.PDF</v>
      </c>
      <c r="C94" s="9">
        <f>Elettricità!E94</f>
        <v>45571</v>
      </c>
      <c r="D94" s="9">
        <f>Elettricità!K94</f>
        <v>45536</v>
      </c>
      <c r="E94" s="9">
        <f>Elettricità!L94</f>
        <v>45565</v>
      </c>
      <c r="F94" s="8">
        <f>Elettricità!M94</f>
        <v>54</v>
      </c>
      <c r="G94" s="8">
        <f>Elettricità!N94</f>
        <v>11</v>
      </c>
      <c r="H94" s="8">
        <f>Elettricità!O94</f>
        <v>20</v>
      </c>
      <c r="I94" s="8">
        <f>Elettricità!P94</f>
        <v>23</v>
      </c>
      <c r="J94" s="8">
        <f>Elettricità!Q94</f>
        <v>16</v>
      </c>
      <c r="K94" s="8">
        <f>Elettricità!R94</f>
        <v>4</v>
      </c>
      <c r="L94" s="8">
        <f>Elettricità!S94</f>
        <v>5</v>
      </c>
      <c r="M94" s="8">
        <f>Elettricità!T94</f>
        <v>7</v>
      </c>
      <c r="N94" s="8">
        <f>Elettricità!W94</f>
        <v>47.47</v>
      </c>
      <c r="O94" s="8">
        <f>Elettricità!X94</f>
        <v>57.91</v>
      </c>
      <c r="P94" s="8">
        <f>Elettricità!Y94</f>
        <v>0</v>
      </c>
      <c r="Q94" s="8">
        <f>Elettricità!Z94</f>
        <v>7.88</v>
      </c>
      <c r="R94" s="8">
        <f>Elettricità!AA94</f>
        <v>19.52</v>
      </c>
      <c r="S94" s="8">
        <f>Elettricità!AB94</f>
        <v>19.39</v>
      </c>
      <c r="T94" s="8">
        <f>Elettricità!AC94</f>
        <v>0</v>
      </c>
      <c r="U94" s="8">
        <f>Elettricità!AD94</f>
        <v>10.44</v>
      </c>
      <c r="V94" s="8">
        <f t="shared" si="26"/>
        <v>2024</v>
      </c>
      <c r="W94" s="8">
        <f>_xlfn.XLOOKUP(A94,Fabbricati!E:E,Fabbricati!D:D)</f>
        <v>382402260</v>
      </c>
      <c r="X94" s="9">
        <f t="shared" si="27"/>
        <v>45571</v>
      </c>
      <c r="Y94" s="9">
        <f t="shared" si="28"/>
        <v>45536</v>
      </c>
      <c r="Z94" s="9">
        <f t="shared" si="29"/>
        <v>45565</v>
      </c>
      <c r="AA94" s="8">
        <f t="shared" si="30"/>
        <v>30</v>
      </c>
      <c r="AB94" s="8">
        <f t="shared" si="31"/>
        <v>54</v>
      </c>
      <c r="AC94" s="12" t="s">
        <v>149</v>
      </c>
      <c r="AD94" s="11" t="str">
        <f t="shared" si="32"/>
        <v>11
20
23</v>
      </c>
      <c r="AE94" s="11" t="str">
        <f t="shared" si="33"/>
        <v>4
5
7</v>
      </c>
      <c r="AF94" s="11"/>
      <c r="AG94" s="11"/>
      <c r="AH94" s="8">
        <f t="shared" si="34"/>
        <v>38.909999999999997</v>
      </c>
      <c r="AI94" s="8">
        <f t="shared" si="35"/>
        <v>7.88</v>
      </c>
      <c r="AJ94" s="8">
        <f t="shared" si="36"/>
        <v>10.44</v>
      </c>
      <c r="AK94" s="8"/>
      <c r="AL94" s="8"/>
      <c r="AM94" s="8">
        <f t="shared" si="37"/>
        <v>0</v>
      </c>
      <c r="AN94" s="8">
        <f t="shared" si="38"/>
        <v>57.91</v>
      </c>
    </row>
    <row r="95" spans="1:40" ht="48" customHeight="1" x14ac:dyDescent="0.2">
      <c r="A95" s="8" t="str">
        <f>Elettricità!I95</f>
        <v>IT001E04170962</v>
      </c>
      <c r="B95" s="8" t="str">
        <f>Elettricità!A95</f>
        <v>005085485049.PDF</v>
      </c>
      <c r="C95" s="9">
        <f>Elettricità!E95</f>
        <v>45604</v>
      </c>
      <c r="D95" s="9">
        <f>Elettricità!K95</f>
        <v>45566</v>
      </c>
      <c r="E95" s="9">
        <f>Elettricità!L95</f>
        <v>45596</v>
      </c>
      <c r="F95" s="8">
        <f>Elettricità!M95</f>
        <v>41</v>
      </c>
      <c r="G95" s="8">
        <f>Elettricità!N95</f>
        <v>11</v>
      </c>
      <c r="H95" s="8">
        <f>Elettricità!O95</f>
        <v>17</v>
      </c>
      <c r="I95" s="8">
        <f>Elettricità!P95</f>
        <v>13</v>
      </c>
      <c r="J95" s="8">
        <f>Elettricità!Q95</f>
        <v>13</v>
      </c>
      <c r="K95" s="8">
        <f>Elettricità!R95</f>
        <v>4</v>
      </c>
      <c r="L95" s="8">
        <f>Elettricità!S95</f>
        <v>4</v>
      </c>
      <c r="M95" s="8">
        <f>Elettricità!T95</f>
        <v>5</v>
      </c>
      <c r="N95" s="8">
        <f>Elettricità!W95</f>
        <v>44.74</v>
      </c>
      <c r="O95" s="8">
        <f>Elettricità!X95</f>
        <v>54.58</v>
      </c>
      <c r="P95" s="8">
        <f>Elettricità!Y95</f>
        <v>0</v>
      </c>
      <c r="Q95" s="8">
        <f>Elettricità!Z95</f>
        <v>6.11</v>
      </c>
      <c r="R95" s="8">
        <f>Elettricità!AA95</f>
        <v>19.350000000000001</v>
      </c>
      <c r="S95" s="8">
        <f>Elettricità!AB95</f>
        <v>18.77</v>
      </c>
      <c r="T95" s="8">
        <f>Elettricità!AC95</f>
        <v>0</v>
      </c>
      <c r="U95" s="8">
        <f>Elettricità!AD95</f>
        <v>9.84</v>
      </c>
      <c r="V95" s="8">
        <f t="shared" si="26"/>
        <v>2024</v>
      </c>
      <c r="W95" s="8">
        <f>_xlfn.XLOOKUP(A95,Fabbricati!E:E,Fabbricati!D:D)</f>
        <v>382402260</v>
      </c>
      <c r="X95" s="9">
        <f t="shared" si="27"/>
        <v>45604</v>
      </c>
      <c r="Y95" s="9">
        <f t="shared" si="28"/>
        <v>45566</v>
      </c>
      <c r="Z95" s="9">
        <f t="shared" si="29"/>
        <v>45596</v>
      </c>
      <c r="AA95" s="8">
        <f t="shared" si="30"/>
        <v>31</v>
      </c>
      <c r="AB95" s="8">
        <f t="shared" si="31"/>
        <v>41</v>
      </c>
      <c r="AC95" s="12" t="s">
        <v>149</v>
      </c>
      <c r="AD95" s="11" t="str">
        <f t="shared" si="32"/>
        <v>11
17
13</v>
      </c>
      <c r="AE95" s="11" t="str">
        <f t="shared" si="33"/>
        <v>4
4
5</v>
      </c>
      <c r="AF95" s="11"/>
      <c r="AG95" s="11"/>
      <c r="AH95" s="8">
        <f t="shared" si="34"/>
        <v>38.120000000000005</v>
      </c>
      <c r="AI95" s="8">
        <f t="shared" si="35"/>
        <v>6.11</v>
      </c>
      <c r="AJ95" s="8">
        <f t="shared" si="36"/>
        <v>9.84</v>
      </c>
      <c r="AK95" s="8"/>
      <c r="AL95" s="8"/>
      <c r="AM95" s="8">
        <f t="shared" si="37"/>
        <v>0</v>
      </c>
      <c r="AN95" s="8">
        <f t="shared" si="38"/>
        <v>54.58</v>
      </c>
    </row>
    <row r="96" spans="1:40" ht="48" customHeight="1" x14ac:dyDescent="0.2">
      <c r="A96" s="8" t="str">
        <f>Elettricità!I96</f>
        <v>IT001E04170962</v>
      </c>
      <c r="B96" s="8" t="str">
        <f>Elettricità!A96</f>
        <v>005093369283.PDF</v>
      </c>
      <c r="C96" s="9">
        <f>Elettricità!E96</f>
        <v>45632</v>
      </c>
      <c r="D96" s="9">
        <f>Elettricità!K96</f>
        <v>45597</v>
      </c>
      <c r="E96" s="9">
        <f>Elettricità!L96</f>
        <v>45626</v>
      </c>
      <c r="F96" s="8">
        <f>Elettricità!M96</f>
        <v>50</v>
      </c>
      <c r="G96" s="8">
        <f>Elettricità!N96</f>
        <v>12</v>
      </c>
      <c r="H96" s="8">
        <f>Elettricità!O96</f>
        <v>16</v>
      </c>
      <c r="I96" s="8">
        <f>Elettricità!P96</f>
        <v>22</v>
      </c>
      <c r="J96" s="8">
        <f>Elettricità!Q96</f>
        <v>21</v>
      </c>
      <c r="K96" s="8">
        <f>Elettricità!R96</f>
        <v>6</v>
      </c>
      <c r="L96" s="8">
        <f>Elettricità!S96</f>
        <v>8</v>
      </c>
      <c r="M96" s="8">
        <f>Elettricità!T96</f>
        <v>7</v>
      </c>
      <c r="N96" s="8">
        <f>Elettricità!W96</f>
        <v>47.4</v>
      </c>
      <c r="O96" s="8">
        <f>Elettricità!X96</f>
        <v>57.83</v>
      </c>
      <c r="P96" s="8">
        <f>Elettricità!Y96</f>
        <v>0</v>
      </c>
      <c r="Q96" s="8">
        <f>Elettricità!Z96</f>
        <v>8.11</v>
      </c>
      <c r="R96" s="8">
        <f>Elettricità!AA96</f>
        <v>19.46</v>
      </c>
      <c r="S96" s="8">
        <f>Elettricità!AB96</f>
        <v>19.2</v>
      </c>
      <c r="T96" s="8">
        <f>Elettricità!AC96</f>
        <v>0</v>
      </c>
      <c r="U96" s="8">
        <f>Elettricità!AD96</f>
        <v>10.43</v>
      </c>
      <c r="V96" s="8">
        <f t="shared" si="26"/>
        <v>2024</v>
      </c>
      <c r="W96" s="8">
        <f>_xlfn.XLOOKUP(A96,Fabbricati!E:E,Fabbricati!D:D)</f>
        <v>382402260</v>
      </c>
      <c r="X96" s="9">
        <f t="shared" si="27"/>
        <v>45632</v>
      </c>
      <c r="Y96" s="9">
        <f t="shared" si="28"/>
        <v>45597</v>
      </c>
      <c r="Z96" s="9">
        <f t="shared" si="29"/>
        <v>45626</v>
      </c>
      <c r="AA96" s="8">
        <f t="shared" si="30"/>
        <v>30</v>
      </c>
      <c r="AB96" s="8">
        <f t="shared" si="31"/>
        <v>50</v>
      </c>
      <c r="AC96" s="12" t="s">
        <v>149</v>
      </c>
      <c r="AD96" s="11" t="str">
        <f t="shared" si="32"/>
        <v>12
16
22</v>
      </c>
      <c r="AE96" s="11" t="str">
        <f t="shared" si="33"/>
        <v>6
8
7</v>
      </c>
      <c r="AF96" s="11"/>
      <c r="AG96" s="11"/>
      <c r="AH96" s="8">
        <f t="shared" si="34"/>
        <v>38.659999999999997</v>
      </c>
      <c r="AI96" s="8">
        <f t="shared" si="35"/>
        <v>8.11</v>
      </c>
      <c r="AJ96" s="8">
        <f t="shared" si="36"/>
        <v>10.43</v>
      </c>
      <c r="AK96" s="8"/>
      <c r="AL96" s="8"/>
      <c r="AM96" s="8">
        <f t="shared" si="37"/>
        <v>0</v>
      </c>
      <c r="AN96" s="8">
        <f t="shared" si="38"/>
        <v>57.83</v>
      </c>
    </row>
    <row r="97" spans="1:40" ht="48" customHeight="1" x14ac:dyDescent="0.2">
      <c r="A97" s="8" t="str">
        <f>Elettricità!I97</f>
        <v>IT001E04170962</v>
      </c>
      <c r="B97" s="8" t="str">
        <f>Elettricità!A97</f>
        <v>005200218696.PDF</v>
      </c>
      <c r="C97" s="9">
        <f>Elettricità!E97</f>
        <v>45665</v>
      </c>
      <c r="D97" s="9">
        <f>Elettricità!K97</f>
        <v>45627</v>
      </c>
      <c r="E97" s="9">
        <f>Elettricità!L97</f>
        <v>45657</v>
      </c>
      <c r="F97" s="8">
        <f>Elettricità!M97</f>
        <v>31</v>
      </c>
      <c r="G97" s="8">
        <f>Elettricità!N97</f>
        <v>7</v>
      </c>
      <c r="H97" s="8">
        <f>Elettricità!O97</f>
        <v>11</v>
      </c>
      <c r="I97" s="8">
        <f>Elettricità!P97</f>
        <v>13</v>
      </c>
      <c r="J97" s="8">
        <f>Elettricità!Q97</f>
        <v>16</v>
      </c>
      <c r="K97" s="8">
        <f>Elettricità!R97</f>
        <v>4</v>
      </c>
      <c r="L97" s="8">
        <f>Elettricità!S97</f>
        <v>6</v>
      </c>
      <c r="M97" s="8">
        <f>Elettricità!T97</f>
        <v>6</v>
      </c>
      <c r="N97" s="8">
        <f>Elettricità!W97</f>
        <v>43.26</v>
      </c>
      <c r="O97" s="8">
        <f>Elettricità!X97</f>
        <v>52.78</v>
      </c>
      <c r="P97" s="8">
        <f>Elettricità!Y97</f>
        <v>0</v>
      </c>
      <c r="Q97" s="8">
        <f>Elettricità!Z97</f>
        <v>5.37</v>
      </c>
      <c r="R97" s="8">
        <f>Elettricità!AA97</f>
        <v>19.22</v>
      </c>
      <c r="S97" s="8">
        <f>Elettricità!AB97</f>
        <v>18.28</v>
      </c>
      <c r="T97" s="8">
        <f>Elettricità!AC97</f>
        <v>0</v>
      </c>
      <c r="U97" s="8">
        <f>Elettricità!AD97</f>
        <v>9.52</v>
      </c>
      <c r="V97" s="8">
        <f t="shared" si="26"/>
        <v>2024</v>
      </c>
      <c r="W97" s="8">
        <f>_xlfn.XLOOKUP(A97,Fabbricati!E:E,Fabbricati!D:D)</f>
        <v>382402260</v>
      </c>
      <c r="X97" s="9">
        <f t="shared" si="27"/>
        <v>45665</v>
      </c>
      <c r="Y97" s="9">
        <f t="shared" si="28"/>
        <v>45627</v>
      </c>
      <c r="Z97" s="9">
        <f t="shared" si="29"/>
        <v>45657</v>
      </c>
      <c r="AA97" s="8">
        <f t="shared" si="30"/>
        <v>31</v>
      </c>
      <c r="AB97" s="8">
        <f t="shared" si="31"/>
        <v>31</v>
      </c>
      <c r="AC97" s="12" t="s">
        <v>149</v>
      </c>
      <c r="AD97" s="11" t="str">
        <f t="shared" si="32"/>
        <v>7
11
13</v>
      </c>
      <c r="AE97" s="11" t="str">
        <f t="shared" si="33"/>
        <v>4
6
6</v>
      </c>
      <c r="AF97" s="11"/>
      <c r="AG97" s="11"/>
      <c r="AH97" s="8">
        <f t="shared" si="34"/>
        <v>37.5</v>
      </c>
      <c r="AI97" s="8">
        <f t="shared" si="35"/>
        <v>5.37</v>
      </c>
      <c r="AJ97" s="8">
        <f t="shared" si="36"/>
        <v>9.52</v>
      </c>
      <c r="AK97" s="8"/>
      <c r="AL97" s="8"/>
      <c r="AM97" s="8">
        <f t="shared" si="37"/>
        <v>0</v>
      </c>
      <c r="AN97" s="8">
        <f t="shared" si="38"/>
        <v>52.78</v>
      </c>
    </row>
    <row r="98" spans="1:40" ht="48" customHeight="1" x14ac:dyDescent="0.2">
      <c r="A98" s="8" t="str">
        <f>Elettricità!I98</f>
        <v>IT001E04170966</v>
      </c>
      <c r="B98" s="8" t="str">
        <f>Elettricità!A98</f>
        <v>824500045370_2024_d.pdf</v>
      </c>
      <c r="C98" s="9">
        <f>Elettricità!E98</f>
        <v>45350</v>
      </c>
      <c r="D98" s="9">
        <f>Elettricità!K98</f>
        <v>45292</v>
      </c>
      <c r="E98" s="9">
        <f>Elettricità!L98</f>
        <v>45322</v>
      </c>
      <c r="F98" s="8">
        <f>Elettricità!M98</f>
        <v>2862</v>
      </c>
      <c r="G98" s="8">
        <f>Elettricità!N98</f>
        <v>1204</v>
      </c>
      <c r="H98" s="8">
        <f>Elettricità!O98</f>
        <v>532</v>
      </c>
      <c r="I98" s="8">
        <f>Elettricità!P98</f>
        <v>1126</v>
      </c>
      <c r="J98" s="8">
        <f>Elettricità!Q98</f>
        <v>10</v>
      </c>
      <c r="K98" s="8">
        <f>Elettricità!R98</f>
        <v>9</v>
      </c>
      <c r="L98" s="8">
        <f>Elettricità!S98</f>
        <v>0</v>
      </c>
      <c r="M98" s="8">
        <f>Elettricità!T98</f>
        <v>1</v>
      </c>
      <c r="N98" s="8">
        <f>Elettricità!W98</f>
        <v>706.14</v>
      </c>
      <c r="O98" s="8">
        <f>Elettricità!X98</f>
        <v>861.49</v>
      </c>
      <c r="P98" s="8">
        <f>Elettricità!Y98</f>
        <v>0</v>
      </c>
      <c r="Q98" s="8">
        <f>Elettricità!Z98</f>
        <v>450.09</v>
      </c>
      <c r="R98" s="8">
        <f>Elettricità!AA98</f>
        <v>69.239999999999995</v>
      </c>
      <c r="S98" s="8">
        <f>Elettricità!AB98</f>
        <v>136.72</v>
      </c>
      <c r="T98" s="8">
        <f>Elettricità!AC98</f>
        <v>14.31</v>
      </c>
      <c r="U98" s="8">
        <f>Elettricità!AD98</f>
        <v>35.78</v>
      </c>
      <c r="V98" s="8">
        <f t="shared" si="26"/>
        <v>2024</v>
      </c>
      <c r="W98" s="8">
        <f>_xlfn.XLOOKUP(A98,Fabbricati!E:E,Fabbricati!D:D)</f>
        <v>382909771</v>
      </c>
      <c r="X98" s="9">
        <f t="shared" si="27"/>
        <v>45350</v>
      </c>
      <c r="Y98" s="9">
        <f t="shared" si="28"/>
        <v>45292</v>
      </c>
      <c r="Z98" s="9">
        <f t="shared" si="29"/>
        <v>45322</v>
      </c>
      <c r="AA98" s="8">
        <f t="shared" si="30"/>
        <v>31</v>
      </c>
      <c r="AB98" s="8">
        <f t="shared" si="31"/>
        <v>2862</v>
      </c>
      <c r="AC98" s="12" t="s">
        <v>149</v>
      </c>
      <c r="AD98" s="11" t="str">
        <f t="shared" si="32"/>
        <v>1204
532
1126</v>
      </c>
      <c r="AE98" s="11" t="str">
        <f t="shared" si="33"/>
        <v>9
0
1</v>
      </c>
      <c r="AF98" s="11"/>
      <c r="AG98" s="11"/>
      <c r="AH98" s="8">
        <f t="shared" si="34"/>
        <v>205.95999999999998</v>
      </c>
      <c r="AI98" s="8">
        <f t="shared" si="35"/>
        <v>450.09</v>
      </c>
      <c r="AJ98" s="8">
        <f t="shared" si="36"/>
        <v>35.78</v>
      </c>
      <c r="AK98" s="8"/>
      <c r="AL98" s="8"/>
      <c r="AM98" s="8">
        <f t="shared" si="37"/>
        <v>14.31</v>
      </c>
      <c r="AN98" s="8">
        <f t="shared" si="38"/>
        <v>861.49</v>
      </c>
    </row>
    <row r="99" spans="1:40" ht="48" customHeight="1" x14ac:dyDescent="0.2">
      <c r="A99" s="8" t="str">
        <f>Elettricità!I99</f>
        <v>IT001E04170966</v>
      </c>
      <c r="B99" s="8" t="str">
        <f>Elettricità!A99</f>
        <v>005018359689.pdf</v>
      </c>
      <c r="C99" s="9">
        <f>Elettricità!E99</f>
        <v>45358</v>
      </c>
      <c r="D99" s="9">
        <f>Elettricità!K99</f>
        <v>45323</v>
      </c>
      <c r="E99" s="9">
        <f>Elettricità!L99</f>
        <v>45351</v>
      </c>
      <c r="F99" s="8">
        <f>Elettricità!M99</f>
        <v>2688</v>
      </c>
      <c r="G99" s="8">
        <f>Elettricità!N99</f>
        <v>1087</v>
      </c>
      <c r="H99" s="8">
        <f>Elettricità!O99</f>
        <v>587</v>
      </c>
      <c r="I99" s="8">
        <f>Elettricità!P99</f>
        <v>1014</v>
      </c>
      <c r="J99" s="8">
        <f>Elettricità!Q99</f>
        <v>13</v>
      </c>
      <c r="K99" s="8">
        <f>Elettricità!R99</f>
        <v>11</v>
      </c>
      <c r="L99" s="8">
        <f>Elettricità!S99</f>
        <v>1</v>
      </c>
      <c r="M99" s="8">
        <f>Elettricità!T99</f>
        <v>1</v>
      </c>
      <c r="N99" s="8">
        <f>Elettricità!W99</f>
        <v>551.04</v>
      </c>
      <c r="O99" s="8">
        <f>Elettricità!X99</f>
        <v>672.27</v>
      </c>
      <c r="P99" s="8">
        <f>Elettricità!Y99</f>
        <v>0</v>
      </c>
      <c r="Q99" s="8">
        <f>Elettricità!Z99</f>
        <v>322.74</v>
      </c>
      <c r="R99" s="8">
        <f>Elettricità!AA99</f>
        <v>65.48</v>
      </c>
      <c r="S99" s="8">
        <f>Elettricità!AB99</f>
        <v>129.22</v>
      </c>
      <c r="T99" s="8">
        <f>Elettricità!AC99</f>
        <v>0</v>
      </c>
      <c r="U99" s="8">
        <f>Elettricità!AD99</f>
        <v>121.23</v>
      </c>
      <c r="V99" s="8">
        <f t="shared" si="26"/>
        <v>2024</v>
      </c>
      <c r="W99" s="8">
        <f>_xlfn.XLOOKUP(A99,Fabbricati!E:E,Fabbricati!D:D)</f>
        <v>382909771</v>
      </c>
      <c r="X99" s="9">
        <f t="shared" si="27"/>
        <v>45358</v>
      </c>
      <c r="Y99" s="9">
        <f t="shared" si="28"/>
        <v>45323</v>
      </c>
      <c r="Z99" s="9">
        <f t="shared" si="29"/>
        <v>45351</v>
      </c>
      <c r="AA99" s="8">
        <f t="shared" si="30"/>
        <v>29</v>
      </c>
      <c r="AB99" s="8">
        <f t="shared" si="31"/>
        <v>2688</v>
      </c>
      <c r="AC99" s="12" t="s">
        <v>149</v>
      </c>
      <c r="AD99" s="11" t="str">
        <f t="shared" si="32"/>
        <v>1087
587
1014</v>
      </c>
      <c r="AE99" s="11" t="str">
        <f t="shared" si="33"/>
        <v>11
1
1</v>
      </c>
      <c r="AF99" s="11"/>
      <c r="AG99" s="11"/>
      <c r="AH99" s="8">
        <f t="shared" si="34"/>
        <v>194.7</v>
      </c>
      <c r="AI99" s="8">
        <f t="shared" si="35"/>
        <v>322.74</v>
      </c>
      <c r="AJ99" s="8">
        <f t="shared" si="36"/>
        <v>121.23</v>
      </c>
      <c r="AK99" s="8"/>
      <c r="AL99" s="8"/>
      <c r="AM99" s="8">
        <f t="shared" si="37"/>
        <v>0</v>
      </c>
      <c r="AN99" s="8">
        <f t="shared" si="38"/>
        <v>672.27</v>
      </c>
    </row>
    <row r="100" spans="1:40" ht="48" customHeight="1" x14ac:dyDescent="0.2">
      <c r="A100" s="8" t="str">
        <f>Elettricità!I100</f>
        <v>IT001E04170966</v>
      </c>
      <c r="B100" s="8" t="str">
        <f>Elettricità!A100</f>
        <v>005026659972.pdf</v>
      </c>
      <c r="C100" s="9">
        <f>Elettricità!E100</f>
        <v>45390</v>
      </c>
      <c r="D100" s="9">
        <f>Elettricità!K100</f>
        <v>45352</v>
      </c>
      <c r="E100" s="9">
        <f>Elettricità!L100</f>
        <v>45382</v>
      </c>
      <c r="F100" s="8">
        <f>Elettricità!M100</f>
        <v>2487</v>
      </c>
      <c r="G100" s="8">
        <f>Elettricità!N100</f>
        <v>911</v>
      </c>
      <c r="H100" s="8">
        <f>Elettricità!O100</f>
        <v>561</v>
      </c>
      <c r="I100" s="8">
        <f>Elettricità!P100</f>
        <v>1015</v>
      </c>
      <c r="J100" s="8">
        <f>Elettricità!Q100</f>
        <v>10</v>
      </c>
      <c r="K100" s="8">
        <f>Elettricità!R100</f>
        <v>9</v>
      </c>
      <c r="L100" s="8">
        <f>Elettricità!S100</f>
        <v>0</v>
      </c>
      <c r="M100" s="8">
        <f>Elettricità!T100</f>
        <v>1</v>
      </c>
      <c r="N100" s="8">
        <f>Elettricità!W100</f>
        <v>493.24</v>
      </c>
      <c r="O100" s="8">
        <f>Elettricità!X100</f>
        <v>601.75</v>
      </c>
      <c r="P100" s="8">
        <f>Elettricità!Y100</f>
        <v>0</v>
      </c>
      <c r="Q100" s="8">
        <f>Elettricità!Z100</f>
        <v>289.35000000000002</v>
      </c>
      <c r="R100" s="8">
        <f>Elettricità!AA100</f>
        <v>56.99</v>
      </c>
      <c r="S100" s="8">
        <f>Elettricità!AB100</f>
        <v>115.81</v>
      </c>
      <c r="T100" s="8">
        <f>Elettricità!AC100</f>
        <v>0</v>
      </c>
      <c r="U100" s="8">
        <f>Elettricità!AD100</f>
        <v>108.51</v>
      </c>
      <c r="V100" s="8">
        <f t="shared" si="26"/>
        <v>2024</v>
      </c>
      <c r="W100" s="8">
        <f>_xlfn.XLOOKUP(A100,Fabbricati!E:E,Fabbricati!D:D)</f>
        <v>382909771</v>
      </c>
      <c r="X100" s="9">
        <f t="shared" si="27"/>
        <v>45390</v>
      </c>
      <c r="Y100" s="9">
        <f t="shared" si="28"/>
        <v>45352</v>
      </c>
      <c r="Z100" s="9">
        <f t="shared" si="29"/>
        <v>45382</v>
      </c>
      <c r="AA100" s="8">
        <f t="shared" si="30"/>
        <v>31</v>
      </c>
      <c r="AB100" s="8">
        <f t="shared" si="31"/>
        <v>2487</v>
      </c>
      <c r="AC100" s="12" t="s">
        <v>149</v>
      </c>
      <c r="AD100" s="11" t="str">
        <f t="shared" si="32"/>
        <v>911
561
1015</v>
      </c>
      <c r="AE100" s="11" t="str">
        <f t="shared" si="33"/>
        <v>9
0
1</v>
      </c>
      <c r="AF100" s="11"/>
      <c r="AG100" s="11"/>
      <c r="AH100" s="8">
        <f t="shared" si="34"/>
        <v>172.8</v>
      </c>
      <c r="AI100" s="8">
        <f t="shared" si="35"/>
        <v>289.35000000000002</v>
      </c>
      <c r="AJ100" s="8">
        <f t="shared" si="36"/>
        <v>108.51</v>
      </c>
      <c r="AK100" s="8"/>
      <c r="AL100" s="8"/>
      <c r="AM100" s="8">
        <f t="shared" si="37"/>
        <v>0</v>
      </c>
      <c r="AN100" s="8">
        <f t="shared" si="38"/>
        <v>601.75</v>
      </c>
    </row>
    <row r="101" spans="1:40" ht="48" customHeight="1" x14ac:dyDescent="0.2">
      <c r="A101" s="8" t="str">
        <f>Elettricità!I101</f>
        <v>IT001E04170966</v>
      </c>
      <c r="B101" s="8" t="str">
        <f>Elettricità!A101</f>
        <v>005034930242.PDF</v>
      </c>
      <c r="C101" s="9">
        <f>Elettricità!E101</f>
        <v>45419</v>
      </c>
      <c r="D101" s="9">
        <f>Elettricità!K101</f>
        <v>45383</v>
      </c>
      <c r="E101" s="9">
        <f>Elettricità!L101</f>
        <v>45392</v>
      </c>
      <c r="F101" s="8">
        <f>Elettricità!M101</f>
        <v>5963</v>
      </c>
      <c r="G101" s="8">
        <f>Elettricità!N101</f>
        <v>2313</v>
      </c>
      <c r="H101" s="8">
        <f>Elettricità!O101</f>
        <v>1284</v>
      </c>
      <c r="I101" s="8">
        <f>Elettricità!P101</f>
        <v>2366</v>
      </c>
      <c r="J101" s="8">
        <f>Elettricità!Q101</f>
        <v>28</v>
      </c>
      <c r="K101" s="8">
        <f>Elettricità!R101</f>
        <v>24</v>
      </c>
      <c r="L101" s="8">
        <f>Elettricità!S101</f>
        <v>1</v>
      </c>
      <c r="M101" s="8">
        <f>Elettricità!T101</f>
        <v>3</v>
      </c>
      <c r="N101" s="8">
        <f>Elettricità!W101</f>
        <v>471.53</v>
      </c>
      <c r="O101" s="8">
        <f>Elettricità!X101</f>
        <v>575.27</v>
      </c>
      <c r="P101" s="8">
        <f>Elettricità!Y101</f>
        <v>0</v>
      </c>
      <c r="Q101" s="8">
        <f>Elettricità!Z101</f>
        <v>240.75</v>
      </c>
      <c r="R101" s="8">
        <f>Elettricità!AA101</f>
        <v>69.77</v>
      </c>
      <c r="S101" s="8">
        <f>Elettricità!AB101</f>
        <v>134.06</v>
      </c>
      <c r="T101" s="8">
        <f>Elettricità!AC101</f>
        <v>0</v>
      </c>
      <c r="U101" s="8">
        <f>Elettricità!AD101</f>
        <v>103.74</v>
      </c>
      <c r="V101" s="8">
        <f t="shared" si="26"/>
        <v>2024</v>
      </c>
      <c r="W101" s="8">
        <f>_xlfn.XLOOKUP(A101,Fabbricati!E:E,Fabbricati!D:D)</f>
        <v>382909771</v>
      </c>
      <c r="X101" s="9">
        <f t="shared" si="27"/>
        <v>45419</v>
      </c>
      <c r="Y101" s="9">
        <f t="shared" si="28"/>
        <v>45383</v>
      </c>
      <c r="Z101" s="9">
        <f t="shared" si="29"/>
        <v>45392</v>
      </c>
      <c r="AA101" s="8">
        <f t="shared" si="30"/>
        <v>10</v>
      </c>
      <c r="AB101" s="8">
        <f t="shared" si="31"/>
        <v>5963</v>
      </c>
      <c r="AC101" s="12" t="s">
        <v>149</v>
      </c>
      <c r="AD101" s="11" t="str">
        <f t="shared" si="32"/>
        <v>2313
1284
2366</v>
      </c>
      <c r="AE101" s="11" t="str">
        <f t="shared" si="33"/>
        <v>24
1
3</v>
      </c>
      <c r="AF101" s="11"/>
      <c r="AG101" s="11"/>
      <c r="AH101" s="8">
        <f t="shared" si="34"/>
        <v>203.82999999999998</v>
      </c>
      <c r="AI101" s="8">
        <f t="shared" si="35"/>
        <v>240.75</v>
      </c>
      <c r="AJ101" s="8">
        <f t="shared" si="36"/>
        <v>103.74</v>
      </c>
      <c r="AK101" s="8"/>
      <c r="AL101" s="8"/>
      <c r="AM101" s="8">
        <f t="shared" si="37"/>
        <v>0</v>
      </c>
      <c r="AN101" s="8">
        <f t="shared" si="38"/>
        <v>575.27</v>
      </c>
    </row>
    <row r="102" spans="1:40" ht="48" customHeight="1" x14ac:dyDescent="0.2">
      <c r="A102" s="8" t="str">
        <f>Elettricità!I102</f>
        <v>IT001E04170966</v>
      </c>
      <c r="B102" s="8" t="str">
        <f>Elettricità!A102</f>
        <v>005043663108.PDF</v>
      </c>
      <c r="C102" s="9">
        <f>Elettricità!E102</f>
        <v>45449</v>
      </c>
      <c r="D102" s="9">
        <f>Elettricità!K102</f>
        <v>45413</v>
      </c>
      <c r="E102" s="9">
        <f>Elettricità!L102</f>
        <v>45443</v>
      </c>
      <c r="F102" s="8">
        <f>Elettricità!M102</f>
        <v>70</v>
      </c>
      <c r="G102" s="8">
        <f>Elettricità!N102</f>
        <v>32</v>
      </c>
      <c r="H102" s="8">
        <f>Elettricità!O102</f>
        <v>13</v>
      </c>
      <c r="I102" s="8">
        <f>Elettricità!P102</f>
        <v>25</v>
      </c>
      <c r="J102" s="8">
        <f>Elettricità!Q102</f>
        <v>0</v>
      </c>
      <c r="K102" s="8">
        <f>Elettricità!R102</f>
        <v>0</v>
      </c>
      <c r="L102" s="8">
        <f>Elettricità!S102</f>
        <v>0</v>
      </c>
      <c r="M102" s="8">
        <f>Elettricità!T102</f>
        <v>0</v>
      </c>
      <c r="N102" s="8">
        <f>Elettricità!W102</f>
        <v>399.84</v>
      </c>
      <c r="O102" s="8">
        <f>Elettricità!X102</f>
        <v>487.8</v>
      </c>
      <c r="P102" s="8">
        <f>Elettricità!Y102</f>
        <v>0</v>
      </c>
      <c r="Q102" s="8">
        <f>Elettricità!Z102</f>
        <v>211.63</v>
      </c>
      <c r="R102" s="8">
        <f>Elettricità!AA102</f>
        <v>57.9</v>
      </c>
      <c r="S102" s="8">
        <f>Elettricità!AB102</f>
        <v>108.43</v>
      </c>
      <c r="T102" s="8">
        <f>Elettricità!AC102</f>
        <v>0</v>
      </c>
      <c r="U102" s="8">
        <f>Elettricità!AD102</f>
        <v>87.96</v>
      </c>
      <c r="V102" s="8">
        <f t="shared" si="26"/>
        <v>2024</v>
      </c>
      <c r="W102" s="8">
        <f>_xlfn.XLOOKUP(A102,Fabbricati!E:E,Fabbricati!D:D)</f>
        <v>382909771</v>
      </c>
      <c r="X102" s="9">
        <f t="shared" si="27"/>
        <v>45449</v>
      </c>
      <c r="Y102" s="9">
        <f t="shared" si="28"/>
        <v>45413</v>
      </c>
      <c r="Z102" s="9">
        <f t="shared" si="29"/>
        <v>45443</v>
      </c>
      <c r="AA102" s="8">
        <f t="shared" si="30"/>
        <v>31</v>
      </c>
      <c r="AB102" s="8">
        <f t="shared" si="31"/>
        <v>70</v>
      </c>
      <c r="AC102" s="12" t="s">
        <v>149</v>
      </c>
      <c r="AD102" s="11" t="str">
        <f t="shared" si="32"/>
        <v>32
13
25</v>
      </c>
      <c r="AE102" s="11" t="str">
        <f t="shared" si="33"/>
        <v>0
0
0</v>
      </c>
      <c r="AF102" s="11"/>
      <c r="AG102" s="11"/>
      <c r="AH102" s="8">
        <f t="shared" si="34"/>
        <v>166.33</v>
      </c>
      <c r="AI102" s="8">
        <f t="shared" si="35"/>
        <v>211.63</v>
      </c>
      <c r="AJ102" s="8">
        <f t="shared" si="36"/>
        <v>87.96</v>
      </c>
      <c r="AK102" s="8"/>
      <c r="AL102" s="8"/>
      <c r="AM102" s="8">
        <f t="shared" si="37"/>
        <v>0</v>
      </c>
      <c r="AN102" s="8">
        <f t="shared" si="38"/>
        <v>487.8</v>
      </c>
    </row>
    <row r="103" spans="1:40" ht="48" customHeight="1" x14ac:dyDescent="0.2">
      <c r="A103" s="8" t="str">
        <f>Elettricità!I103</f>
        <v>IT001E04170966</v>
      </c>
      <c r="B103" s="8" t="str">
        <f>Elettricità!A103</f>
        <v>005054560017.PDF</v>
      </c>
      <c r="C103" s="9">
        <f>Elettricità!E103</f>
        <v>45482</v>
      </c>
      <c r="D103" s="9">
        <f>Elettricità!K103</f>
        <v>45444</v>
      </c>
      <c r="E103" s="9">
        <f>Elettricità!L103</f>
        <v>45473</v>
      </c>
      <c r="F103" s="8">
        <f>Elettricità!M103</f>
        <v>99</v>
      </c>
      <c r="G103" s="8">
        <f>Elettricità!N103</f>
        <v>36</v>
      </c>
      <c r="H103" s="8">
        <f>Elettricità!O103</f>
        <v>23</v>
      </c>
      <c r="I103" s="8">
        <f>Elettricità!P103</f>
        <v>40</v>
      </c>
      <c r="J103" s="8">
        <f>Elettricità!Q103</f>
        <v>16</v>
      </c>
      <c r="K103" s="8">
        <f>Elettricità!R103</f>
        <v>5</v>
      </c>
      <c r="L103" s="8">
        <f>Elettricità!S103</f>
        <v>4</v>
      </c>
      <c r="M103" s="8">
        <f>Elettricità!T103</f>
        <v>7</v>
      </c>
      <c r="N103" s="8">
        <f>Elettricità!W103</f>
        <v>581.34</v>
      </c>
      <c r="O103" s="8">
        <f>Elettricità!X103</f>
        <v>709.23</v>
      </c>
      <c r="P103" s="8">
        <f>Elettricità!Y103</f>
        <v>0</v>
      </c>
      <c r="Q103" s="8">
        <f>Elettricità!Z103</f>
        <v>330.55</v>
      </c>
      <c r="R103" s="8">
        <f>Elettricità!AA103</f>
        <v>71.11</v>
      </c>
      <c r="S103" s="8">
        <f>Elettricità!AB103</f>
        <v>148.74</v>
      </c>
      <c r="T103" s="8">
        <f>Elettricità!AC103</f>
        <v>0</v>
      </c>
      <c r="U103" s="8">
        <f>Elettricità!AD103</f>
        <v>127.89</v>
      </c>
      <c r="V103" s="8">
        <f t="shared" si="26"/>
        <v>2024</v>
      </c>
      <c r="W103" s="8">
        <f>_xlfn.XLOOKUP(A103,Fabbricati!E:E,Fabbricati!D:D)</f>
        <v>382909771</v>
      </c>
      <c r="X103" s="9">
        <f t="shared" si="27"/>
        <v>45482</v>
      </c>
      <c r="Y103" s="9">
        <f t="shared" si="28"/>
        <v>45444</v>
      </c>
      <c r="Z103" s="9">
        <f t="shared" si="29"/>
        <v>45473</v>
      </c>
      <c r="AA103" s="8">
        <f t="shared" si="30"/>
        <v>30</v>
      </c>
      <c r="AB103" s="8">
        <f t="shared" si="31"/>
        <v>99</v>
      </c>
      <c r="AC103" s="12" t="s">
        <v>149</v>
      </c>
      <c r="AD103" s="11" t="str">
        <f t="shared" si="32"/>
        <v>36
23
40</v>
      </c>
      <c r="AE103" s="11" t="str">
        <f t="shared" si="33"/>
        <v>5
4
7</v>
      </c>
      <c r="AF103" s="11"/>
      <c r="AG103" s="11"/>
      <c r="AH103" s="8">
        <f t="shared" si="34"/>
        <v>219.85000000000002</v>
      </c>
      <c r="AI103" s="8">
        <f t="shared" si="35"/>
        <v>330.55</v>
      </c>
      <c r="AJ103" s="8">
        <f t="shared" si="36"/>
        <v>127.89</v>
      </c>
      <c r="AK103" s="8"/>
      <c r="AL103" s="8"/>
      <c r="AM103" s="8">
        <f t="shared" si="37"/>
        <v>0</v>
      </c>
      <c r="AN103" s="8">
        <f t="shared" si="38"/>
        <v>709.23</v>
      </c>
    </row>
    <row r="104" spans="1:40" ht="48" customHeight="1" x14ac:dyDescent="0.2">
      <c r="A104" s="8" t="str">
        <f>Elettricità!I104</f>
        <v>IT001E04170966</v>
      </c>
      <c r="B104" s="8" t="str">
        <f>Elettricità!A104</f>
        <v>005059958084.PDF</v>
      </c>
      <c r="C104" s="9">
        <f>Elettricità!E104</f>
        <v>45511</v>
      </c>
      <c r="D104" s="9">
        <f>Elettricità!K104</f>
        <v>45474</v>
      </c>
      <c r="E104" s="9">
        <f>Elettricità!L104</f>
        <v>45504</v>
      </c>
      <c r="F104" s="8">
        <f>Elettricità!M104</f>
        <v>218</v>
      </c>
      <c r="G104" s="8">
        <f>Elettricità!N104</f>
        <v>84</v>
      </c>
      <c r="H104" s="8">
        <f>Elettricità!O104</f>
        <v>50</v>
      </c>
      <c r="I104" s="8">
        <f>Elettricità!P104</f>
        <v>84</v>
      </c>
      <c r="J104" s="8">
        <f>Elettricità!Q104</f>
        <v>69</v>
      </c>
      <c r="K104" s="8">
        <f>Elettricità!R104</f>
        <v>27</v>
      </c>
      <c r="L104" s="8">
        <f>Elettricità!S104</f>
        <v>15</v>
      </c>
      <c r="M104" s="8">
        <f>Elettricità!T104</f>
        <v>27</v>
      </c>
      <c r="N104" s="8">
        <f>Elettricità!W104</f>
        <v>1314.77</v>
      </c>
      <c r="O104" s="8">
        <f>Elettricità!X104</f>
        <v>1604.02</v>
      </c>
      <c r="P104" s="8">
        <f>Elettricità!Y104</f>
        <v>0</v>
      </c>
      <c r="Q104" s="8">
        <f>Elettricità!Z104</f>
        <v>837.35</v>
      </c>
      <c r="R104" s="8">
        <f>Elettricità!AA104</f>
        <v>112.83</v>
      </c>
      <c r="S104" s="8">
        <f>Elettricità!AB104</f>
        <v>296.45999999999998</v>
      </c>
      <c r="T104" s="8">
        <f>Elettricità!AC104</f>
        <v>0</v>
      </c>
      <c r="U104" s="8">
        <f>Elettricità!AD104</f>
        <v>289.25</v>
      </c>
      <c r="V104" s="8">
        <f t="shared" si="26"/>
        <v>2024</v>
      </c>
      <c r="W104" s="8">
        <f>_xlfn.XLOOKUP(A104,Fabbricati!E:E,Fabbricati!D:D)</f>
        <v>382909771</v>
      </c>
      <c r="X104" s="9">
        <f t="shared" si="27"/>
        <v>45511</v>
      </c>
      <c r="Y104" s="9">
        <f t="shared" si="28"/>
        <v>45474</v>
      </c>
      <c r="Z104" s="9">
        <f t="shared" si="29"/>
        <v>45504</v>
      </c>
      <c r="AA104" s="8">
        <f t="shared" si="30"/>
        <v>31</v>
      </c>
      <c r="AB104" s="8">
        <f t="shared" si="31"/>
        <v>218</v>
      </c>
      <c r="AC104" s="12" t="s">
        <v>149</v>
      </c>
      <c r="AD104" s="11" t="str">
        <f t="shared" si="32"/>
        <v>84
50
84</v>
      </c>
      <c r="AE104" s="11" t="str">
        <f t="shared" si="33"/>
        <v>27
15
27</v>
      </c>
      <c r="AF104" s="11"/>
      <c r="AG104" s="11"/>
      <c r="AH104" s="8">
        <f t="shared" si="34"/>
        <v>409.28999999999996</v>
      </c>
      <c r="AI104" s="8">
        <f t="shared" si="35"/>
        <v>837.35</v>
      </c>
      <c r="AJ104" s="8">
        <f t="shared" si="36"/>
        <v>289.25</v>
      </c>
      <c r="AK104" s="8"/>
      <c r="AL104" s="8"/>
      <c r="AM104" s="8">
        <f t="shared" si="37"/>
        <v>0</v>
      </c>
      <c r="AN104" s="8">
        <f t="shared" si="38"/>
        <v>1604.02</v>
      </c>
    </row>
    <row r="105" spans="1:40" ht="48" customHeight="1" x14ac:dyDescent="0.2">
      <c r="A105" s="8" t="str">
        <f>Elettricità!I105</f>
        <v>IT001E04170966</v>
      </c>
      <c r="B105" s="8" t="str">
        <f>Elettricità!A105</f>
        <v>005067307619.PDF</v>
      </c>
      <c r="C105" s="9">
        <f>Elettricità!E105</f>
        <v>45541</v>
      </c>
      <c r="D105" s="9">
        <f>Elettricità!K105</f>
        <v>45505</v>
      </c>
      <c r="E105" s="9">
        <f>Elettricità!L105</f>
        <v>45535</v>
      </c>
      <c r="F105" s="8">
        <f>Elettricità!M105</f>
        <v>169</v>
      </c>
      <c r="G105" s="8">
        <f>Elettricità!N105</f>
        <v>77</v>
      </c>
      <c r="H105" s="8">
        <f>Elettricità!O105</f>
        <v>35</v>
      </c>
      <c r="I105" s="8">
        <f>Elettricità!P105</f>
        <v>57</v>
      </c>
      <c r="J105" s="8">
        <f>Elettricità!Q105</f>
        <v>35</v>
      </c>
      <c r="K105" s="8">
        <f>Elettricità!R105</f>
        <v>25</v>
      </c>
      <c r="L105" s="8">
        <f>Elettricità!S105</f>
        <v>6</v>
      </c>
      <c r="M105" s="8">
        <f>Elettricità!T105</f>
        <v>4</v>
      </c>
      <c r="N105" s="8">
        <f>Elettricità!W105</f>
        <v>1044.31</v>
      </c>
      <c r="O105" s="8">
        <f>Elettricità!X105</f>
        <v>1274.06</v>
      </c>
      <c r="P105" s="8">
        <f>Elettricità!Y105</f>
        <v>0</v>
      </c>
      <c r="Q105" s="8">
        <f>Elettricità!Z105</f>
        <v>663.69</v>
      </c>
      <c r="R105" s="8">
        <f>Elettricità!AA105</f>
        <v>93.55</v>
      </c>
      <c r="S105" s="8">
        <f>Elettricità!AB105</f>
        <v>234.26</v>
      </c>
      <c r="T105" s="8">
        <f>Elettricità!AC105</f>
        <v>0</v>
      </c>
      <c r="U105" s="8">
        <f>Elettricità!AD105</f>
        <v>229.75</v>
      </c>
      <c r="V105" s="8">
        <f t="shared" si="26"/>
        <v>2024</v>
      </c>
      <c r="W105" s="8">
        <f>_xlfn.XLOOKUP(A105,Fabbricati!E:E,Fabbricati!D:D)</f>
        <v>382909771</v>
      </c>
      <c r="X105" s="9">
        <f t="shared" si="27"/>
        <v>45541</v>
      </c>
      <c r="Y105" s="9">
        <f t="shared" si="28"/>
        <v>45505</v>
      </c>
      <c r="Z105" s="9">
        <f t="shared" si="29"/>
        <v>45535</v>
      </c>
      <c r="AA105" s="8">
        <f t="shared" si="30"/>
        <v>31</v>
      </c>
      <c r="AB105" s="8">
        <f t="shared" si="31"/>
        <v>169</v>
      </c>
      <c r="AC105" s="12" t="s">
        <v>149</v>
      </c>
      <c r="AD105" s="11" t="str">
        <f t="shared" si="32"/>
        <v>77
35
57</v>
      </c>
      <c r="AE105" s="11" t="str">
        <f t="shared" si="33"/>
        <v>25
6
4</v>
      </c>
      <c r="AF105" s="11"/>
      <c r="AG105" s="11"/>
      <c r="AH105" s="8">
        <f t="shared" si="34"/>
        <v>327.81</v>
      </c>
      <c r="AI105" s="8">
        <f t="shared" si="35"/>
        <v>663.69</v>
      </c>
      <c r="AJ105" s="8">
        <f t="shared" si="36"/>
        <v>229.75</v>
      </c>
      <c r="AK105" s="8"/>
      <c r="AL105" s="8"/>
      <c r="AM105" s="8">
        <f t="shared" si="37"/>
        <v>0</v>
      </c>
      <c r="AN105" s="8">
        <f t="shared" si="38"/>
        <v>1274.06</v>
      </c>
    </row>
    <row r="106" spans="1:40" ht="48" customHeight="1" x14ac:dyDescent="0.2">
      <c r="A106" s="8" t="str">
        <f>Elettricità!I106</f>
        <v>IT001E04170966</v>
      </c>
      <c r="B106" s="8" t="str">
        <f>Elettricità!A106</f>
        <v>005076347798.PDF</v>
      </c>
      <c r="C106" s="9">
        <f>Elettricità!E106</f>
        <v>45571</v>
      </c>
      <c r="D106" s="9">
        <f>Elettricità!K106</f>
        <v>45536</v>
      </c>
      <c r="E106" s="9">
        <f>Elettricità!L106</f>
        <v>45565</v>
      </c>
      <c r="F106" s="8">
        <f>Elettricità!M106</f>
        <v>106</v>
      </c>
      <c r="G106" s="8">
        <f>Elettricità!N106</f>
        <v>48</v>
      </c>
      <c r="H106" s="8">
        <f>Elettricità!O106</f>
        <v>21</v>
      </c>
      <c r="I106" s="8">
        <f>Elettricità!P106</f>
        <v>37</v>
      </c>
      <c r="J106" s="8">
        <f>Elettricità!Q106</f>
        <v>10</v>
      </c>
      <c r="K106" s="8">
        <f>Elettricità!R106</f>
        <v>8</v>
      </c>
      <c r="L106" s="8">
        <f>Elettricità!S106</f>
        <v>1</v>
      </c>
      <c r="M106" s="8">
        <f>Elettricità!T106</f>
        <v>1</v>
      </c>
      <c r="N106" s="8">
        <f>Elettricità!W106</f>
        <v>656.72</v>
      </c>
      <c r="O106" s="8">
        <f>Elettricità!X106</f>
        <v>801.2</v>
      </c>
      <c r="P106" s="8">
        <f>Elettricità!Y106</f>
        <v>0</v>
      </c>
      <c r="Q106" s="8">
        <f>Elettricità!Z106</f>
        <v>388.03</v>
      </c>
      <c r="R106" s="8">
        <f>Elettricità!AA106</f>
        <v>75.94</v>
      </c>
      <c r="S106" s="8">
        <f>Elettricità!AB106</f>
        <v>159.62</v>
      </c>
      <c r="T106" s="8">
        <f>Elettricità!AC106</f>
        <v>0</v>
      </c>
      <c r="U106" s="8">
        <f>Elettricità!AD106</f>
        <v>144.47999999999999</v>
      </c>
      <c r="V106" s="8">
        <f t="shared" si="26"/>
        <v>2024</v>
      </c>
      <c r="W106" s="8">
        <f>_xlfn.XLOOKUP(A106,Fabbricati!E:E,Fabbricati!D:D)</f>
        <v>382909771</v>
      </c>
      <c r="X106" s="9">
        <f t="shared" si="27"/>
        <v>45571</v>
      </c>
      <c r="Y106" s="9">
        <f t="shared" si="28"/>
        <v>45536</v>
      </c>
      <c r="Z106" s="9">
        <f t="shared" si="29"/>
        <v>45565</v>
      </c>
      <c r="AA106" s="8">
        <f t="shared" si="30"/>
        <v>30</v>
      </c>
      <c r="AB106" s="8">
        <f t="shared" si="31"/>
        <v>106</v>
      </c>
      <c r="AC106" s="12" t="s">
        <v>149</v>
      </c>
      <c r="AD106" s="11" t="str">
        <f t="shared" si="32"/>
        <v>48
21
37</v>
      </c>
      <c r="AE106" s="11" t="str">
        <f t="shared" si="33"/>
        <v>8
1
1</v>
      </c>
      <c r="AF106" s="11"/>
      <c r="AG106" s="11"/>
      <c r="AH106" s="8">
        <f t="shared" si="34"/>
        <v>235.56</v>
      </c>
      <c r="AI106" s="8">
        <f t="shared" si="35"/>
        <v>388.03</v>
      </c>
      <c r="AJ106" s="8">
        <f t="shared" si="36"/>
        <v>144.47999999999999</v>
      </c>
      <c r="AK106" s="8"/>
      <c r="AL106" s="8"/>
      <c r="AM106" s="8">
        <f t="shared" si="37"/>
        <v>0</v>
      </c>
      <c r="AN106" s="8">
        <f t="shared" si="38"/>
        <v>801.2</v>
      </c>
    </row>
    <row r="107" spans="1:40" ht="48" customHeight="1" x14ac:dyDescent="0.2">
      <c r="A107" s="8" t="str">
        <f>Elettricità!I107</f>
        <v>IT001E04170966</v>
      </c>
      <c r="B107" s="8" t="str">
        <f>Elettricità!A107</f>
        <v>005085485055(1).PDF</v>
      </c>
      <c r="C107" s="9">
        <f>Elettricità!E107</f>
        <v>45604</v>
      </c>
      <c r="D107" s="9">
        <f>Elettricità!K107</f>
        <v>45566</v>
      </c>
      <c r="E107" s="9">
        <f>Elettricità!L107</f>
        <v>45596</v>
      </c>
      <c r="F107" s="8">
        <f>Elettricità!M107</f>
        <v>93</v>
      </c>
      <c r="G107" s="8">
        <f>Elettricità!N107</f>
        <v>49</v>
      </c>
      <c r="H107" s="8">
        <f>Elettricità!O107</f>
        <v>16</v>
      </c>
      <c r="I107" s="8">
        <f>Elettricità!P107</f>
        <v>28</v>
      </c>
      <c r="J107" s="8">
        <f>Elettricità!Q107</f>
        <v>1</v>
      </c>
      <c r="K107" s="8">
        <f>Elettricità!R107</f>
        <v>1</v>
      </c>
      <c r="L107" s="8">
        <f>Elettricità!S107</f>
        <v>0</v>
      </c>
      <c r="M107" s="8">
        <f>Elettricità!T107</f>
        <v>0</v>
      </c>
      <c r="N107" s="8">
        <f>Elettricità!W107</f>
        <v>580.29999999999995</v>
      </c>
      <c r="O107" s="8">
        <f>Elettricità!X107</f>
        <v>707.97</v>
      </c>
      <c r="P107" s="8">
        <f>Elettricità!Y107</f>
        <v>0</v>
      </c>
      <c r="Q107" s="8">
        <f>Elettricità!Z107</f>
        <v>346.32</v>
      </c>
      <c r="R107" s="8">
        <f>Elettricità!AA107</f>
        <v>67.05</v>
      </c>
      <c r="S107" s="8">
        <f>Elettricità!AB107</f>
        <v>137.87</v>
      </c>
      <c r="T107" s="8">
        <f>Elettricità!AC107</f>
        <v>0</v>
      </c>
      <c r="U107" s="8">
        <f>Elettricità!AD107</f>
        <v>127.67</v>
      </c>
      <c r="V107" s="8">
        <f t="shared" si="26"/>
        <v>2024</v>
      </c>
      <c r="W107" s="8">
        <f>_xlfn.XLOOKUP(A107,Fabbricati!E:E,Fabbricati!D:D)</f>
        <v>382909771</v>
      </c>
      <c r="X107" s="9">
        <f t="shared" si="27"/>
        <v>45604</v>
      </c>
      <c r="Y107" s="9">
        <f t="shared" si="28"/>
        <v>45566</v>
      </c>
      <c r="Z107" s="9">
        <f t="shared" si="29"/>
        <v>45596</v>
      </c>
      <c r="AA107" s="8">
        <f t="shared" si="30"/>
        <v>31</v>
      </c>
      <c r="AB107" s="8">
        <f t="shared" si="31"/>
        <v>93</v>
      </c>
      <c r="AC107" s="12" t="s">
        <v>149</v>
      </c>
      <c r="AD107" s="11" t="str">
        <f t="shared" si="32"/>
        <v>49
16
28</v>
      </c>
      <c r="AE107" s="11" t="str">
        <f t="shared" si="33"/>
        <v>1
0
0</v>
      </c>
      <c r="AF107" s="11"/>
      <c r="AG107" s="11"/>
      <c r="AH107" s="8">
        <f t="shared" si="34"/>
        <v>204.92000000000002</v>
      </c>
      <c r="AI107" s="8">
        <f t="shared" si="35"/>
        <v>346.32</v>
      </c>
      <c r="AJ107" s="8">
        <f t="shared" si="36"/>
        <v>127.67</v>
      </c>
      <c r="AK107" s="8"/>
      <c r="AL107" s="8"/>
      <c r="AM107" s="8">
        <f t="shared" si="37"/>
        <v>0</v>
      </c>
      <c r="AN107" s="8">
        <f t="shared" si="38"/>
        <v>707.97</v>
      </c>
    </row>
    <row r="108" spans="1:40" ht="48" customHeight="1" x14ac:dyDescent="0.2">
      <c r="A108" s="8" t="str">
        <f>Elettricità!I108</f>
        <v>IT001E04170966</v>
      </c>
      <c r="B108" s="8" t="str">
        <f>Elettricità!A108</f>
        <v>005093369289.PDF</v>
      </c>
      <c r="C108" s="9">
        <f>Elettricità!E108</f>
        <v>45632</v>
      </c>
      <c r="D108" s="9">
        <f>Elettricità!K108</f>
        <v>45597</v>
      </c>
      <c r="E108" s="9">
        <f>Elettricità!L108</f>
        <v>45626</v>
      </c>
      <c r="F108" s="8">
        <f>Elettricità!M108</f>
        <v>100</v>
      </c>
      <c r="G108" s="8">
        <f>Elettricità!N108</f>
        <v>38</v>
      </c>
      <c r="H108" s="8">
        <f>Elettricità!O108</f>
        <v>23</v>
      </c>
      <c r="I108" s="8">
        <f>Elettricità!P108</f>
        <v>39</v>
      </c>
      <c r="J108" s="8">
        <f>Elettricità!Q108</f>
        <v>0</v>
      </c>
      <c r="K108" s="8">
        <f>Elettricità!R108</f>
        <v>0</v>
      </c>
      <c r="L108" s="8">
        <f>Elettricità!S108</f>
        <v>0</v>
      </c>
      <c r="M108" s="8">
        <f>Elettricità!T108</f>
        <v>0</v>
      </c>
      <c r="N108" s="8">
        <f>Elettricità!W108</f>
        <v>636.66999999999996</v>
      </c>
      <c r="O108" s="8">
        <f>Elettricità!X108</f>
        <v>776.74</v>
      </c>
      <c r="P108" s="8">
        <f>Elettricità!Y108</f>
        <v>0</v>
      </c>
      <c r="Q108" s="8">
        <f>Elettricità!Z108</f>
        <v>410.7</v>
      </c>
      <c r="R108" s="8">
        <f>Elettricità!AA108</f>
        <v>58.33</v>
      </c>
      <c r="S108" s="8">
        <f>Elettricità!AB108</f>
        <v>136.38999999999999</v>
      </c>
      <c r="T108" s="8">
        <f>Elettricità!AC108</f>
        <v>0</v>
      </c>
      <c r="U108" s="8">
        <f>Elettricità!AD108</f>
        <v>140.07</v>
      </c>
      <c r="V108" s="8">
        <f t="shared" si="26"/>
        <v>2024</v>
      </c>
      <c r="W108" s="8">
        <f>_xlfn.XLOOKUP(A108,Fabbricati!E:E,Fabbricati!D:D)</f>
        <v>382909771</v>
      </c>
      <c r="X108" s="9">
        <f t="shared" si="27"/>
        <v>45632</v>
      </c>
      <c r="Y108" s="9">
        <f t="shared" si="28"/>
        <v>45597</v>
      </c>
      <c r="Z108" s="9">
        <f t="shared" si="29"/>
        <v>45626</v>
      </c>
      <c r="AA108" s="8">
        <f t="shared" si="30"/>
        <v>30</v>
      </c>
      <c r="AB108" s="8">
        <f t="shared" si="31"/>
        <v>100</v>
      </c>
      <c r="AC108" s="12" t="s">
        <v>149</v>
      </c>
      <c r="AD108" s="11" t="str">
        <f t="shared" si="32"/>
        <v>38
23
39</v>
      </c>
      <c r="AE108" s="11" t="str">
        <f t="shared" si="33"/>
        <v>0
0
0</v>
      </c>
      <c r="AF108" s="11"/>
      <c r="AG108" s="11"/>
      <c r="AH108" s="8">
        <f t="shared" si="34"/>
        <v>194.71999999999997</v>
      </c>
      <c r="AI108" s="8">
        <f t="shared" si="35"/>
        <v>410.7</v>
      </c>
      <c r="AJ108" s="8">
        <f t="shared" si="36"/>
        <v>140.07</v>
      </c>
      <c r="AK108" s="8"/>
      <c r="AL108" s="8"/>
      <c r="AM108" s="8">
        <f t="shared" si="37"/>
        <v>0</v>
      </c>
      <c r="AN108" s="8">
        <f t="shared" si="38"/>
        <v>776.74</v>
      </c>
    </row>
    <row r="109" spans="1:40" ht="48" customHeight="1" x14ac:dyDescent="0.2">
      <c r="A109" s="8" t="str">
        <f>Elettricità!I109</f>
        <v>IT001E04170966</v>
      </c>
      <c r="B109" s="8" t="str">
        <f>Elettricità!A109</f>
        <v>005200218702.PDF</v>
      </c>
      <c r="C109" s="9">
        <f>Elettricità!E109</f>
        <v>45665</v>
      </c>
      <c r="D109" s="9">
        <f>Elettricità!K109</f>
        <v>45627</v>
      </c>
      <c r="E109" s="9">
        <f>Elettricità!L109</f>
        <v>45657</v>
      </c>
      <c r="F109" s="8">
        <f>Elettricità!M109</f>
        <v>120</v>
      </c>
      <c r="G109" s="8">
        <f>Elettricità!N109</f>
        <v>42</v>
      </c>
      <c r="H109" s="8">
        <f>Elettricità!O109</f>
        <v>25</v>
      </c>
      <c r="I109" s="8">
        <f>Elettricità!P109</f>
        <v>53</v>
      </c>
      <c r="J109" s="8">
        <f>Elettricità!Q109</f>
        <v>1</v>
      </c>
      <c r="K109" s="8">
        <f>Elettricità!R109</f>
        <v>1</v>
      </c>
      <c r="L109" s="8">
        <f>Elettricità!S109</f>
        <v>0</v>
      </c>
      <c r="M109" s="8">
        <f>Elettricità!T109</f>
        <v>0</v>
      </c>
      <c r="N109" s="8">
        <f>Elettricità!W109</f>
        <v>786.68</v>
      </c>
      <c r="O109" s="8">
        <f>Elettricità!X109</f>
        <v>959.75</v>
      </c>
      <c r="P109" s="8">
        <f>Elettricità!Y109</f>
        <v>0</v>
      </c>
      <c r="Q109" s="8">
        <f>Elettricità!Z109</f>
        <v>522.72</v>
      </c>
      <c r="R109" s="8">
        <f>Elettricità!AA109</f>
        <v>65.84</v>
      </c>
      <c r="S109" s="8">
        <f>Elettricità!AB109</f>
        <v>160.62</v>
      </c>
      <c r="T109" s="8">
        <f>Elettricità!AC109</f>
        <v>0</v>
      </c>
      <c r="U109" s="8">
        <f>Elettricità!AD109</f>
        <v>173.07</v>
      </c>
      <c r="V109" s="8">
        <f t="shared" si="26"/>
        <v>2024</v>
      </c>
      <c r="W109" s="8">
        <f>_xlfn.XLOOKUP(A109,Fabbricati!E:E,Fabbricati!D:D)</f>
        <v>382909771</v>
      </c>
      <c r="X109" s="9">
        <f t="shared" si="27"/>
        <v>45665</v>
      </c>
      <c r="Y109" s="9">
        <f t="shared" si="28"/>
        <v>45627</v>
      </c>
      <c r="Z109" s="9">
        <f t="shared" si="29"/>
        <v>45657</v>
      </c>
      <c r="AA109" s="8">
        <f t="shared" si="30"/>
        <v>31</v>
      </c>
      <c r="AB109" s="8">
        <f t="shared" si="31"/>
        <v>120</v>
      </c>
      <c r="AC109" s="12" t="s">
        <v>149</v>
      </c>
      <c r="AD109" s="11" t="str">
        <f t="shared" si="32"/>
        <v>42
25
53</v>
      </c>
      <c r="AE109" s="11" t="str">
        <f t="shared" si="33"/>
        <v>1
0
0</v>
      </c>
      <c r="AF109" s="11"/>
      <c r="AG109" s="11"/>
      <c r="AH109" s="8">
        <f t="shared" si="34"/>
        <v>226.46</v>
      </c>
      <c r="AI109" s="8">
        <f t="shared" si="35"/>
        <v>522.72</v>
      </c>
      <c r="AJ109" s="8">
        <f t="shared" si="36"/>
        <v>173.07</v>
      </c>
      <c r="AK109" s="8"/>
      <c r="AL109" s="8"/>
      <c r="AM109" s="8">
        <f t="shared" si="37"/>
        <v>0</v>
      </c>
      <c r="AN109" s="8">
        <f t="shared" si="38"/>
        <v>959.75</v>
      </c>
    </row>
    <row r="110" spans="1:40" ht="48" customHeight="1" x14ac:dyDescent="0.2">
      <c r="A110" s="8" t="str">
        <f>Elettricità!I110</f>
        <v>IT001E04170971</v>
      </c>
      <c r="B110" s="8" t="str">
        <f>Elettricità!A110</f>
        <v>824500045939_2024_d.pdf</v>
      </c>
      <c r="C110" s="9">
        <f>Elettricità!E110</f>
        <v>45350</v>
      </c>
      <c r="D110" s="9">
        <f>Elettricità!K110</f>
        <v>45292</v>
      </c>
      <c r="E110" s="9">
        <f>Elettricità!L110</f>
        <v>45322</v>
      </c>
      <c r="F110" s="8">
        <f>Elettricità!M110</f>
        <v>0</v>
      </c>
      <c r="G110" s="8">
        <f>Elettricità!N110</f>
        <v>0</v>
      </c>
      <c r="H110" s="8">
        <f>Elettricità!O110</f>
        <v>0</v>
      </c>
      <c r="I110" s="8">
        <f>Elettricità!P110</f>
        <v>0</v>
      </c>
      <c r="J110" s="8">
        <f>Elettricità!Q110</f>
        <v>0</v>
      </c>
      <c r="K110" s="8">
        <f>Elettricità!R110</f>
        <v>0</v>
      </c>
      <c r="L110" s="8">
        <f>Elettricità!S110</f>
        <v>0</v>
      </c>
      <c r="M110" s="8">
        <f>Elettricità!T110</f>
        <v>0</v>
      </c>
      <c r="N110" s="8">
        <f>Elettricità!W110</f>
        <v>77.23</v>
      </c>
      <c r="O110" s="8">
        <f>Elettricità!X110</f>
        <v>94.22</v>
      </c>
      <c r="P110" s="8">
        <f>Elettricità!Y110</f>
        <v>0</v>
      </c>
      <c r="Q110" s="8">
        <f>Elettricità!Z110</f>
        <v>0.01</v>
      </c>
      <c r="R110" s="8">
        <f>Elettricità!AA110</f>
        <v>43.62</v>
      </c>
      <c r="S110" s="8">
        <f>Elettricità!AB110</f>
        <v>33.6</v>
      </c>
      <c r="T110" s="8">
        <f>Elettricità!AC110</f>
        <v>0</v>
      </c>
      <c r="U110" s="8">
        <f>Elettricità!AD110</f>
        <v>16.989999999999998</v>
      </c>
      <c r="V110" s="8">
        <f t="shared" si="26"/>
        <v>2024</v>
      </c>
      <c r="W110" s="8">
        <f>_xlfn.XLOOKUP(A110,Fabbricati!E:E,Fabbricati!D:D)</f>
        <v>382910133</v>
      </c>
      <c r="X110" s="9">
        <f t="shared" si="27"/>
        <v>45350</v>
      </c>
      <c r="Y110" s="9">
        <f t="shared" si="28"/>
        <v>45292</v>
      </c>
      <c r="Z110" s="9">
        <f t="shared" si="29"/>
        <v>45322</v>
      </c>
      <c r="AA110" s="8">
        <f t="shared" si="30"/>
        <v>31</v>
      </c>
      <c r="AB110" s="8">
        <f t="shared" si="31"/>
        <v>0</v>
      </c>
      <c r="AC110" s="12" t="s">
        <v>149</v>
      </c>
      <c r="AD110" s="11" t="str">
        <f t="shared" si="32"/>
        <v>0
0
0</v>
      </c>
      <c r="AE110" s="11" t="str">
        <f t="shared" si="33"/>
        <v>0
0
0</v>
      </c>
      <c r="AF110" s="11"/>
      <c r="AG110" s="11"/>
      <c r="AH110" s="8">
        <f t="shared" si="34"/>
        <v>77.22</v>
      </c>
      <c r="AI110" s="8">
        <f t="shared" si="35"/>
        <v>0.01</v>
      </c>
      <c r="AJ110" s="8">
        <f t="shared" si="36"/>
        <v>16.989999999999998</v>
      </c>
      <c r="AK110" s="8"/>
      <c r="AL110" s="8"/>
      <c r="AM110" s="8">
        <f t="shared" si="37"/>
        <v>0</v>
      </c>
      <c r="AN110" s="8">
        <f t="shared" si="38"/>
        <v>94.22</v>
      </c>
    </row>
    <row r="111" spans="1:40" ht="48" customHeight="1" x14ac:dyDescent="0.2">
      <c r="A111" s="8" t="str">
        <f>Elettricità!I111</f>
        <v>IT001E04170971</v>
      </c>
      <c r="B111" s="8" t="str">
        <f>Elettricità!A111</f>
        <v>005018359681.pdf</v>
      </c>
      <c r="C111" s="9">
        <f>Elettricità!E111</f>
        <v>45358</v>
      </c>
      <c r="D111" s="9">
        <f>Elettricità!K111</f>
        <v>45323</v>
      </c>
      <c r="E111" s="9">
        <f>Elettricità!L111</f>
        <v>45351</v>
      </c>
      <c r="F111" s="8">
        <f>Elettricità!M111</f>
        <v>0</v>
      </c>
      <c r="G111" s="8">
        <f>Elettricità!N111</f>
        <v>0</v>
      </c>
      <c r="H111" s="8">
        <f>Elettricità!O111</f>
        <v>0</v>
      </c>
      <c r="I111" s="8">
        <f>Elettricità!P111</f>
        <v>0</v>
      </c>
      <c r="J111" s="8">
        <f>Elettricità!Q111</f>
        <v>0</v>
      </c>
      <c r="K111" s="8">
        <f>Elettricità!R111</f>
        <v>0</v>
      </c>
      <c r="L111" s="8">
        <f>Elettricità!S111</f>
        <v>0</v>
      </c>
      <c r="M111" s="8">
        <f>Elettricità!T111</f>
        <v>0</v>
      </c>
      <c r="N111" s="8">
        <f>Elettricità!W111</f>
        <v>77.22</v>
      </c>
      <c r="O111" s="8">
        <f>Elettricità!X111</f>
        <v>94.21</v>
      </c>
      <c r="P111" s="8">
        <f>Elettricità!Y111</f>
        <v>0</v>
      </c>
      <c r="Q111" s="8">
        <f>Elettricità!Z111</f>
        <v>77.22</v>
      </c>
      <c r="R111" s="8">
        <f>Elettricità!AA111</f>
        <v>43.62</v>
      </c>
      <c r="S111" s="8">
        <f>Elettricità!AB111</f>
        <v>33.6</v>
      </c>
      <c r="T111" s="8">
        <f>Elettricità!AC111</f>
        <v>0</v>
      </c>
      <c r="U111" s="8">
        <f>Elettricità!AD111</f>
        <v>16.989999999999998</v>
      </c>
      <c r="V111" s="8">
        <f t="shared" si="26"/>
        <v>2024</v>
      </c>
      <c r="W111" s="8">
        <f>_xlfn.XLOOKUP(A111,Fabbricati!E:E,Fabbricati!D:D)</f>
        <v>382910133</v>
      </c>
      <c r="X111" s="9">
        <f t="shared" si="27"/>
        <v>45358</v>
      </c>
      <c r="Y111" s="9">
        <f t="shared" si="28"/>
        <v>45323</v>
      </c>
      <c r="Z111" s="9">
        <f t="shared" si="29"/>
        <v>45351</v>
      </c>
      <c r="AA111" s="8">
        <f t="shared" si="30"/>
        <v>29</v>
      </c>
      <c r="AB111" s="8">
        <f t="shared" si="31"/>
        <v>0</v>
      </c>
      <c r="AC111" s="12" t="s">
        <v>149</v>
      </c>
      <c r="AD111" s="11" t="str">
        <f t="shared" si="32"/>
        <v>0
0
0</v>
      </c>
      <c r="AE111" s="11" t="str">
        <f t="shared" si="33"/>
        <v>0
0
0</v>
      </c>
      <c r="AF111" s="11"/>
      <c r="AG111" s="11"/>
      <c r="AH111" s="8">
        <f t="shared" si="34"/>
        <v>77.22</v>
      </c>
      <c r="AI111" s="8">
        <f t="shared" si="35"/>
        <v>77.22</v>
      </c>
      <c r="AJ111" s="8">
        <f t="shared" si="36"/>
        <v>16.989999999999998</v>
      </c>
      <c r="AK111" s="8"/>
      <c r="AL111" s="8"/>
      <c r="AM111" s="8">
        <f t="shared" si="37"/>
        <v>0</v>
      </c>
      <c r="AN111" s="8">
        <f t="shared" si="38"/>
        <v>94.21</v>
      </c>
    </row>
    <row r="112" spans="1:40" ht="48" customHeight="1" x14ac:dyDescent="0.2">
      <c r="A112" s="8" t="str">
        <f>Elettricità!I112</f>
        <v>IT001E04170971</v>
      </c>
      <c r="B112" s="8" t="str">
        <f>Elettricità!A112</f>
        <v>005031183891.pdf</v>
      </c>
      <c r="C112" s="9">
        <f>Elettricità!E112</f>
        <v>45394</v>
      </c>
      <c r="D112" s="9">
        <f>Elettricità!K112</f>
        <v>45352</v>
      </c>
      <c r="E112" s="9">
        <f>Elettricità!L112</f>
        <v>45382</v>
      </c>
      <c r="F112" s="8">
        <f>Elettricità!M112</f>
        <v>0</v>
      </c>
      <c r="G112" s="8">
        <f>Elettricità!N112</f>
        <v>0</v>
      </c>
      <c r="H112" s="8">
        <f>Elettricità!O112</f>
        <v>0</v>
      </c>
      <c r="I112" s="8">
        <f>Elettricità!P112</f>
        <v>0</v>
      </c>
      <c r="J112" s="8">
        <f>Elettricità!Q112</f>
        <v>0</v>
      </c>
      <c r="K112" s="8">
        <f>Elettricità!R112</f>
        <v>0</v>
      </c>
      <c r="L112" s="8">
        <f>Elettricità!S112</f>
        <v>0</v>
      </c>
      <c r="M112" s="8">
        <f>Elettricità!T112</f>
        <v>0</v>
      </c>
      <c r="N112" s="8">
        <f>Elettricità!W112</f>
        <v>77.22</v>
      </c>
      <c r="O112" s="8">
        <f>Elettricità!X112</f>
        <v>94.21</v>
      </c>
      <c r="P112" s="8">
        <f>Elettricità!Y112</f>
        <v>0</v>
      </c>
      <c r="Q112" s="8">
        <f>Elettricità!Z112</f>
        <v>77.22</v>
      </c>
      <c r="R112" s="8">
        <f>Elettricità!AA112</f>
        <v>43.62</v>
      </c>
      <c r="S112" s="8">
        <f>Elettricità!AB112</f>
        <v>33.6</v>
      </c>
      <c r="T112" s="8">
        <f>Elettricità!AC112</f>
        <v>0</v>
      </c>
      <c r="U112" s="8">
        <f>Elettricità!AD112</f>
        <v>16.989999999999998</v>
      </c>
      <c r="V112" s="8">
        <f t="shared" si="26"/>
        <v>2024</v>
      </c>
      <c r="W112" s="8">
        <f>_xlfn.XLOOKUP(A112,Fabbricati!E:E,Fabbricati!D:D)</f>
        <v>382910133</v>
      </c>
      <c r="X112" s="9">
        <f t="shared" si="27"/>
        <v>45394</v>
      </c>
      <c r="Y112" s="9">
        <f t="shared" si="28"/>
        <v>45352</v>
      </c>
      <c r="Z112" s="9">
        <f t="shared" si="29"/>
        <v>45382</v>
      </c>
      <c r="AA112" s="8">
        <f t="shared" si="30"/>
        <v>31</v>
      </c>
      <c r="AB112" s="8">
        <f t="shared" si="31"/>
        <v>0</v>
      </c>
      <c r="AC112" s="12" t="s">
        <v>149</v>
      </c>
      <c r="AD112" s="11" t="str">
        <f t="shared" si="32"/>
        <v>0
0
0</v>
      </c>
      <c r="AE112" s="11" t="str">
        <f t="shared" si="33"/>
        <v>0
0
0</v>
      </c>
      <c r="AF112" s="11"/>
      <c r="AG112" s="11"/>
      <c r="AH112" s="8">
        <f t="shared" si="34"/>
        <v>77.22</v>
      </c>
      <c r="AI112" s="8">
        <f t="shared" si="35"/>
        <v>77.22</v>
      </c>
      <c r="AJ112" s="8">
        <f t="shared" si="36"/>
        <v>16.989999999999998</v>
      </c>
      <c r="AK112" s="8"/>
      <c r="AL112" s="8"/>
      <c r="AM112" s="8">
        <f t="shared" si="37"/>
        <v>0</v>
      </c>
      <c r="AN112" s="8">
        <f t="shared" si="38"/>
        <v>94.21</v>
      </c>
    </row>
    <row r="113" spans="1:40" ht="48" customHeight="1" x14ac:dyDescent="0.2">
      <c r="A113" s="8" t="str">
        <f>Elettricità!I113</f>
        <v>IT001E04170971</v>
      </c>
      <c r="B113" s="8" t="str">
        <f>Elettricità!A113</f>
        <v>005034930236.PDF</v>
      </c>
      <c r="C113" s="9">
        <f>Elettricità!E113</f>
        <v>45419</v>
      </c>
      <c r="D113" s="9">
        <f>Elettricità!K113</f>
        <v>45391</v>
      </c>
      <c r="E113" s="9">
        <f>Elettricità!L113</f>
        <v>45412</v>
      </c>
      <c r="F113" s="8">
        <f>Elettricità!M113</f>
        <v>2</v>
      </c>
      <c r="G113" s="8">
        <f>Elettricità!N113</f>
        <v>0</v>
      </c>
      <c r="H113" s="8">
        <f>Elettricità!O113</f>
        <v>0</v>
      </c>
      <c r="I113" s="8">
        <f>Elettricità!P113</f>
        <v>2</v>
      </c>
      <c r="J113" s="8">
        <f>Elettricità!Q113</f>
        <v>0</v>
      </c>
      <c r="K113" s="8">
        <f>Elettricità!R113</f>
        <v>0</v>
      </c>
      <c r="L113" s="8">
        <f>Elettricità!S113</f>
        <v>0</v>
      </c>
      <c r="M113" s="8">
        <f>Elettricità!T113</f>
        <v>0</v>
      </c>
      <c r="N113" s="8">
        <f>Elettricità!W113</f>
        <v>83.09</v>
      </c>
      <c r="O113" s="8">
        <f>Elettricità!X113</f>
        <v>101.37</v>
      </c>
      <c r="P113" s="8">
        <f>Elettricità!Y113</f>
        <v>0</v>
      </c>
      <c r="Q113" s="8">
        <f>Elettricità!Z113</f>
        <v>0.19</v>
      </c>
      <c r="R113" s="8">
        <f>Elettricità!AA113</f>
        <v>43.65</v>
      </c>
      <c r="S113" s="8">
        <f>Elettricità!AB113</f>
        <v>39.22</v>
      </c>
      <c r="T113" s="8">
        <f>Elettricità!AC113</f>
        <v>0</v>
      </c>
      <c r="U113" s="8">
        <f>Elettricità!AD113</f>
        <v>18.28</v>
      </c>
      <c r="V113" s="8">
        <f t="shared" si="26"/>
        <v>2024</v>
      </c>
      <c r="W113" s="8">
        <f>_xlfn.XLOOKUP(A113,Fabbricati!E:E,Fabbricati!D:D)</f>
        <v>382910133</v>
      </c>
      <c r="X113" s="9">
        <f t="shared" si="27"/>
        <v>45419</v>
      </c>
      <c r="Y113" s="9">
        <f t="shared" si="28"/>
        <v>45391</v>
      </c>
      <c r="Z113" s="9">
        <f t="shared" si="29"/>
        <v>45412</v>
      </c>
      <c r="AA113" s="8">
        <f t="shared" si="30"/>
        <v>22</v>
      </c>
      <c r="AB113" s="8">
        <f t="shared" si="31"/>
        <v>2</v>
      </c>
      <c r="AC113" s="12" t="s">
        <v>149</v>
      </c>
      <c r="AD113" s="11" t="str">
        <f t="shared" si="32"/>
        <v>0
0
2</v>
      </c>
      <c r="AE113" s="11" t="str">
        <f t="shared" si="33"/>
        <v>0
0
0</v>
      </c>
      <c r="AF113" s="11"/>
      <c r="AG113" s="11"/>
      <c r="AH113" s="8">
        <f t="shared" si="34"/>
        <v>82.87</v>
      </c>
      <c r="AI113" s="8">
        <f t="shared" si="35"/>
        <v>0.19</v>
      </c>
      <c r="AJ113" s="8">
        <f t="shared" si="36"/>
        <v>18.28</v>
      </c>
      <c r="AK113" s="8"/>
      <c r="AL113" s="8"/>
      <c r="AM113" s="8">
        <f t="shared" si="37"/>
        <v>0</v>
      </c>
      <c r="AN113" s="8">
        <f t="shared" si="38"/>
        <v>101.37</v>
      </c>
    </row>
    <row r="114" spans="1:40" ht="48" customHeight="1" x14ac:dyDescent="0.2">
      <c r="A114" s="8" t="str">
        <f>Elettricità!I114</f>
        <v>IT001E04170971</v>
      </c>
      <c r="B114" s="8" t="str">
        <f>Elettricità!A114</f>
        <v>005043663100.PDF</v>
      </c>
      <c r="C114" s="9">
        <f>Elettricità!E114</f>
        <v>45449</v>
      </c>
      <c r="D114" s="9">
        <f>Elettricità!K114</f>
        <v>45413</v>
      </c>
      <c r="E114" s="9">
        <f>Elettricità!L114</f>
        <v>45443</v>
      </c>
      <c r="F114" s="8">
        <f>Elettricità!M114</f>
        <v>0</v>
      </c>
      <c r="G114" s="8">
        <f>Elettricità!N114</f>
        <v>0</v>
      </c>
      <c r="H114" s="8">
        <f>Elettricità!O114</f>
        <v>0</v>
      </c>
      <c r="I114" s="8">
        <f>Elettricità!P114</f>
        <v>0</v>
      </c>
      <c r="J114" s="8">
        <f>Elettricità!Q114</f>
        <v>0</v>
      </c>
      <c r="K114" s="8">
        <f>Elettricità!R114</f>
        <v>0</v>
      </c>
      <c r="L114" s="8">
        <f>Elettricità!S114</f>
        <v>0</v>
      </c>
      <c r="M114" s="8">
        <f>Elettricità!T114</f>
        <v>0</v>
      </c>
      <c r="N114" s="8">
        <f>Elettricità!W114</f>
        <v>82.76</v>
      </c>
      <c r="O114" s="8">
        <f>Elettricità!X114</f>
        <v>100.97</v>
      </c>
      <c r="P114" s="8">
        <f>Elettricità!Y114</f>
        <v>0</v>
      </c>
      <c r="Q114" s="8">
        <f>Elettricità!Z114</f>
        <v>82.76</v>
      </c>
      <c r="R114" s="8">
        <f>Elettricità!AA114</f>
        <v>43.62</v>
      </c>
      <c r="S114" s="8">
        <f>Elettricità!AB114</f>
        <v>39.14</v>
      </c>
      <c r="T114" s="8">
        <f>Elettricità!AC114</f>
        <v>0</v>
      </c>
      <c r="U114" s="8">
        <f>Elettricità!AD114</f>
        <v>18.21</v>
      </c>
      <c r="V114" s="8">
        <f t="shared" si="26"/>
        <v>2024</v>
      </c>
      <c r="W114" s="8">
        <f>_xlfn.XLOOKUP(A114,Fabbricati!E:E,Fabbricati!D:D)</f>
        <v>382910133</v>
      </c>
      <c r="X114" s="9">
        <f t="shared" si="27"/>
        <v>45449</v>
      </c>
      <c r="Y114" s="9">
        <f t="shared" si="28"/>
        <v>45413</v>
      </c>
      <c r="Z114" s="9">
        <f t="shared" si="29"/>
        <v>45443</v>
      </c>
      <c r="AA114" s="8">
        <f t="shared" si="30"/>
        <v>31</v>
      </c>
      <c r="AB114" s="8">
        <f t="shared" si="31"/>
        <v>0</v>
      </c>
      <c r="AC114" s="12" t="s">
        <v>149</v>
      </c>
      <c r="AD114" s="11" t="str">
        <f t="shared" si="32"/>
        <v>0
0
0</v>
      </c>
      <c r="AE114" s="11" t="str">
        <f t="shared" si="33"/>
        <v>0
0
0</v>
      </c>
      <c r="AF114" s="11"/>
      <c r="AG114" s="11"/>
      <c r="AH114" s="8">
        <f t="shared" si="34"/>
        <v>82.759999999999991</v>
      </c>
      <c r="AI114" s="8">
        <f t="shared" si="35"/>
        <v>82.76</v>
      </c>
      <c r="AJ114" s="8">
        <f t="shared" si="36"/>
        <v>18.21</v>
      </c>
      <c r="AK114" s="8"/>
      <c r="AL114" s="8"/>
      <c r="AM114" s="8">
        <f t="shared" si="37"/>
        <v>0</v>
      </c>
      <c r="AN114" s="8">
        <f t="shared" si="38"/>
        <v>100.97</v>
      </c>
    </row>
    <row r="115" spans="1:40" ht="48" customHeight="1" x14ac:dyDescent="0.2">
      <c r="A115" s="8" t="str">
        <f>Elettricità!I115</f>
        <v>IT001E04170971</v>
      </c>
      <c r="B115" s="8" t="str">
        <f>Elettricità!A115</f>
        <v>005051431113.pdf</v>
      </c>
      <c r="C115" s="9">
        <f>Elettricità!E115</f>
        <v>45478</v>
      </c>
      <c r="D115" s="9">
        <f>Elettricità!K115</f>
        <v>45444</v>
      </c>
      <c r="E115" s="9">
        <f>Elettricità!L115</f>
        <v>45473</v>
      </c>
      <c r="F115" s="8">
        <f>Elettricità!M115</f>
        <v>0</v>
      </c>
      <c r="G115" s="8">
        <f>Elettricità!N115</f>
        <v>0</v>
      </c>
      <c r="H115" s="8">
        <f>Elettricità!O115</f>
        <v>0</v>
      </c>
      <c r="I115" s="8">
        <f>Elettricità!P115</f>
        <v>0</v>
      </c>
      <c r="J115" s="8">
        <f>Elettricità!Q115</f>
        <v>0</v>
      </c>
      <c r="K115" s="8">
        <f>Elettricità!R115</f>
        <v>0</v>
      </c>
      <c r="L115" s="8">
        <f>Elettricità!S115</f>
        <v>0</v>
      </c>
      <c r="M115" s="8">
        <f>Elettricità!T115</f>
        <v>0</v>
      </c>
      <c r="N115" s="8">
        <f>Elettricità!W115</f>
        <v>82.76</v>
      </c>
      <c r="O115" s="8">
        <f>Elettricità!X115</f>
        <v>100.97</v>
      </c>
      <c r="P115" s="8">
        <f>Elettricità!Y115</f>
        <v>0</v>
      </c>
      <c r="Q115" s="8">
        <f>Elettricità!Z115</f>
        <v>82.76</v>
      </c>
      <c r="R115" s="8">
        <f>Elettricità!AA115</f>
        <v>43.62</v>
      </c>
      <c r="S115" s="8">
        <f>Elettricità!AB115</f>
        <v>39.14</v>
      </c>
      <c r="T115" s="8">
        <f>Elettricità!AC115</f>
        <v>0</v>
      </c>
      <c r="U115" s="8">
        <f>Elettricità!AD115</f>
        <v>18.21</v>
      </c>
      <c r="V115" s="8">
        <f t="shared" si="26"/>
        <v>2024</v>
      </c>
      <c r="W115" s="8">
        <f>_xlfn.XLOOKUP(A115,Fabbricati!E:E,Fabbricati!D:D)</f>
        <v>382910133</v>
      </c>
      <c r="X115" s="9">
        <f t="shared" si="27"/>
        <v>45478</v>
      </c>
      <c r="Y115" s="9">
        <f t="shared" si="28"/>
        <v>45444</v>
      </c>
      <c r="Z115" s="9">
        <f t="shared" si="29"/>
        <v>45473</v>
      </c>
      <c r="AA115" s="8">
        <f t="shared" si="30"/>
        <v>30</v>
      </c>
      <c r="AB115" s="8">
        <f t="shared" si="31"/>
        <v>0</v>
      </c>
      <c r="AC115" s="12" t="s">
        <v>149</v>
      </c>
      <c r="AD115" s="11" t="str">
        <f t="shared" si="32"/>
        <v>0
0
0</v>
      </c>
      <c r="AE115" s="11" t="str">
        <f t="shared" si="33"/>
        <v>0
0
0</v>
      </c>
      <c r="AF115" s="11"/>
      <c r="AG115" s="11"/>
      <c r="AH115" s="8">
        <f t="shared" si="34"/>
        <v>82.759999999999991</v>
      </c>
      <c r="AI115" s="8">
        <f t="shared" si="35"/>
        <v>82.76</v>
      </c>
      <c r="AJ115" s="8">
        <f t="shared" si="36"/>
        <v>18.21</v>
      </c>
      <c r="AK115" s="8"/>
      <c r="AL115" s="8"/>
      <c r="AM115" s="8">
        <f t="shared" si="37"/>
        <v>0</v>
      </c>
      <c r="AN115" s="8">
        <f t="shared" si="38"/>
        <v>100.97</v>
      </c>
    </row>
    <row r="116" spans="1:40" ht="48" customHeight="1" x14ac:dyDescent="0.2">
      <c r="A116" s="8" t="str">
        <f>Elettricità!I116</f>
        <v>IT001E04170971</v>
      </c>
      <c r="B116" s="8" t="str">
        <f>Elettricità!A116</f>
        <v>005059958077.PDF</v>
      </c>
      <c r="C116" s="9">
        <f>Elettricità!E116</f>
        <v>45511</v>
      </c>
      <c r="D116" s="9">
        <f>Elettricità!K116</f>
        <v>45474</v>
      </c>
      <c r="E116" s="9">
        <f>Elettricità!L116</f>
        <v>45504</v>
      </c>
      <c r="F116" s="8">
        <f>Elettricità!M116</f>
        <v>0</v>
      </c>
      <c r="G116" s="8">
        <f>Elettricità!N116</f>
        <v>0</v>
      </c>
      <c r="H116" s="8">
        <f>Elettricità!O116</f>
        <v>0</v>
      </c>
      <c r="I116" s="8">
        <f>Elettricità!P116</f>
        <v>0</v>
      </c>
      <c r="J116" s="8">
        <f>Elettricità!Q116</f>
        <v>0</v>
      </c>
      <c r="K116" s="8">
        <f>Elettricità!R116</f>
        <v>0</v>
      </c>
      <c r="L116" s="8">
        <f>Elettricità!S116</f>
        <v>0</v>
      </c>
      <c r="M116" s="8">
        <f>Elettricità!T116</f>
        <v>0</v>
      </c>
      <c r="N116" s="8">
        <f>Elettricità!W116</f>
        <v>82.76</v>
      </c>
      <c r="O116" s="8">
        <f>Elettricità!X116</f>
        <v>100.97</v>
      </c>
      <c r="P116" s="8">
        <f>Elettricità!Y116</f>
        <v>0</v>
      </c>
      <c r="Q116" s="8">
        <f>Elettricità!Z116</f>
        <v>82.76</v>
      </c>
      <c r="R116" s="8">
        <f>Elettricità!AA116</f>
        <v>43.62</v>
      </c>
      <c r="S116" s="8">
        <f>Elettricità!AB116</f>
        <v>39.14</v>
      </c>
      <c r="T116" s="8">
        <f>Elettricità!AC116</f>
        <v>0</v>
      </c>
      <c r="U116" s="8">
        <f>Elettricità!AD116</f>
        <v>18.21</v>
      </c>
      <c r="V116" s="8">
        <f t="shared" si="26"/>
        <v>2024</v>
      </c>
      <c r="W116" s="8">
        <f>_xlfn.XLOOKUP(A116,Fabbricati!E:E,Fabbricati!D:D)</f>
        <v>382910133</v>
      </c>
      <c r="X116" s="9">
        <f t="shared" si="27"/>
        <v>45511</v>
      </c>
      <c r="Y116" s="9">
        <f t="shared" si="28"/>
        <v>45474</v>
      </c>
      <c r="Z116" s="9">
        <f t="shared" si="29"/>
        <v>45504</v>
      </c>
      <c r="AA116" s="8">
        <f t="shared" si="30"/>
        <v>31</v>
      </c>
      <c r="AB116" s="8">
        <f t="shared" si="31"/>
        <v>0</v>
      </c>
      <c r="AC116" s="12" t="s">
        <v>149</v>
      </c>
      <c r="AD116" s="11" t="str">
        <f t="shared" si="32"/>
        <v>0
0
0</v>
      </c>
      <c r="AE116" s="11" t="str">
        <f t="shared" si="33"/>
        <v>0
0
0</v>
      </c>
      <c r="AF116" s="11"/>
      <c r="AG116" s="11"/>
      <c r="AH116" s="8">
        <f t="shared" si="34"/>
        <v>82.759999999999991</v>
      </c>
      <c r="AI116" s="8">
        <f t="shared" si="35"/>
        <v>82.76</v>
      </c>
      <c r="AJ116" s="8">
        <f t="shared" si="36"/>
        <v>18.21</v>
      </c>
      <c r="AK116" s="8"/>
      <c r="AL116" s="8"/>
      <c r="AM116" s="8">
        <f t="shared" si="37"/>
        <v>0</v>
      </c>
      <c r="AN116" s="8">
        <f t="shared" si="38"/>
        <v>100.97</v>
      </c>
    </row>
    <row r="117" spans="1:40" ht="48" customHeight="1" x14ac:dyDescent="0.2">
      <c r="A117" s="8" t="str">
        <f>Elettricità!I117</f>
        <v>IT001E04170971</v>
      </c>
      <c r="B117" s="8" t="str">
        <f>Elettricità!A117</f>
        <v>005067307611.PDF</v>
      </c>
      <c r="C117" s="9">
        <f>Elettricità!E117</f>
        <v>45541</v>
      </c>
      <c r="D117" s="9">
        <f>Elettricità!K117</f>
        <v>45505</v>
      </c>
      <c r="E117" s="9">
        <f>Elettricità!L117</f>
        <v>45535</v>
      </c>
      <c r="F117" s="8">
        <f>Elettricità!M117</f>
        <v>2</v>
      </c>
      <c r="G117" s="8">
        <f>Elettricità!N117</f>
        <v>0</v>
      </c>
      <c r="H117" s="8">
        <f>Elettricità!O117</f>
        <v>0</v>
      </c>
      <c r="I117" s="8">
        <f>Elettricità!P117</f>
        <v>2</v>
      </c>
      <c r="J117" s="8">
        <f>Elettricità!Q117</f>
        <v>0</v>
      </c>
      <c r="K117" s="8">
        <f>Elettricità!R117</f>
        <v>0</v>
      </c>
      <c r="L117" s="8">
        <f>Elettricità!S117</f>
        <v>0</v>
      </c>
      <c r="M117" s="8">
        <f>Elettricità!T117</f>
        <v>0</v>
      </c>
      <c r="N117" s="8">
        <f>Elettricità!W117</f>
        <v>82.76</v>
      </c>
      <c r="O117" s="8">
        <f>Elettricità!X117</f>
        <v>100.97</v>
      </c>
      <c r="P117" s="8">
        <f>Elettricità!Y117</f>
        <v>0</v>
      </c>
      <c r="Q117" s="8">
        <f>Elettricità!Z117</f>
        <v>82.76</v>
      </c>
      <c r="R117" s="8">
        <f>Elettricità!AA117</f>
        <v>43.62</v>
      </c>
      <c r="S117" s="8">
        <f>Elettricità!AB117</f>
        <v>39.14</v>
      </c>
      <c r="T117" s="8">
        <f>Elettricità!AC117</f>
        <v>0</v>
      </c>
      <c r="U117" s="8">
        <f>Elettricità!AD117</f>
        <v>18.21</v>
      </c>
      <c r="V117" s="8">
        <f t="shared" si="26"/>
        <v>2024</v>
      </c>
      <c r="W117" s="8">
        <f>_xlfn.XLOOKUP(A117,Fabbricati!E:E,Fabbricati!D:D)</f>
        <v>382910133</v>
      </c>
      <c r="X117" s="9">
        <f t="shared" si="27"/>
        <v>45541</v>
      </c>
      <c r="Y117" s="9">
        <f t="shared" si="28"/>
        <v>45505</v>
      </c>
      <c r="Z117" s="9">
        <f t="shared" si="29"/>
        <v>45535</v>
      </c>
      <c r="AA117" s="8">
        <f t="shared" si="30"/>
        <v>31</v>
      </c>
      <c r="AB117" s="8">
        <f t="shared" si="31"/>
        <v>2</v>
      </c>
      <c r="AC117" s="12" t="s">
        <v>149</v>
      </c>
      <c r="AD117" s="11" t="str">
        <f t="shared" si="32"/>
        <v>0
0
2</v>
      </c>
      <c r="AE117" s="11" t="str">
        <f t="shared" si="33"/>
        <v>0
0
0</v>
      </c>
      <c r="AF117" s="11"/>
      <c r="AG117" s="11"/>
      <c r="AH117" s="8">
        <f t="shared" si="34"/>
        <v>82.759999999999991</v>
      </c>
      <c r="AI117" s="8">
        <f t="shared" si="35"/>
        <v>82.76</v>
      </c>
      <c r="AJ117" s="8">
        <f t="shared" si="36"/>
        <v>18.21</v>
      </c>
      <c r="AK117" s="8"/>
      <c r="AL117" s="8"/>
      <c r="AM117" s="8">
        <f t="shared" si="37"/>
        <v>0</v>
      </c>
      <c r="AN117" s="8">
        <f t="shared" si="38"/>
        <v>100.97</v>
      </c>
    </row>
    <row r="118" spans="1:40" ht="48" customHeight="1" x14ac:dyDescent="0.2">
      <c r="A118" s="8" t="str">
        <f>Elettricità!I118</f>
        <v>IT001E04170971</v>
      </c>
      <c r="B118" s="8" t="str">
        <f>Elettricità!A118</f>
        <v>005076823030.PDF</v>
      </c>
      <c r="C118" s="9">
        <f>Elettricità!E118</f>
        <v>45572</v>
      </c>
      <c r="D118" s="9">
        <f>Elettricità!K118</f>
        <v>45536</v>
      </c>
      <c r="E118" s="9">
        <f>Elettricità!L118</f>
        <v>45565</v>
      </c>
      <c r="F118" s="8">
        <f>Elettricità!M118</f>
        <v>0</v>
      </c>
      <c r="G118" s="8">
        <f>Elettricità!N118</f>
        <v>0</v>
      </c>
      <c r="H118" s="8">
        <f>Elettricità!O118</f>
        <v>0</v>
      </c>
      <c r="I118" s="8">
        <f>Elettricità!P118</f>
        <v>0</v>
      </c>
      <c r="J118" s="8">
        <f>Elettricità!Q118</f>
        <v>0</v>
      </c>
      <c r="K118" s="8">
        <f>Elettricità!R118</f>
        <v>0</v>
      </c>
      <c r="L118" s="8">
        <f>Elettricità!S118</f>
        <v>0</v>
      </c>
      <c r="M118" s="8">
        <f>Elettricità!T118</f>
        <v>0</v>
      </c>
      <c r="N118" s="8">
        <f>Elettricità!W118</f>
        <v>82.76</v>
      </c>
      <c r="O118" s="8">
        <f>Elettricità!X118</f>
        <v>100.97</v>
      </c>
      <c r="P118" s="8">
        <f>Elettricità!Y118</f>
        <v>0</v>
      </c>
      <c r="Q118" s="8">
        <f>Elettricità!Z118</f>
        <v>82.76</v>
      </c>
      <c r="R118" s="8">
        <f>Elettricità!AA118</f>
        <v>43.62</v>
      </c>
      <c r="S118" s="8">
        <f>Elettricità!AB118</f>
        <v>39.14</v>
      </c>
      <c r="T118" s="8">
        <f>Elettricità!AC118</f>
        <v>0</v>
      </c>
      <c r="U118" s="8">
        <f>Elettricità!AD118</f>
        <v>18.21</v>
      </c>
      <c r="V118" s="8">
        <f t="shared" si="26"/>
        <v>2024</v>
      </c>
      <c r="W118" s="8">
        <f>_xlfn.XLOOKUP(A118,Fabbricati!E:E,Fabbricati!D:D)</f>
        <v>382910133</v>
      </c>
      <c r="X118" s="9">
        <f t="shared" si="27"/>
        <v>45572</v>
      </c>
      <c r="Y118" s="9">
        <f t="shared" si="28"/>
        <v>45536</v>
      </c>
      <c r="Z118" s="9">
        <f t="shared" si="29"/>
        <v>45565</v>
      </c>
      <c r="AA118" s="8">
        <f t="shared" si="30"/>
        <v>30</v>
      </c>
      <c r="AB118" s="8">
        <f t="shared" si="31"/>
        <v>0</v>
      </c>
      <c r="AC118" s="12" t="s">
        <v>149</v>
      </c>
      <c r="AD118" s="11" t="str">
        <f t="shared" si="32"/>
        <v>0
0
0</v>
      </c>
      <c r="AE118" s="11" t="str">
        <f t="shared" si="33"/>
        <v>0
0
0</v>
      </c>
      <c r="AF118" s="11"/>
      <c r="AG118" s="11"/>
      <c r="AH118" s="8">
        <f t="shared" si="34"/>
        <v>82.759999999999991</v>
      </c>
      <c r="AI118" s="8">
        <f t="shared" si="35"/>
        <v>82.76</v>
      </c>
      <c r="AJ118" s="8">
        <f t="shared" si="36"/>
        <v>18.21</v>
      </c>
      <c r="AK118" s="8"/>
      <c r="AL118" s="8"/>
      <c r="AM118" s="8">
        <f t="shared" si="37"/>
        <v>0</v>
      </c>
      <c r="AN118" s="8">
        <f t="shared" si="38"/>
        <v>100.97</v>
      </c>
    </row>
    <row r="119" spans="1:40" ht="48" customHeight="1" x14ac:dyDescent="0.2">
      <c r="A119" s="8" t="str">
        <f>Elettricità!I119</f>
        <v>IT001E04170971</v>
      </c>
      <c r="B119" s="8" t="str">
        <f>Elettricità!A119</f>
        <v>005085485047.PDF</v>
      </c>
      <c r="C119" s="9">
        <f>Elettricità!E119</f>
        <v>45604</v>
      </c>
      <c r="D119" s="9">
        <f>Elettricità!K119</f>
        <v>45566</v>
      </c>
      <c r="E119" s="9">
        <f>Elettricità!L119</f>
        <v>45596</v>
      </c>
      <c r="F119" s="8">
        <f>Elettricità!M119</f>
        <v>0</v>
      </c>
      <c r="G119" s="8">
        <f>Elettricità!N119</f>
        <v>0</v>
      </c>
      <c r="H119" s="8">
        <f>Elettricità!O119</f>
        <v>0</v>
      </c>
      <c r="I119" s="8">
        <f>Elettricità!P119</f>
        <v>0</v>
      </c>
      <c r="J119" s="8">
        <f>Elettricità!Q119</f>
        <v>0</v>
      </c>
      <c r="K119" s="8">
        <f>Elettricità!R119</f>
        <v>0</v>
      </c>
      <c r="L119" s="8">
        <f>Elettricità!S119</f>
        <v>0</v>
      </c>
      <c r="M119" s="8">
        <f>Elettricità!T119</f>
        <v>0</v>
      </c>
      <c r="N119" s="8">
        <f>Elettricità!W119</f>
        <v>82.76</v>
      </c>
      <c r="O119" s="8">
        <f>Elettricità!X119</f>
        <v>100.97</v>
      </c>
      <c r="P119" s="8">
        <f>Elettricità!Y119</f>
        <v>0</v>
      </c>
      <c r="Q119" s="8">
        <f>Elettricità!Z119</f>
        <v>82.76</v>
      </c>
      <c r="R119" s="8">
        <f>Elettricità!AA119</f>
        <v>43.62</v>
      </c>
      <c r="S119" s="8">
        <f>Elettricità!AB119</f>
        <v>39.14</v>
      </c>
      <c r="T119" s="8">
        <f>Elettricità!AC119</f>
        <v>0</v>
      </c>
      <c r="U119" s="8">
        <f>Elettricità!AD119</f>
        <v>18.21</v>
      </c>
      <c r="V119" s="8">
        <f t="shared" si="26"/>
        <v>2024</v>
      </c>
      <c r="W119" s="8">
        <f>_xlfn.XLOOKUP(A119,Fabbricati!E:E,Fabbricati!D:D)</f>
        <v>382910133</v>
      </c>
      <c r="X119" s="9">
        <f t="shared" si="27"/>
        <v>45604</v>
      </c>
      <c r="Y119" s="9">
        <f t="shared" si="28"/>
        <v>45566</v>
      </c>
      <c r="Z119" s="9">
        <f t="shared" si="29"/>
        <v>45596</v>
      </c>
      <c r="AA119" s="8">
        <f t="shared" si="30"/>
        <v>31</v>
      </c>
      <c r="AB119" s="8">
        <f t="shared" si="31"/>
        <v>0</v>
      </c>
      <c r="AC119" s="12" t="s">
        <v>149</v>
      </c>
      <c r="AD119" s="11" t="str">
        <f t="shared" si="32"/>
        <v>0
0
0</v>
      </c>
      <c r="AE119" s="11" t="str">
        <f t="shared" si="33"/>
        <v>0
0
0</v>
      </c>
      <c r="AF119" s="11"/>
      <c r="AG119" s="11"/>
      <c r="AH119" s="8">
        <f t="shared" si="34"/>
        <v>82.759999999999991</v>
      </c>
      <c r="AI119" s="8">
        <f t="shared" si="35"/>
        <v>82.76</v>
      </c>
      <c r="AJ119" s="8">
        <f t="shared" si="36"/>
        <v>18.21</v>
      </c>
      <c r="AK119" s="8"/>
      <c r="AL119" s="8"/>
      <c r="AM119" s="8">
        <f t="shared" si="37"/>
        <v>0</v>
      </c>
      <c r="AN119" s="8">
        <f t="shared" si="38"/>
        <v>100.97</v>
      </c>
    </row>
    <row r="120" spans="1:40" ht="48" customHeight="1" x14ac:dyDescent="0.2">
      <c r="A120" s="8" t="str">
        <f>Elettricità!I120</f>
        <v>IT001E04170971</v>
      </c>
      <c r="B120" s="8" t="str">
        <f>Elettricità!A120</f>
        <v>005093369281.PDF</v>
      </c>
      <c r="C120" s="9">
        <f>Elettricità!E120</f>
        <v>45632</v>
      </c>
      <c r="D120" s="9">
        <f>Elettricità!K120</f>
        <v>45597</v>
      </c>
      <c r="E120" s="9">
        <f>Elettricità!L120</f>
        <v>45626</v>
      </c>
      <c r="F120" s="8">
        <f>Elettricità!M120</f>
        <v>0</v>
      </c>
      <c r="G120" s="8">
        <f>Elettricità!N120</f>
        <v>0</v>
      </c>
      <c r="H120" s="8">
        <f>Elettricità!O120</f>
        <v>0</v>
      </c>
      <c r="I120" s="8">
        <f>Elettricità!P120</f>
        <v>0</v>
      </c>
      <c r="J120" s="8">
        <f>Elettricità!Q120</f>
        <v>0</v>
      </c>
      <c r="K120" s="8">
        <f>Elettricità!R120</f>
        <v>0</v>
      </c>
      <c r="L120" s="8">
        <f>Elettricità!S120</f>
        <v>0</v>
      </c>
      <c r="M120" s="8">
        <f>Elettricità!T120</f>
        <v>0</v>
      </c>
      <c r="N120" s="8">
        <f>Elettricità!W120</f>
        <v>82.76</v>
      </c>
      <c r="O120" s="8">
        <f>Elettricità!X120</f>
        <v>100.97</v>
      </c>
      <c r="P120" s="8">
        <f>Elettricità!Y120</f>
        <v>0</v>
      </c>
      <c r="Q120" s="8">
        <f>Elettricità!Z120</f>
        <v>82.76</v>
      </c>
      <c r="R120" s="8">
        <f>Elettricità!AA120</f>
        <v>43.62</v>
      </c>
      <c r="S120" s="8">
        <f>Elettricità!AB120</f>
        <v>39.14</v>
      </c>
      <c r="T120" s="8">
        <f>Elettricità!AC120</f>
        <v>0</v>
      </c>
      <c r="U120" s="8">
        <f>Elettricità!AD120</f>
        <v>18.21</v>
      </c>
      <c r="V120" s="8">
        <f t="shared" si="26"/>
        <v>2024</v>
      </c>
      <c r="W120" s="8">
        <f>_xlfn.XLOOKUP(A120,Fabbricati!E:E,Fabbricati!D:D)</f>
        <v>382910133</v>
      </c>
      <c r="X120" s="9">
        <f t="shared" si="27"/>
        <v>45632</v>
      </c>
      <c r="Y120" s="9">
        <f t="shared" si="28"/>
        <v>45597</v>
      </c>
      <c r="Z120" s="9">
        <f t="shared" si="29"/>
        <v>45626</v>
      </c>
      <c r="AA120" s="8">
        <f t="shared" si="30"/>
        <v>30</v>
      </c>
      <c r="AB120" s="8">
        <f t="shared" si="31"/>
        <v>0</v>
      </c>
      <c r="AC120" s="12" t="s">
        <v>149</v>
      </c>
      <c r="AD120" s="11" t="str">
        <f t="shared" si="32"/>
        <v>0
0
0</v>
      </c>
      <c r="AE120" s="11" t="str">
        <f t="shared" si="33"/>
        <v>0
0
0</v>
      </c>
      <c r="AF120" s="11"/>
      <c r="AG120" s="11"/>
      <c r="AH120" s="8">
        <f t="shared" si="34"/>
        <v>82.759999999999991</v>
      </c>
      <c r="AI120" s="8">
        <f t="shared" si="35"/>
        <v>82.76</v>
      </c>
      <c r="AJ120" s="8">
        <f t="shared" si="36"/>
        <v>18.21</v>
      </c>
      <c r="AK120" s="8"/>
      <c r="AL120" s="8"/>
      <c r="AM120" s="8">
        <f t="shared" si="37"/>
        <v>0</v>
      </c>
      <c r="AN120" s="8">
        <f t="shared" si="38"/>
        <v>100.97</v>
      </c>
    </row>
    <row r="121" spans="1:40" ht="48" customHeight="1" x14ac:dyDescent="0.2">
      <c r="A121" s="8" t="str">
        <f>Elettricità!I121</f>
        <v>IT001E04170971</v>
      </c>
      <c r="B121" s="8" t="str">
        <f>Elettricità!A121</f>
        <v>005200218694.PDF</v>
      </c>
      <c r="C121" s="9">
        <f>Elettricità!E121</f>
        <v>45665</v>
      </c>
      <c r="D121" s="9">
        <f>Elettricità!K121</f>
        <v>45627</v>
      </c>
      <c r="E121" s="9">
        <f>Elettricità!L121</f>
        <v>45657</v>
      </c>
      <c r="F121" s="8">
        <f>Elettricità!M121</f>
        <v>0</v>
      </c>
      <c r="G121" s="8">
        <f>Elettricità!N121</f>
        <v>0</v>
      </c>
      <c r="H121" s="8">
        <f>Elettricità!O121</f>
        <v>0</v>
      </c>
      <c r="I121" s="8">
        <f>Elettricità!P121</f>
        <v>0</v>
      </c>
      <c r="J121" s="8">
        <f>Elettricità!Q121</f>
        <v>0</v>
      </c>
      <c r="K121" s="8">
        <f>Elettricità!R121</f>
        <v>0</v>
      </c>
      <c r="L121" s="8">
        <f>Elettricità!S121</f>
        <v>0</v>
      </c>
      <c r="M121" s="8">
        <f>Elettricità!T121</f>
        <v>0</v>
      </c>
      <c r="N121" s="8">
        <f>Elettricità!W121</f>
        <v>82.76</v>
      </c>
      <c r="O121" s="8">
        <f>Elettricità!X121</f>
        <v>100.97</v>
      </c>
      <c r="P121" s="8">
        <f>Elettricità!Y121</f>
        <v>0</v>
      </c>
      <c r="Q121" s="8">
        <f>Elettricità!Z121</f>
        <v>82.76</v>
      </c>
      <c r="R121" s="8">
        <f>Elettricità!AA121</f>
        <v>43.62</v>
      </c>
      <c r="S121" s="8">
        <f>Elettricità!AB121</f>
        <v>39.14</v>
      </c>
      <c r="T121" s="8">
        <f>Elettricità!AC121</f>
        <v>0</v>
      </c>
      <c r="U121" s="8">
        <f>Elettricità!AD121</f>
        <v>18.21</v>
      </c>
      <c r="V121" s="8">
        <f t="shared" si="26"/>
        <v>2024</v>
      </c>
      <c r="W121" s="8">
        <f>_xlfn.XLOOKUP(A121,Fabbricati!E:E,Fabbricati!D:D)</f>
        <v>382910133</v>
      </c>
      <c r="X121" s="9">
        <f t="shared" si="27"/>
        <v>45665</v>
      </c>
      <c r="Y121" s="9">
        <f t="shared" si="28"/>
        <v>45627</v>
      </c>
      <c r="Z121" s="9">
        <f t="shared" si="29"/>
        <v>45657</v>
      </c>
      <c r="AA121" s="8">
        <f t="shared" si="30"/>
        <v>31</v>
      </c>
      <c r="AB121" s="8">
        <f t="shared" si="31"/>
        <v>0</v>
      </c>
      <c r="AC121" s="12" t="s">
        <v>149</v>
      </c>
      <c r="AD121" s="11" t="str">
        <f t="shared" si="32"/>
        <v>0
0
0</v>
      </c>
      <c r="AE121" s="11" t="str">
        <f t="shared" si="33"/>
        <v>0
0
0</v>
      </c>
      <c r="AF121" s="11"/>
      <c r="AG121" s="11"/>
      <c r="AH121" s="8">
        <f t="shared" si="34"/>
        <v>82.759999999999991</v>
      </c>
      <c r="AI121" s="8">
        <f t="shared" si="35"/>
        <v>82.76</v>
      </c>
      <c r="AJ121" s="8">
        <f t="shared" si="36"/>
        <v>18.21</v>
      </c>
      <c r="AK121" s="8"/>
      <c r="AL121" s="8"/>
      <c r="AM121" s="8">
        <f t="shared" si="37"/>
        <v>0</v>
      </c>
      <c r="AN121" s="8">
        <f t="shared" si="38"/>
        <v>100.97</v>
      </c>
    </row>
    <row r="122" spans="1:40" ht="48" customHeight="1" x14ac:dyDescent="0.2">
      <c r="A122" s="8" t="str">
        <f>Elettricità!I122</f>
        <v>IT001E04170980</v>
      </c>
      <c r="B122" s="8" t="str">
        <f>Elettricità!A122</f>
        <v>824500045712_2024_d.pdf</v>
      </c>
      <c r="C122" s="9">
        <f>Elettricità!E122</f>
        <v>45350</v>
      </c>
      <c r="D122" s="9">
        <f>Elettricità!K122</f>
        <v>45292</v>
      </c>
      <c r="E122" s="9">
        <f>Elettricità!L122</f>
        <v>45322</v>
      </c>
      <c r="F122" s="8">
        <f>Elettricità!M122</f>
        <v>15</v>
      </c>
      <c r="G122" s="8">
        <f>Elettricità!N122</f>
        <v>5</v>
      </c>
      <c r="H122" s="8">
        <f>Elettricità!O122</f>
        <v>3</v>
      </c>
      <c r="I122" s="8">
        <f>Elettricità!P122</f>
        <v>7</v>
      </c>
      <c r="J122" s="8">
        <f>Elettricità!Q122</f>
        <v>10</v>
      </c>
      <c r="K122" s="8">
        <f>Elettricità!R122</f>
        <v>3</v>
      </c>
      <c r="L122" s="8">
        <f>Elettricità!S122</f>
        <v>2</v>
      </c>
      <c r="M122" s="8">
        <f>Elettricità!T122</f>
        <v>5</v>
      </c>
      <c r="N122" s="8">
        <f>Elettricità!W122</f>
        <v>80.67</v>
      </c>
      <c r="O122" s="8">
        <f>Elettricità!X122</f>
        <v>98.42</v>
      </c>
      <c r="P122" s="8">
        <f>Elettricità!Y122</f>
        <v>0</v>
      </c>
      <c r="Q122" s="8">
        <f>Elettricità!Z122</f>
        <v>2.35</v>
      </c>
      <c r="R122" s="8">
        <f>Elettricità!AA122</f>
        <v>43.83</v>
      </c>
      <c r="S122" s="8">
        <f>Elettricità!AB122</f>
        <v>34.22</v>
      </c>
      <c r="T122" s="8">
        <f>Elettricità!AC122</f>
        <v>0.08</v>
      </c>
      <c r="U122" s="8">
        <f>Elettricità!AD122</f>
        <v>0.19</v>
      </c>
      <c r="V122" s="8">
        <f t="shared" si="26"/>
        <v>2024</v>
      </c>
      <c r="W122" s="8">
        <f>_xlfn.XLOOKUP(A122,Fabbricati!E:E,Fabbricati!D:D)</f>
        <v>300469116</v>
      </c>
      <c r="X122" s="9">
        <f t="shared" si="27"/>
        <v>45350</v>
      </c>
      <c r="Y122" s="9">
        <f t="shared" si="28"/>
        <v>45292</v>
      </c>
      <c r="Z122" s="9">
        <f t="shared" si="29"/>
        <v>45322</v>
      </c>
      <c r="AA122" s="8">
        <f t="shared" si="30"/>
        <v>31</v>
      </c>
      <c r="AB122" s="8">
        <f t="shared" si="31"/>
        <v>15</v>
      </c>
      <c r="AC122" s="12" t="s">
        <v>149</v>
      </c>
      <c r="AD122" s="11" t="str">
        <f t="shared" si="32"/>
        <v>5
3
7</v>
      </c>
      <c r="AE122" s="11" t="str">
        <f t="shared" si="33"/>
        <v>3
2
5</v>
      </c>
      <c r="AF122" s="11"/>
      <c r="AG122" s="11"/>
      <c r="AH122" s="8">
        <f t="shared" si="34"/>
        <v>78.05</v>
      </c>
      <c r="AI122" s="8">
        <f t="shared" si="35"/>
        <v>2.35</v>
      </c>
      <c r="AJ122" s="8">
        <f t="shared" si="36"/>
        <v>0.19</v>
      </c>
      <c r="AK122" s="8"/>
      <c r="AL122" s="8"/>
      <c r="AM122" s="8">
        <f t="shared" si="37"/>
        <v>0.08</v>
      </c>
      <c r="AN122" s="8">
        <f t="shared" si="38"/>
        <v>98.42</v>
      </c>
    </row>
    <row r="123" spans="1:40" ht="48" customHeight="1" x14ac:dyDescent="0.2">
      <c r="A123" s="8" t="str">
        <f>Elettricità!I123</f>
        <v>IT001E04170980</v>
      </c>
      <c r="B123" s="8" t="str">
        <f>Elettricità!A123</f>
        <v>005018359674.pdf</v>
      </c>
      <c r="C123" s="9">
        <f>Elettricità!E123</f>
        <v>45358</v>
      </c>
      <c r="D123" s="9">
        <f>Elettricità!K123</f>
        <v>45323</v>
      </c>
      <c r="E123" s="9">
        <f>Elettricità!L123</f>
        <v>45351</v>
      </c>
      <c r="F123" s="8">
        <f>Elettricità!M123</f>
        <v>5</v>
      </c>
      <c r="G123" s="8">
        <f>Elettricità!N123</f>
        <v>2</v>
      </c>
      <c r="H123" s="8">
        <f>Elettricità!O123</f>
        <v>1</v>
      </c>
      <c r="I123" s="8">
        <f>Elettricità!P123</f>
        <v>2</v>
      </c>
      <c r="J123" s="8">
        <f>Elettricità!Q123</f>
        <v>5</v>
      </c>
      <c r="K123" s="8">
        <f>Elettricità!R123</f>
        <v>1</v>
      </c>
      <c r="L123" s="8">
        <f>Elettricità!S123</f>
        <v>2</v>
      </c>
      <c r="M123" s="8">
        <f>Elettricità!T123</f>
        <v>2</v>
      </c>
      <c r="N123" s="8">
        <f>Elettricità!W123</f>
        <v>78.09</v>
      </c>
      <c r="O123" s="8">
        <f>Elettricità!X123</f>
        <v>95.27</v>
      </c>
      <c r="P123" s="8">
        <f>Elettricità!Y123</f>
        <v>0</v>
      </c>
      <c r="Q123" s="8">
        <f>Elettricità!Z123</f>
        <v>0.54</v>
      </c>
      <c r="R123" s="8">
        <f>Elettricità!AA123</f>
        <v>43.69</v>
      </c>
      <c r="S123" s="8">
        <f>Elettricità!AB123</f>
        <v>33.799999999999997</v>
      </c>
      <c r="T123" s="8">
        <f>Elettricità!AC123</f>
        <v>0</v>
      </c>
      <c r="U123" s="8">
        <f>Elettricità!AD123</f>
        <v>17.18</v>
      </c>
      <c r="V123" s="8">
        <f t="shared" si="26"/>
        <v>2024</v>
      </c>
      <c r="W123" s="8">
        <f>_xlfn.XLOOKUP(A123,Fabbricati!E:E,Fabbricati!D:D)</f>
        <v>300469116</v>
      </c>
      <c r="X123" s="9">
        <f t="shared" si="27"/>
        <v>45358</v>
      </c>
      <c r="Y123" s="9">
        <f t="shared" si="28"/>
        <v>45323</v>
      </c>
      <c r="Z123" s="9">
        <f t="shared" si="29"/>
        <v>45351</v>
      </c>
      <c r="AA123" s="8">
        <f t="shared" si="30"/>
        <v>29</v>
      </c>
      <c r="AB123" s="8">
        <f t="shared" si="31"/>
        <v>5</v>
      </c>
      <c r="AC123" s="12" t="s">
        <v>149</v>
      </c>
      <c r="AD123" s="11" t="str">
        <f t="shared" si="32"/>
        <v>2
1
2</v>
      </c>
      <c r="AE123" s="11" t="str">
        <f t="shared" si="33"/>
        <v>1
2
2</v>
      </c>
      <c r="AF123" s="11"/>
      <c r="AG123" s="11"/>
      <c r="AH123" s="8">
        <f t="shared" si="34"/>
        <v>77.489999999999995</v>
      </c>
      <c r="AI123" s="8">
        <f t="shared" si="35"/>
        <v>0.54</v>
      </c>
      <c r="AJ123" s="8">
        <f t="shared" si="36"/>
        <v>17.18</v>
      </c>
      <c r="AK123" s="8"/>
      <c r="AL123" s="8"/>
      <c r="AM123" s="8">
        <f t="shared" si="37"/>
        <v>0</v>
      </c>
      <c r="AN123" s="8">
        <f t="shared" si="38"/>
        <v>95.27</v>
      </c>
    </row>
    <row r="124" spans="1:40" ht="48" customHeight="1" x14ac:dyDescent="0.2">
      <c r="A124" s="8" t="str">
        <f>Elettricità!I124</f>
        <v>IT001E04170980</v>
      </c>
      <c r="B124" s="8" t="str">
        <f>Elettricità!A124</f>
        <v>005026659959.pdf</v>
      </c>
      <c r="C124" s="9">
        <f>Elettricità!E124</f>
        <v>45390</v>
      </c>
      <c r="D124" s="9">
        <f>Elettricità!K124</f>
        <v>45352</v>
      </c>
      <c r="E124" s="9">
        <f>Elettricità!L124</f>
        <v>45382</v>
      </c>
      <c r="F124" s="8">
        <f>Elettricità!M124</f>
        <v>5</v>
      </c>
      <c r="G124" s="8">
        <f>Elettricità!N124</f>
        <v>1</v>
      </c>
      <c r="H124" s="8">
        <f>Elettricità!O124</f>
        <v>2</v>
      </c>
      <c r="I124" s="8">
        <f>Elettricità!P124</f>
        <v>2</v>
      </c>
      <c r="J124" s="8">
        <f>Elettricità!Q124</f>
        <v>7</v>
      </c>
      <c r="K124" s="8">
        <f>Elettricità!R124</f>
        <v>3</v>
      </c>
      <c r="L124" s="8">
        <f>Elettricità!S124</f>
        <v>1</v>
      </c>
      <c r="M124" s="8">
        <f>Elettricità!T124</f>
        <v>3</v>
      </c>
      <c r="N124" s="8">
        <f>Elettricità!W124</f>
        <v>78.08</v>
      </c>
      <c r="O124" s="8">
        <f>Elettricità!X124</f>
        <v>95.26</v>
      </c>
      <c r="P124" s="8">
        <f>Elettricità!Y124</f>
        <v>0</v>
      </c>
      <c r="Q124" s="8">
        <f>Elettricità!Z124</f>
        <v>0.53</v>
      </c>
      <c r="R124" s="8">
        <f>Elettricità!AA124</f>
        <v>43.69</v>
      </c>
      <c r="S124" s="8">
        <f>Elettricità!AB124</f>
        <v>33.799999999999997</v>
      </c>
      <c r="T124" s="8">
        <f>Elettricità!AC124</f>
        <v>0</v>
      </c>
      <c r="U124" s="8">
        <f>Elettricità!AD124</f>
        <v>17.18</v>
      </c>
      <c r="V124" s="8">
        <f t="shared" si="26"/>
        <v>2024</v>
      </c>
      <c r="W124" s="8">
        <f>_xlfn.XLOOKUP(A124,Fabbricati!E:E,Fabbricati!D:D)</f>
        <v>300469116</v>
      </c>
      <c r="X124" s="9">
        <f t="shared" si="27"/>
        <v>45390</v>
      </c>
      <c r="Y124" s="9">
        <f t="shared" si="28"/>
        <v>45352</v>
      </c>
      <c r="Z124" s="9">
        <f t="shared" si="29"/>
        <v>45382</v>
      </c>
      <c r="AA124" s="8">
        <f t="shared" si="30"/>
        <v>31</v>
      </c>
      <c r="AB124" s="8">
        <f t="shared" si="31"/>
        <v>5</v>
      </c>
      <c r="AC124" s="12" t="s">
        <v>149</v>
      </c>
      <c r="AD124" s="11" t="str">
        <f t="shared" si="32"/>
        <v>1
2
2</v>
      </c>
      <c r="AE124" s="11" t="str">
        <f t="shared" si="33"/>
        <v>3
1
3</v>
      </c>
      <c r="AF124" s="11"/>
      <c r="AG124" s="11"/>
      <c r="AH124" s="8">
        <f t="shared" si="34"/>
        <v>77.489999999999995</v>
      </c>
      <c r="AI124" s="8">
        <f t="shared" si="35"/>
        <v>0.53</v>
      </c>
      <c r="AJ124" s="8">
        <f t="shared" si="36"/>
        <v>17.18</v>
      </c>
      <c r="AK124" s="8"/>
      <c r="AL124" s="8"/>
      <c r="AM124" s="8">
        <f t="shared" si="37"/>
        <v>0</v>
      </c>
      <c r="AN124" s="8">
        <f t="shared" si="38"/>
        <v>95.26</v>
      </c>
    </row>
    <row r="125" spans="1:40" ht="48" customHeight="1" x14ac:dyDescent="0.2">
      <c r="A125" s="8" t="str">
        <f>Elettricità!I125</f>
        <v>IT001E04170980</v>
      </c>
      <c r="B125" s="8" t="str">
        <f>Elettricità!A125</f>
        <v>005034930229.PDF</v>
      </c>
      <c r="C125" s="9">
        <f>Elettricità!E125</f>
        <v>45419</v>
      </c>
      <c r="D125" s="9">
        <f>Elettricità!K125</f>
        <v>45383</v>
      </c>
      <c r="E125" s="9">
        <f>Elettricità!L125</f>
        <v>45412</v>
      </c>
      <c r="F125" s="8">
        <f>Elettricità!M125</f>
        <v>89</v>
      </c>
      <c r="G125" s="8">
        <f>Elettricità!N125</f>
        <v>35</v>
      </c>
      <c r="H125" s="8">
        <f>Elettricità!O125</f>
        <v>20</v>
      </c>
      <c r="I125" s="8">
        <f>Elettricità!P125</f>
        <v>34</v>
      </c>
      <c r="J125" s="8">
        <f>Elettricità!Q125</f>
        <v>29</v>
      </c>
      <c r="K125" s="8">
        <f>Elettricità!R125</f>
        <v>9</v>
      </c>
      <c r="L125" s="8">
        <f>Elettricità!S125</f>
        <v>7</v>
      </c>
      <c r="M125" s="8">
        <f>Elettricità!T125</f>
        <v>13</v>
      </c>
      <c r="N125" s="8">
        <f>Elettricità!W125</f>
        <v>99.33</v>
      </c>
      <c r="O125" s="8">
        <f>Elettricità!X125</f>
        <v>121.18</v>
      </c>
      <c r="P125" s="8">
        <f>Elettricità!Y125</f>
        <v>0</v>
      </c>
      <c r="Q125" s="8">
        <f>Elettricità!Z125</f>
        <v>10.02</v>
      </c>
      <c r="R125" s="8">
        <f>Elettricità!AA125</f>
        <v>44.77</v>
      </c>
      <c r="S125" s="8">
        <f>Elettricità!AB125</f>
        <v>43.43</v>
      </c>
      <c r="T125" s="8">
        <f>Elettricità!AC125</f>
        <v>0</v>
      </c>
      <c r="U125" s="8">
        <f>Elettricità!AD125</f>
        <v>21.85</v>
      </c>
      <c r="V125" s="8">
        <f t="shared" si="26"/>
        <v>2024</v>
      </c>
      <c r="W125" s="8">
        <f>_xlfn.XLOOKUP(A125,Fabbricati!E:E,Fabbricati!D:D)</f>
        <v>300469116</v>
      </c>
      <c r="X125" s="9">
        <f t="shared" si="27"/>
        <v>45419</v>
      </c>
      <c r="Y125" s="9">
        <f t="shared" si="28"/>
        <v>45383</v>
      </c>
      <c r="Z125" s="9">
        <f t="shared" si="29"/>
        <v>45412</v>
      </c>
      <c r="AA125" s="8">
        <f t="shared" si="30"/>
        <v>30</v>
      </c>
      <c r="AB125" s="8">
        <f t="shared" si="31"/>
        <v>89</v>
      </c>
      <c r="AC125" s="12" t="s">
        <v>149</v>
      </c>
      <c r="AD125" s="11" t="str">
        <f t="shared" si="32"/>
        <v>35
20
34</v>
      </c>
      <c r="AE125" s="11" t="str">
        <f t="shared" si="33"/>
        <v>9
7
13</v>
      </c>
      <c r="AF125" s="11"/>
      <c r="AG125" s="11"/>
      <c r="AH125" s="8">
        <f t="shared" si="34"/>
        <v>88.2</v>
      </c>
      <c r="AI125" s="8">
        <f t="shared" si="35"/>
        <v>10.02</v>
      </c>
      <c r="AJ125" s="8">
        <f t="shared" si="36"/>
        <v>21.85</v>
      </c>
      <c r="AK125" s="8"/>
      <c r="AL125" s="8"/>
      <c r="AM125" s="8">
        <f t="shared" si="37"/>
        <v>0</v>
      </c>
      <c r="AN125" s="8">
        <f t="shared" si="38"/>
        <v>121.18</v>
      </c>
    </row>
    <row r="126" spans="1:40" ht="48" customHeight="1" x14ac:dyDescent="0.2">
      <c r="A126" s="8" t="str">
        <f>Elettricità!I126</f>
        <v>IT001E04170980</v>
      </c>
      <c r="B126" s="8" t="str">
        <f>Elettricità!A126</f>
        <v>005043663093.PDF</v>
      </c>
      <c r="C126" s="9">
        <f>Elettricità!E126</f>
        <v>45449</v>
      </c>
      <c r="D126" s="9">
        <f>Elettricità!K126</f>
        <v>45413</v>
      </c>
      <c r="E126" s="9">
        <f>Elettricità!L126</f>
        <v>45417</v>
      </c>
      <c r="F126" s="8">
        <f>Elettricità!M126</f>
        <v>137</v>
      </c>
      <c r="G126" s="8">
        <f>Elettricità!N126</f>
        <v>42</v>
      </c>
      <c r="H126" s="8">
        <f>Elettricità!O126</f>
        <v>43</v>
      </c>
      <c r="I126" s="8">
        <f>Elettricità!P126</f>
        <v>52</v>
      </c>
      <c r="J126" s="8">
        <f>Elettricità!Q126</f>
        <v>60</v>
      </c>
      <c r="K126" s="8">
        <f>Elettricità!R126</f>
        <v>18</v>
      </c>
      <c r="L126" s="8">
        <f>Elettricità!S126</f>
        <v>21</v>
      </c>
      <c r="M126" s="8">
        <f>Elettricità!T126</f>
        <v>21</v>
      </c>
      <c r="N126" s="8">
        <f>Elettricità!W126</f>
        <v>109.46</v>
      </c>
      <c r="O126" s="8">
        <f>Elettricità!X126</f>
        <v>133.54</v>
      </c>
      <c r="P126" s="8">
        <f>Elettricità!Y126</f>
        <v>0</v>
      </c>
      <c r="Q126" s="8">
        <f>Elettricità!Z126</f>
        <v>16.61</v>
      </c>
      <c r="R126" s="8">
        <f>Elettricità!AA126</f>
        <v>45.4</v>
      </c>
      <c r="S126" s="8">
        <f>Elettricità!AB126</f>
        <v>45.73</v>
      </c>
      <c r="T126" s="8">
        <f>Elettricità!AC126</f>
        <v>0</v>
      </c>
      <c r="U126" s="8">
        <f>Elettricità!AD126</f>
        <v>24.08</v>
      </c>
      <c r="V126" s="8">
        <f t="shared" si="26"/>
        <v>2024</v>
      </c>
      <c r="W126" s="8">
        <f>_xlfn.XLOOKUP(A126,Fabbricati!E:E,Fabbricati!D:D)</f>
        <v>300469116</v>
      </c>
      <c r="X126" s="9">
        <f t="shared" si="27"/>
        <v>45449</v>
      </c>
      <c r="Y126" s="9">
        <f t="shared" si="28"/>
        <v>45413</v>
      </c>
      <c r="Z126" s="9">
        <f t="shared" si="29"/>
        <v>45417</v>
      </c>
      <c r="AA126" s="8">
        <f t="shared" si="30"/>
        <v>5</v>
      </c>
      <c r="AB126" s="8">
        <f t="shared" si="31"/>
        <v>137</v>
      </c>
      <c r="AC126" s="12" t="s">
        <v>149</v>
      </c>
      <c r="AD126" s="11" t="str">
        <f t="shared" si="32"/>
        <v>42
43
52</v>
      </c>
      <c r="AE126" s="11" t="str">
        <f t="shared" si="33"/>
        <v>18
21
21</v>
      </c>
      <c r="AF126" s="11"/>
      <c r="AG126" s="11"/>
      <c r="AH126" s="8">
        <f t="shared" si="34"/>
        <v>91.13</v>
      </c>
      <c r="AI126" s="8">
        <f t="shared" si="35"/>
        <v>16.61</v>
      </c>
      <c r="AJ126" s="8">
        <f t="shared" si="36"/>
        <v>24.08</v>
      </c>
      <c r="AK126" s="8"/>
      <c r="AL126" s="8"/>
      <c r="AM126" s="8">
        <f t="shared" si="37"/>
        <v>0</v>
      </c>
      <c r="AN126" s="8">
        <f t="shared" si="38"/>
        <v>133.54</v>
      </c>
    </row>
    <row r="127" spans="1:40" ht="48" customHeight="1" x14ac:dyDescent="0.2">
      <c r="A127" s="8" t="str">
        <f>Elettricità!I127</f>
        <v>IT001E04170980</v>
      </c>
      <c r="B127" s="8" t="str">
        <f>Elettricità!A127</f>
        <v>005051431108.PDF</v>
      </c>
      <c r="C127" s="9">
        <f>Elettricità!E127</f>
        <v>45478</v>
      </c>
      <c r="D127" s="9">
        <f>Elettricità!K127</f>
        <v>45444</v>
      </c>
      <c r="E127" s="9">
        <f>Elettricità!L127</f>
        <v>45473</v>
      </c>
      <c r="F127" s="8">
        <f>Elettricità!M127</f>
        <v>166</v>
      </c>
      <c r="G127" s="8">
        <f>Elettricità!N127</f>
        <v>44</v>
      </c>
      <c r="H127" s="8">
        <f>Elettricità!O127</f>
        <v>64</v>
      </c>
      <c r="I127" s="8">
        <f>Elettricità!P127</f>
        <v>58</v>
      </c>
      <c r="J127" s="8">
        <f>Elettricità!Q127</f>
        <v>80</v>
      </c>
      <c r="K127" s="8">
        <f>Elettricità!R127</f>
        <v>21</v>
      </c>
      <c r="L127" s="8">
        <f>Elettricità!S127</f>
        <v>32</v>
      </c>
      <c r="M127" s="8">
        <f>Elettricità!T127</f>
        <v>27</v>
      </c>
      <c r="N127" s="8">
        <f>Elettricità!W127</f>
        <v>117.49</v>
      </c>
      <c r="O127" s="8">
        <f>Elettricità!X127</f>
        <v>143.34</v>
      </c>
      <c r="P127" s="8">
        <f>Elettricità!Y127</f>
        <v>0</v>
      </c>
      <c r="Q127" s="8">
        <f>Elettricità!Z127</f>
        <v>22.52</v>
      </c>
      <c r="R127" s="8">
        <f>Elettricità!AA127</f>
        <v>45.75</v>
      </c>
      <c r="S127" s="8">
        <f>Elettricità!AB127</f>
        <v>47.14</v>
      </c>
      <c r="T127" s="8">
        <f>Elettricità!AC127</f>
        <v>0</v>
      </c>
      <c r="U127" s="8">
        <f>Elettricità!AD127</f>
        <v>25.85</v>
      </c>
      <c r="V127" s="8">
        <f t="shared" si="26"/>
        <v>2024</v>
      </c>
      <c r="W127" s="8">
        <f>_xlfn.XLOOKUP(A127,Fabbricati!E:E,Fabbricati!D:D)</f>
        <v>300469116</v>
      </c>
      <c r="X127" s="9">
        <f t="shared" si="27"/>
        <v>45478</v>
      </c>
      <c r="Y127" s="9">
        <f t="shared" si="28"/>
        <v>45444</v>
      </c>
      <c r="Z127" s="9">
        <f t="shared" si="29"/>
        <v>45473</v>
      </c>
      <c r="AA127" s="8">
        <f t="shared" si="30"/>
        <v>30</v>
      </c>
      <c r="AB127" s="8">
        <f t="shared" si="31"/>
        <v>166</v>
      </c>
      <c r="AC127" s="12" t="s">
        <v>149</v>
      </c>
      <c r="AD127" s="11" t="str">
        <f t="shared" si="32"/>
        <v>44
64
58</v>
      </c>
      <c r="AE127" s="11" t="str">
        <f t="shared" si="33"/>
        <v>21
32
27</v>
      </c>
      <c r="AF127" s="11"/>
      <c r="AG127" s="11"/>
      <c r="AH127" s="8">
        <f t="shared" si="34"/>
        <v>92.89</v>
      </c>
      <c r="AI127" s="8">
        <f t="shared" si="35"/>
        <v>22.52</v>
      </c>
      <c r="AJ127" s="8">
        <f t="shared" si="36"/>
        <v>25.85</v>
      </c>
      <c r="AK127" s="8"/>
      <c r="AL127" s="8"/>
      <c r="AM127" s="8">
        <f t="shared" si="37"/>
        <v>0</v>
      </c>
      <c r="AN127" s="8">
        <f t="shared" si="38"/>
        <v>143.34</v>
      </c>
    </row>
    <row r="128" spans="1:40" ht="48" customHeight="1" x14ac:dyDescent="0.2">
      <c r="A128" s="8" t="str">
        <f>Elettricità!I128</f>
        <v>IT001E04170980</v>
      </c>
      <c r="B128" s="8" t="str">
        <f>Elettricità!A128</f>
        <v>005062825962.PDF</v>
      </c>
      <c r="C128" s="9">
        <f>Elettricità!E128</f>
        <v>45513</v>
      </c>
      <c r="D128" s="9">
        <f>Elettricità!K128</f>
        <v>45474</v>
      </c>
      <c r="E128" s="9">
        <f>Elettricità!L128</f>
        <v>45504</v>
      </c>
      <c r="F128" s="8">
        <f>Elettricità!M128</f>
        <v>204</v>
      </c>
      <c r="G128" s="8">
        <f>Elettricità!N128</f>
        <v>58</v>
      </c>
      <c r="H128" s="8">
        <f>Elettricità!O128</f>
        <v>92</v>
      </c>
      <c r="I128" s="8">
        <f>Elettricità!P128</f>
        <v>54</v>
      </c>
      <c r="J128" s="8">
        <f>Elettricità!Q128</f>
        <v>122</v>
      </c>
      <c r="K128" s="8">
        <f>Elettricità!R128</f>
        <v>37</v>
      </c>
      <c r="L128" s="8">
        <f>Elettricità!S128</f>
        <v>53</v>
      </c>
      <c r="M128" s="8">
        <f>Elettricità!T128</f>
        <v>32</v>
      </c>
      <c r="N128" s="8">
        <f>Elettricità!W128</f>
        <v>130.25</v>
      </c>
      <c r="O128" s="8">
        <f>Elettricità!X128</f>
        <v>158.91</v>
      </c>
      <c r="P128" s="8">
        <f>Elettricità!Y128</f>
        <v>0</v>
      </c>
      <c r="Q128" s="8">
        <f>Elettricità!Z128</f>
        <v>32.479999999999997</v>
      </c>
      <c r="R128" s="8">
        <f>Elettricità!AA128</f>
        <v>46.24</v>
      </c>
      <c r="S128" s="8">
        <f>Elettricità!AB128</f>
        <v>48.98</v>
      </c>
      <c r="T128" s="8">
        <f>Elettricità!AC128</f>
        <v>0</v>
      </c>
      <c r="U128" s="8">
        <f>Elettricità!AD128</f>
        <v>28.66</v>
      </c>
      <c r="V128" s="8">
        <f t="shared" si="26"/>
        <v>2024</v>
      </c>
      <c r="W128" s="8">
        <f>_xlfn.XLOOKUP(A128,Fabbricati!E:E,Fabbricati!D:D)</f>
        <v>300469116</v>
      </c>
      <c r="X128" s="9">
        <f t="shared" si="27"/>
        <v>45513</v>
      </c>
      <c r="Y128" s="9">
        <f t="shared" si="28"/>
        <v>45474</v>
      </c>
      <c r="Z128" s="9">
        <f t="shared" si="29"/>
        <v>45504</v>
      </c>
      <c r="AA128" s="8">
        <f t="shared" si="30"/>
        <v>31</v>
      </c>
      <c r="AB128" s="8">
        <f t="shared" si="31"/>
        <v>204</v>
      </c>
      <c r="AC128" s="12" t="s">
        <v>149</v>
      </c>
      <c r="AD128" s="11" t="str">
        <f t="shared" si="32"/>
        <v>58
92
54</v>
      </c>
      <c r="AE128" s="11" t="str">
        <f t="shared" si="33"/>
        <v>37
53
32</v>
      </c>
      <c r="AF128" s="11"/>
      <c r="AG128" s="11"/>
      <c r="AH128" s="8">
        <f t="shared" si="34"/>
        <v>95.22</v>
      </c>
      <c r="AI128" s="8">
        <f t="shared" si="35"/>
        <v>32.479999999999997</v>
      </c>
      <c r="AJ128" s="8">
        <f t="shared" si="36"/>
        <v>28.66</v>
      </c>
      <c r="AK128" s="8"/>
      <c r="AL128" s="8"/>
      <c r="AM128" s="8">
        <f t="shared" si="37"/>
        <v>0</v>
      </c>
      <c r="AN128" s="8">
        <f t="shared" si="38"/>
        <v>158.91</v>
      </c>
    </row>
    <row r="129" spans="1:40" ht="48" customHeight="1" x14ac:dyDescent="0.2">
      <c r="A129" s="8" t="str">
        <f>Elettricità!I129</f>
        <v>IT001E04170980</v>
      </c>
      <c r="B129" s="8" t="str">
        <f>Elettricità!A129</f>
        <v>005067307605.PDF</v>
      </c>
      <c r="C129" s="9">
        <f>Elettricità!E129</f>
        <v>45541</v>
      </c>
      <c r="D129" s="9">
        <f>Elettricità!K129</f>
        <v>45505</v>
      </c>
      <c r="E129" s="9">
        <f>Elettricità!L129</f>
        <v>45535</v>
      </c>
      <c r="F129" s="8">
        <f>Elettricità!M129</f>
        <v>745</v>
      </c>
      <c r="G129" s="8">
        <f>Elettricità!N129</f>
        <v>201</v>
      </c>
      <c r="H129" s="8">
        <f>Elettricità!O129</f>
        <v>323</v>
      </c>
      <c r="I129" s="8">
        <f>Elettricità!P129</f>
        <v>221</v>
      </c>
      <c r="J129" s="8">
        <f>Elettricità!Q129</f>
        <v>421</v>
      </c>
      <c r="K129" s="8">
        <f>Elettricità!R129</f>
        <v>113</v>
      </c>
      <c r="L129" s="8">
        <f>Elettricità!S129</f>
        <v>191</v>
      </c>
      <c r="M129" s="8">
        <f>Elettricità!T129</f>
        <v>117</v>
      </c>
      <c r="N129" s="8">
        <f>Elettricità!W129</f>
        <v>139.97999999999999</v>
      </c>
      <c r="O129" s="8">
        <f>Elettricità!X129</f>
        <v>170.78</v>
      </c>
      <c r="P129" s="8">
        <f>Elettricità!Y129</f>
        <v>0</v>
      </c>
      <c r="Q129" s="8">
        <f>Elettricità!Z129</f>
        <v>39.54</v>
      </c>
      <c r="R129" s="8">
        <f>Elettricità!AA129</f>
        <v>46.68</v>
      </c>
      <c r="S129" s="8">
        <f>Elettricità!AB129</f>
        <v>50.62</v>
      </c>
      <c r="T129" s="8">
        <f>Elettricità!AC129</f>
        <v>0</v>
      </c>
      <c r="U129" s="8">
        <f>Elettricità!AD129</f>
        <v>30.8</v>
      </c>
      <c r="V129" s="8">
        <f t="shared" si="26"/>
        <v>2024</v>
      </c>
      <c r="W129" s="8">
        <f>_xlfn.XLOOKUP(A129,Fabbricati!E:E,Fabbricati!D:D)</f>
        <v>300469116</v>
      </c>
      <c r="X129" s="9">
        <f t="shared" si="27"/>
        <v>45541</v>
      </c>
      <c r="Y129" s="9">
        <f t="shared" si="28"/>
        <v>45505</v>
      </c>
      <c r="Z129" s="9">
        <f t="shared" si="29"/>
        <v>45535</v>
      </c>
      <c r="AA129" s="8">
        <f t="shared" si="30"/>
        <v>31</v>
      </c>
      <c r="AB129" s="8">
        <f t="shared" si="31"/>
        <v>745</v>
      </c>
      <c r="AC129" s="12" t="s">
        <v>149</v>
      </c>
      <c r="AD129" s="11" t="str">
        <f t="shared" si="32"/>
        <v>201
323
221</v>
      </c>
      <c r="AE129" s="11" t="str">
        <f t="shared" si="33"/>
        <v>113
191
117</v>
      </c>
      <c r="AF129" s="11"/>
      <c r="AG129" s="11"/>
      <c r="AH129" s="8">
        <f t="shared" si="34"/>
        <v>97.3</v>
      </c>
      <c r="AI129" s="8">
        <f t="shared" si="35"/>
        <v>39.54</v>
      </c>
      <c r="AJ129" s="8">
        <f t="shared" si="36"/>
        <v>30.8</v>
      </c>
      <c r="AK129" s="8"/>
      <c r="AL129" s="8"/>
      <c r="AM129" s="8">
        <f t="shared" si="37"/>
        <v>0</v>
      </c>
      <c r="AN129" s="8">
        <f t="shared" si="38"/>
        <v>170.78</v>
      </c>
    </row>
    <row r="130" spans="1:40" ht="48" customHeight="1" x14ac:dyDescent="0.2">
      <c r="A130" s="8" t="str">
        <f>Elettricità!I130</f>
        <v>IT001E04170980</v>
      </c>
      <c r="B130" s="8" t="str">
        <f>Elettricità!A130</f>
        <v>005076347784.PDF</v>
      </c>
      <c r="C130" s="9">
        <f>Elettricità!E130</f>
        <v>45571</v>
      </c>
      <c r="D130" s="9">
        <f>Elettricità!K130</f>
        <v>45536</v>
      </c>
      <c r="E130" s="9">
        <f>Elettricità!L130</f>
        <v>45565</v>
      </c>
      <c r="F130" s="8">
        <f>Elettricità!M130</f>
        <v>159</v>
      </c>
      <c r="G130" s="8">
        <f>Elettricità!N130</f>
        <v>48</v>
      </c>
      <c r="H130" s="8">
        <f>Elettricità!O130</f>
        <v>56</v>
      </c>
      <c r="I130" s="8">
        <f>Elettricità!P130</f>
        <v>55</v>
      </c>
      <c r="J130" s="8">
        <f>Elettricità!Q130</f>
        <v>78</v>
      </c>
      <c r="K130" s="8">
        <f>Elettricità!R130</f>
        <v>24</v>
      </c>
      <c r="L130" s="8">
        <f>Elettricità!S130</f>
        <v>29</v>
      </c>
      <c r="M130" s="8">
        <f>Elettricità!T130</f>
        <v>25</v>
      </c>
      <c r="N130" s="8">
        <f>Elettricità!W130</f>
        <v>118.12</v>
      </c>
      <c r="O130" s="8">
        <f>Elettricità!X130</f>
        <v>144.11000000000001</v>
      </c>
      <c r="P130" s="8">
        <f>Elettricità!Y130</f>
        <v>0</v>
      </c>
      <c r="Q130" s="8">
        <f>Elettricità!Z130</f>
        <v>23.66</v>
      </c>
      <c r="R130" s="8">
        <f>Elettricità!AA130</f>
        <v>45.66</v>
      </c>
      <c r="S130" s="8">
        <f>Elettricità!AB130</f>
        <v>46.81</v>
      </c>
      <c r="T130" s="8">
        <f>Elettricità!AC130</f>
        <v>0</v>
      </c>
      <c r="U130" s="8">
        <f>Elettricità!AD130</f>
        <v>25.99</v>
      </c>
      <c r="V130" s="8">
        <f t="shared" si="26"/>
        <v>2024</v>
      </c>
      <c r="W130" s="8">
        <f>_xlfn.XLOOKUP(A130,Fabbricati!E:E,Fabbricati!D:D)</f>
        <v>300469116</v>
      </c>
      <c r="X130" s="9">
        <f t="shared" si="27"/>
        <v>45571</v>
      </c>
      <c r="Y130" s="9">
        <f t="shared" si="28"/>
        <v>45536</v>
      </c>
      <c r="Z130" s="9">
        <f t="shared" si="29"/>
        <v>45565</v>
      </c>
      <c r="AA130" s="8">
        <f t="shared" si="30"/>
        <v>30</v>
      </c>
      <c r="AB130" s="8">
        <f t="shared" si="31"/>
        <v>159</v>
      </c>
      <c r="AC130" s="12" t="s">
        <v>149</v>
      </c>
      <c r="AD130" s="11" t="str">
        <f t="shared" si="32"/>
        <v>48
56
55</v>
      </c>
      <c r="AE130" s="11" t="str">
        <f t="shared" si="33"/>
        <v>24
29
25</v>
      </c>
      <c r="AF130" s="11"/>
      <c r="AG130" s="11"/>
      <c r="AH130" s="8">
        <f t="shared" si="34"/>
        <v>92.47</v>
      </c>
      <c r="AI130" s="8">
        <f t="shared" si="35"/>
        <v>23.66</v>
      </c>
      <c r="AJ130" s="8">
        <f t="shared" si="36"/>
        <v>25.99</v>
      </c>
      <c r="AK130" s="8"/>
      <c r="AL130" s="8"/>
      <c r="AM130" s="8">
        <f t="shared" si="37"/>
        <v>0</v>
      </c>
      <c r="AN130" s="8">
        <f t="shared" si="38"/>
        <v>144.11000000000001</v>
      </c>
    </row>
    <row r="131" spans="1:40" ht="48" customHeight="1" x14ac:dyDescent="0.2">
      <c r="A131" s="8" t="str">
        <f>Elettricità!I131</f>
        <v>IT001E04170980</v>
      </c>
      <c r="B131" s="8" t="str">
        <f>Elettricità!A131</f>
        <v>005085485040.PDF</v>
      </c>
      <c r="C131" s="9">
        <f>Elettricità!E131</f>
        <v>45604</v>
      </c>
      <c r="D131" s="9">
        <f>Elettricità!K131</f>
        <v>45566</v>
      </c>
      <c r="E131" s="9">
        <f>Elettricità!L131</f>
        <v>45596</v>
      </c>
      <c r="F131" s="8">
        <f>Elettricità!M131</f>
        <v>214</v>
      </c>
      <c r="G131" s="8">
        <f>Elettricità!N131</f>
        <v>82</v>
      </c>
      <c r="H131" s="8">
        <f>Elettricità!O131</f>
        <v>68</v>
      </c>
      <c r="I131" s="8">
        <f>Elettricità!P131</f>
        <v>64</v>
      </c>
      <c r="J131" s="8">
        <f>Elettricità!Q131</f>
        <v>86</v>
      </c>
      <c r="K131" s="8">
        <f>Elettricità!R131</f>
        <v>36</v>
      </c>
      <c r="L131" s="8">
        <f>Elettricità!S131</f>
        <v>30</v>
      </c>
      <c r="M131" s="8">
        <f>Elettricità!T131</f>
        <v>20</v>
      </c>
      <c r="N131" s="8">
        <f>Elettricità!W131</f>
        <v>130.41999999999999</v>
      </c>
      <c r="O131" s="8">
        <f>Elettricità!X131</f>
        <v>159.11000000000001</v>
      </c>
      <c r="P131" s="8">
        <f>Elettricità!Y131</f>
        <v>0</v>
      </c>
      <c r="Q131" s="8">
        <f>Elettricità!Z131</f>
        <v>31.92</v>
      </c>
      <c r="R131" s="8">
        <f>Elettricità!AA131</f>
        <v>46.37</v>
      </c>
      <c r="S131" s="8">
        <f>Elettricità!AB131</f>
        <v>49.45</v>
      </c>
      <c r="T131" s="8">
        <f>Elettricità!AC131</f>
        <v>0</v>
      </c>
      <c r="U131" s="8">
        <f>Elettricità!AD131</f>
        <v>28.69</v>
      </c>
      <c r="V131" s="8">
        <f t="shared" ref="V131:V194" si="39">YEAR(Y131)</f>
        <v>2024</v>
      </c>
      <c r="W131" s="8">
        <f>_xlfn.XLOOKUP(A131,Fabbricati!E:E,Fabbricati!D:D)</f>
        <v>300469116</v>
      </c>
      <c r="X131" s="9">
        <f t="shared" ref="X131:X194" si="40">C131</f>
        <v>45604</v>
      </c>
      <c r="Y131" s="9">
        <f t="shared" ref="Y131:Y194" si="41">D131</f>
        <v>45566</v>
      </c>
      <c r="Z131" s="9">
        <f t="shared" ref="Z131:Z194" si="42">E131</f>
        <v>45596</v>
      </c>
      <c r="AA131" s="8">
        <f t="shared" ref="AA131:AA194" si="43">Z131-Y131+1</f>
        <v>31</v>
      </c>
      <c r="AB131" s="8">
        <f t="shared" ref="AB131:AB194" si="44">F131</f>
        <v>214</v>
      </c>
      <c r="AC131" s="12" t="s">
        <v>149</v>
      </c>
      <c r="AD131" s="11" t="str">
        <f t="shared" ref="AD131:AD194" si="45">G131  &amp; _xlfn.UNICHAR(10) &amp; H131  &amp; _xlfn.UNICHAR(10)  &amp;  I131</f>
        <v>82
68
64</v>
      </c>
      <c r="AE131" s="11" t="str">
        <f t="shared" ref="AE131:AE194" si="46">K131  &amp; _xlfn.UNICHAR(10) &amp; L131  &amp; _xlfn.UNICHAR(10)  &amp;  M131</f>
        <v>36
30
20</v>
      </c>
      <c r="AF131" s="11"/>
      <c r="AG131" s="11"/>
      <c r="AH131" s="8">
        <f t="shared" ref="AH131:AH194" si="47">R131+S131</f>
        <v>95.82</v>
      </c>
      <c r="AI131" s="8">
        <f t="shared" ref="AI131:AI194" si="48">Q131</f>
        <v>31.92</v>
      </c>
      <c r="AJ131" s="8">
        <f t="shared" ref="AJ131:AJ194" si="49">U131</f>
        <v>28.69</v>
      </c>
      <c r="AK131" s="8"/>
      <c r="AL131" s="8"/>
      <c r="AM131" s="8">
        <f t="shared" ref="AM131:AM194" si="50">T131</f>
        <v>0</v>
      </c>
      <c r="AN131" s="8">
        <f t="shared" ref="AN131:AN194" si="51">O131</f>
        <v>159.11000000000001</v>
      </c>
    </row>
    <row r="132" spans="1:40" ht="48" customHeight="1" x14ac:dyDescent="0.2">
      <c r="A132" s="8" t="str">
        <f>Elettricità!I132</f>
        <v>IT001E04170980</v>
      </c>
      <c r="B132" s="8" t="str">
        <f>Elettricità!A132</f>
        <v>005093369274.PDF</v>
      </c>
      <c r="C132" s="9">
        <f>Elettricità!E132</f>
        <v>45632</v>
      </c>
      <c r="D132" s="9">
        <f>Elettricità!K132</f>
        <v>45597</v>
      </c>
      <c r="E132" s="9">
        <f>Elettricità!L132</f>
        <v>45626</v>
      </c>
      <c r="F132" s="8">
        <f>Elettricità!M132</f>
        <v>138</v>
      </c>
      <c r="G132" s="8">
        <f>Elettricità!N132</f>
        <v>49</v>
      </c>
      <c r="H132" s="8">
        <f>Elettricità!O132</f>
        <v>37</v>
      </c>
      <c r="I132" s="8">
        <f>Elettricità!P132</f>
        <v>52</v>
      </c>
      <c r="J132" s="8">
        <f>Elettricità!Q132</f>
        <v>43</v>
      </c>
      <c r="K132" s="8">
        <f>Elettricità!R132</f>
        <v>19</v>
      </c>
      <c r="L132" s="8">
        <f>Elettricità!S132</f>
        <v>9</v>
      </c>
      <c r="M132" s="8">
        <f>Elettricità!T132</f>
        <v>15</v>
      </c>
      <c r="N132" s="8">
        <f>Elettricità!W132</f>
        <v>115.62</v>
      </c>
      <c r="O132" s="8">
        <f>Elettricità!X132</f>
        <v>141.06</v>
      </c>
      <c r="P132" s="8">
        <f>Elettricità!Y132</f>
        <v>0</v>
      </c>
      <c r="Q132" s="8">
        <f>Elettricità!Z132</f>
        <v>22.71</v>
      </c>
      <c r="R132" s="8">
        <f>Elettricità!AA132</f>
        <v>45.39</v>
      </c>
      <c r="S132" s="8">
        <f>Elettricità!AB132</f>
        <v>45.79</v>
      </c>
      <c r="T132" s="8">
        <f>Elettricità!AC132</f>
        <v>0</v>
      </c>
      <c r="U132" s="8">
        <f>Elettricità!AD132</f>
        <v>25.44</v>
      </c>
      <c r="V132" s="8">
        <f t="shared" si="39"/>
        <v>2024</v>
      </c>
      <c r="W132" s="8">
        <f>_xlfn.XLOOKUP(A132,Fabbricati!E:E,Fabbricati!D:D)</f>
        <v>300469116</v>
      </c>
      <c r="X132" s="9">
        <f t="shared" si="40"/>
        <v>45632</v>
      </c>
      <c r="Y132" s="9">
        <f t="shared" si="41"/>
        <v>45597</v>
      </c>
      <c r="Z132" s="9">
        <f t="shared" si="42"/>
        <v>45626</v>
      </c>
      <c r="AA132" s="8">
        <f t="shared" si="43"/>
        <v>30</v>
      </c>
      <c r="AB132" s="8">
        <f t="shared" si="44"/>
        <v>138</v>
      </c>
      <c r="AC132" s="12" t="s">
        <v>149</v>
      </c>
      <c r="AD132" s="11" t="str">
        <f t="shared" si="45"/>
        <v>49
37
52</v>
      </c>
      <c r="AE132" s="11" t="str">
        <f t="shared" si="46"/>
        <v>19
9
15</v>
      </c>
      <c r="AF132" s="11"/>
      <c r="AG132" s="11"/>
      <c r="AH132" s="8">
        <f t="shared" si="47"/>
        <v>91.18</v>
      </c>
      <c r="AI132" s="8">
        <f t="shared" si="48"/>
        <v>22.71</v>
      </c>
      <c r="AJ132" s="8">
        <f t="shared" si="49"/>
        <v>25.44</v>
      </c>
      <c r="AK132" s="8"/>
      <c r="AL132" s="8"/>
      <c r="AM132" s="8">
        <f t="shared" si="50"/>
        <v>0</v>
      </c>
      <c r="AN132" s="8">
        <f t="shared" si="51"/>
        <v>141.06</v>
      </c>
    </row>
    <row r="133" spans="1:40" ht="48" customHeight="1" x14ac:dyDescent="0.2">
      <c r="A133" s="8" t="str">
        <f>Elettricità!I133</f>
        <v>IT001E04170980</v>
      </c>
      <c r="B133" s="8" t="str">
        <f>Elettricità!A133</f>
        <v>005200218687.PDF</v>
      </c>
      <c r="C133" s="9">
        <f>Elettricità!E133</f>
        <v>45665</v>
      </c>
      <c r="D133" s="9">
        <f>Elettricità!K133</f>
        <v>45627</v>
      </c>
      <c r="E133" s="9">
        <f>Elettricità!L133</f>
        <v>45657</v>
      </c>
      <c r="F133" s="8">
        <f>Elettricità!M133</f>
        <v>4</v>
      </c>
      <c r="G133" s="8">
        <f>Elettricità!N133</f>
        <v>1</v>
      </c>
      <c r="H133" s="8">
        <f>Elettricità!O133</f>
        <v>1</v>
      </c>
      <c r="I133" s="8">
        <f>Elettricità!P133</f>
        <v>2</v>
      </c>
      <c r="J133" s="8">
        <f>Elettricità!Q133</f>
        <v>5</v>
      </c>
      <c r="K133" s="8">
        <f>Elettricità!R133</f>
        <v>1</v>
      </c>
      <c r="L133" s="8">
        <f>Elettricità!S133</f>
        <v>1</v>
      </c>
      <c r="M133" s="8">
        <f>Elettricità!T133</f>
        <v>3</v>
      </c>
      <c r="N133" s="8">
        <f>Elettricità!W133</f>
        <v>83.67</v>
      </c>
      <c r="O133" s="8">
        <f>Elettricità!X133</f>
        <v>102.08</v>
      </c>
      <c r="P133" s="8">
        <f>Elettricità!Y133</f>
        <v>0</v>
      </c>
      <c r="Q133" s="8">
        <f>Elettricità!Z133</f>
        <v>0.62</v>
      </c>
      <c r="R133" s="8">
        <f>Elettricità!AA133</f>
        <v>43.67</v>
      </c>
      <c r="S133" s="8">
        <f>Elettricità!AB133</f>
        <v>39.33</v>
      </c>
      <c r="T133" s="8">
        <f>Elettricità!AC133</f>
        <v>0</v>
      </c>
      <c r="U133" s="8">
        <f>Elettricità!AD133</f>
        <v>18.41</v>
      </c>
      <c r="V133" s="8">
        <f t="shared" si="39"/>
        <v>2024</v>
      </c>
      <c r="W133" s="8">
        <f>_xlfn.XLOOKUP(A133,Fabbricati!E:E,Fabbricati!D:D)</f>
        <v>300469116</v>
      </c>
      <c r="X133" s="9">
        <f t="shared" si="40"/>
        <v>45665</v>
      </c>
      <c r="Y133" s="9">
        <f t="shared" si="41"/>
        <v>45627</v>
      </c>
      <c r="Z133" s="9">
        <f t="shared" si="42"/>
        <v>45657</v>
      </c>
      <c r="AA133" s="8">
        <f t="shared" si="43"/>
        <v>31</v>
      </c>
      <c r="AB133" s="8">
        <f t="shared" si="44"/>
        <v>4</v>
      </c>
      <c r="AC133" s="12" t="s">
        <v>149</v>
      </c>
      <c r="AD133" s="11" t="str">
        <f t="shared" si="45"/>
        <v>1
1
2</v>
      </c>
      <c r="AE133" s="11" t="str">
        <f t="shared" si="46"/>
        <v>1
1
3</v>
      </c>
      <c r="AF133" s="11"/>
      <c r="AG133" s="11"/>
      <c r="AH133" s="8">
        <f t="shared" si="47"/>
        <v>83</v>
      </c>
      <c r="AI133" s="8">
        <f t="shared" si="48"/>
        <v>0.62</v>
      </c>
      <c r="AJ133" s="8">
        <f t="shared" si="49"/>
        <v>18.41</v>
      </c>
      <c r="AK133" s="8"/>
      <c r="AL133" s="8"/>
      <c r="AM133" s="8">
        <f t="shared" si="50"/>
        <v>0</v>
      </c>
      <c r="AN133" s="8">
        <f t="shared" si="51"/>
        <v>102.08</v>
      </c>
    </row>
    <row r="134" spans="1:40" ht="48" customHeight="1" x14ac:dyDescent="0.2">
      <c r="A134" s="8" t="str">
        <f>Elettricità!I134</f>
        <v>IT001E04170984</v>
      </c>
      <c r="B134" s="8" t="str">
        <f>Elettricità!A134</f>
        <v>824500054074_2024_d.pdf</v>
      </c>
      <c r="C134" s="9">
        <f>Elettricità!E134</f>
        <v>45365</v>
      </c>
      <c r="D134" s="9">
        <f>Elettricità!K134</f>
        <v>45292</v>
      </c>
      <c r="E134" s="9">
        <f>Elettricità!L134</f>
        <v>45322</v>
      </c>
      <c r="F134" s="8">
        <f>Elettricità!M134</f>
        <v>3622</v>
      </c>
      <c r="G134" s="8">
        <f>Elettricità!N134</f>
        <v>1553</v>
      </c>
      <c r="H134" s="8">
        <f>Elettricità!O134</f>
        <v>1044</v>
      </c>
      <c r="I134" s="8">
        <f>Elettricità!P134</f>
        <v>1025</v>
      </c>
      <c r="J134" s="8">
        <f>Elettricità!Q134</f>
        <v>1527</v>
      </c>
      <c r="K134" s="8">
        <f>Elettricità!R134</f>
        <v>733</v>
      </c>
      <c r="L134" s="8">
        <f>Elettricità!S134</f>
        <v>326</v>
      </c>
      <c r="M134" s="8">
        <f>Elettricità!T134</f>
        <v>468</v>
      </c>
      <c r="N134" s="8">
        <f>Elettricità!W134</f>
        <v>1161.01</v>
      </c>
      <c r="O134" s="8">
        <f>Elettricità!X134</f>
        <v>1416.43</v>
      </c>
      <c r="P134" s="8">
        <f>Elettricità!Y134</f>
        <v>0</v>
      </c>
      <c r="Q134" s="8">
        <f>Elettricità!Z134</f>
        <v>576.78</v>
      </c>
      <c r="R134" s="8">
        <f>Elettricità!AA134</f>
        <v>232.46</v>
      </c>
      <c r="S134" s="8">
        <f>Elettricità!AB134</f>
        <v>288.38</v>
      </c>
      <c r="T134" s="8">
        <f>Elettricità!AC134</f>
        <v>18.11</v>
      </c>
      <c r="U134" s="8">
        <f>Elettricità!AD134</f>
        <v>45.28</v>
      </c>
      <c r="V134" s="8">
        <f t="shared" si="39"/>
        <v>2024</v>
      </c>
      <c r="W134" s="8">
        <f>_xlfn.XLOOKUP(A134,Fabbricati!E:E,Fabbricati!D:D)</f>
        <v>382917332</v>
      </c>
      <c r="X134" s="9">
        <f t="shared" si="40"/>
        <v>45365</v>
      </c>
      <c r="Y134" s="9">
        <f t="shared" si="41"/>
        <v>45292</v>
      </c>
      <c r="Z134" s="9">
        <f t="shared" si="42"/>
        <v>45322</v>
      </c>
      <c r="AA134" s="8">
        <f t="shared" si="43"/>
        <v>31</v>
      </c>
      <c r="AB134" s="8">
        <f t="shared" si="44"/>
        <v>3622</v>
      </c>
      <c r="AC134" s="12" t="s">
        <v>149</v>
      </c>
      <c r="AD134" s="11" t="str">
        <f t="shared" si="45"/>
        <v>1553
1044
1025</v>
      </c>
      <c r="AE134" s="11" t="str">
        <f t="shared" si="46"/>
        <v>733
326
468</v>
      </c>
      <c r="AF134" s="11"/>
      <c r="AG134" s="11"/>
      <c r="AH134" s="8">
        <f t="shared" si="47"/>
        <v>520.84</v>
      </c>
      <c r="AI134" s="8">
        <f t="shared" si="48"/>
        <v>576.78</v>
      </c>
      <c r="AJ134" s="8">
        <f t="shared" si="49"/>
        <v>45.28</v>
      </c>
      <c r="AK134" s="8"/>
      <c r="AL134" s="8"/>
      <c r="AM134" s="8">
        <f t="shared" si="50"/>
        <v>18.11</v>
      </c>
      <c r="AN134" s="8">
        <f t="shared" si="51"/>
        <v>1416.43</v>
      </c>
    </row>
    <row r="135" spans="1:40" ht="48" customHeight="1" x14ac:dyDescent="0.2">
      <c r="A135" s="8" t="str">
        <f>Elettricità!I135</f>
        <v>IT001E04170984</v>
      </c>
      <c r="B135" s="8" t="str">
        <f>Elettricità!A135</f>
        <v>005020535985(1).pdf</v>
      </c>
      <c r="C135" s="9">
        <f>Elettricità!E135</f>
        <v>45360</v>
      </c>
      <c r="D135" s="9">
        <f>Elettricità!K135</f>
        <v>45323</v>
      </c>
      <c r="E135" s="9">
        <f>Elettricità!L135</f>
        <v>45351</v>
      </c>
      <c r="F135" s="8">
        <f>Elettricità!M135</f>
        <v>2977</v>
      </c>
      <c r="G135" s="8">
        <f>Elettricità!N135</f>
        <v>1181</v>
      </c>
      <c r="H135" s="8">
        <f>Elettricità!O135</f>
        <v>1036</v>
      </c>
      <c r="I135" s="8">
        <f>Elettricità!P135</f>
        <v>760</v>
      </c>
      <c r="J135" s="8">
        <f>Elettricità!Q135</f>
        <v>1061</v>
      </c>
      <c r="K135" s="8">
        <f>Elettricità!R135</f>
        <v>488</v>
      </c>
      <c r="L135" s="8">
        <f>Elettricità!S135</f>
        <v>256</v>
      </c>
      <c r="M135" s="8">
        <f>Elettricità!T135</f>
        <v>317</v>
      </c>
      <c r="N135" s="8">
        <f>Elettricità!W135</f>
        <v>881.05</v>
      </c>
      <c r="O135" s="8">
        <f>Elettricità!X135</f>
        <v>1074.8800000000001</v>
      </c>
      <c r="P135" s="8">
        <f>Elettricità!Y135</f>
        <v>0</v>
      </c>
      <c r="Q135" s="8">
        <f>Elettricità!Z135</f>
        <v>363.33</v>
      </c>
      <c r="R135" s="8">
        <f>Elettricità!AA135</f>
        <v>220.87</v>
      </c>
      <c r="S135" s="8">
        <f>Elettricità!AB135</f>
        <v>259.64</v>
      </c>
      <c r="T135" s="8">
        <f>Elettricità!AC135</f>
        <v>0</v>
      </c>
      <c r="U135" s="8">
        <f>Elettricità!AD135</f>
        <v>193.83</v>
      </c>
      <c r="V135" s="8">
        <f t="shared" si="39"/>
        <v>2024</v>
      </c>
      <c r="W135" s="8">
        <f>_xlfn.XLOOKUP(A135,Fabbricati!E:E,Fabbricati!D:D)</f>
        <v>382917332</v>
      </c>
      <c r="X135" s="9">
        <f t="shared" si="40"/>
        <v>45360</v>
      </c>
      <c r="Y135" s="9">
        <f t="shared" si="41"/>
        <v>45323</v>
      </c>
      <c r="Z135" s="9">
        <f t="shared" si="42"/>
        <v>45351</v>
      </c>
      <c r="AA135" s="8">
        <f t="shared" si="43"/>
        <v>29</v>
      </c>
      <c r="AB135" s="8">
        <f t="shared" si="44"/>
        <v>2977</v>
      </c>
      <c r="AC135" s="12" t="s">
        <v>149</v>
      </c>
      <c r="AD135" s="11" t="str">
        <f t="shared" si="45"/>
        <v>1181
1036
760</v>
      </c>
      <c r="AE135" s="11" t="str">
        <f t="shared" si="46"/>
        <v>488
256
317</v>
      </c>
      <c r="AF135" s="11"/>
      <c r="AG135" s="11"/>
      <c r="AH135" s="8">
        <f t="shared" si="47"/>
        <v>480.51</v>
      </c>
      <c r="AI135" s="8">
        <f t="shared" si="48"/>
        <v>363.33</v>
      </c>
      <c r="AJ135" s="8">
        <f t="shared" si="49"/>
        <v>193.83</v>
      </c>
      <c r="AK135" s="8"/>
      <c r="AL135" s="8"/>
      <c r="AM135" s="8">
        <f t="shared" si="50"/>
        <v>0</v>
      </c>
      <c r="AN135" s="8">
        <f t="shared" si="51"/>
        <v>1074.8800000000001</v>
      </c>
    </row>
    <row r="136" spans="1:40" ht="48" customHeight="1" x14ac:dyDescent="0.2">
      <c r="A136" s="8" t="str">
        <f>Elettricità!I136</f>
        <v>IT001E04170984</v>
      </c>
      <c r="B136" s="8" t="str">
        <f>Elettricità!A136</f>
        <v>005026659955.pdf</v>
      </c>
      <c r="C136" s="9">
        <f>Elettricità!E136</f>
        <v>45390</v>
      </c>
      <c r="D136" s="9">
        <f>Elettricità!K136</f>
        <v>45352</v>
      </c>
      <c r="E136" s="9">
        <f>Elettricità!L136</f>
        <v>45382</v>
      </c>
      <c r="F136" s="8">
        <f>Elettricità!M136</f>
        <v>2881</v>
      </c>
      <c r="G136" s="8">
        <f>Elettricità!N136</f>
        <v>944</v>
      </c>
      <c r="H136" s="8">
        <f>Elettricità!O136</f>
        <v>1187</v>
      </c>
      <c r="I136" s="8">
        <f>Elettricità!P136</f>
        <v>750</v>
      </c>
      <c r="J136" s="8">
        <f>Elettricità!Q136</f>
        <v>883</v>
      </c>
      <c r="K136" s="8">
        <f>Elettricità!R136</f>
        <v>357</v>
      </c>
      <c r="L136" s="8">
        <f>Elettricità!S136</f>
        <v>239</v>
      </c>
      <c r="M136" s="8">
        <f>Elettricità!T136</f>
        <v>287</v>
      </c>
      <c r="N136" s="8">
        <f>Elettricità!W136</f>
        <v>864.49</v>
      </c>
      <c r="O136" s="8">
        <f>Elettricità!X136</f>
        <v>1054.68</v>
      </c>
      <c r="P136" s="8">
        <f>Elettricità!Y136</f>
        <v>0</v>
      </c>
      <c r="Q136" s="8">
        <f>Elettricità!Z136</f>
        <v>340.22</v>
      </c>
      <c r="R136" s="8">
        <f>Elettricità!AA136</f>
        <v>226.13</v>
      </c>
      <c r="S136" s="8">
        <f>Elettricità!AB136</f>
        <v>262.13</v>
      </c>
      <c r="T136" s="8">
        <f>Elettricità!AC136</f>
        <v>0</v>
      </c>
      <c r="U136" s="8">
        <f>Elettricità!AD136</f>
        <v>190.19</v>
      </c>
      <c r="V136" s="8">
        <f t="shared" si="39"/>
        <v>2024</v>
      </c>
      <c r="W136" s="8">
        <f>_xlfn.XLOOKUP(A136,Fabbricati!E:E,Fabbricati!D:D)</f>
        <v>382917332</v>
      </c>
      <c r="X136" s="9">
        <f t="shared" si="40"/>
        <v>45390</v>
      </c>
      <c r="Y136" s="9">
        <f t="shared" si="41"/>
        <v>45352</v>
      </c>
      <c r="Z136" s="9">
        <f t="shared" si="42"/>
        <v>45382</v>
      </c>
      <c r="AA136" s="8">
        <f t="shared" si="43"/>
        <v>31</v>
      </c>
      <c r="AB136" s="8">
        <f t="shared" si="44"/>
        <v>2881</v>
      </c>
      <c r="AC136" s="12" t="s">
        <v>149</v>
      </c>
      <c r="AD136" s="11" t="str">
        <f t="shared" si="45"/>
        <v>944
1187
750</v>
      </c>
      <c r="AE136" s="11" t="str">
        <f t="shared" si="46"/>
        <v>357
239
287</v>
      </c>
      <c r="AF136" s="11"/>
      <c r="AG136" s="11"/>
      <c r="AH136" s="8">
        <f t="shared" si="47"/>
        <v>488.26</v>
      </c>
      <c r="AI136" s="8">
        <f t="shared" si="48"/>
        <v>340.22</v>
      </c>
      <c r="AJ136" s="8">
        <f t="shared" si="49"/>
        <v>190.19</v>
      </c>
      <c r="AK136" s="8"/>
      <c r="AL136" s="8"/>
      <c r="AM136" s="8">
        <f t="shared" si="50"/>
        <v>0</v>
      </c>
      <c r="AN136" s="8">
        <f t="shared" si="51"/>
        <v>1054.68</v>
      </c>
    </row>
    <row r="137" spans="1:40" ht="48" customHeight="1" x14ac:dyDescent="0.2">
      <c r="A137" s="8" t="str">
        <f>Elettricità!I137</f>
        <v>IT001E04170984</v>
      </c>
      <c r="B137" s="8" t="str">
        <f>Elettricità!A137</f>
        <v>005034930222.PDF</v>
      </c>
      <c r="C137" s="9">
        <f>Elettricità!E137</f>
        <v>45419</v>
      </c>
      <c r="D137" s="9">
        <f>Elettricità!K137</f>
        <v>45383</v>
      </c>
      <c r="E137" s="9">
        <f>Elettricità!L137</f>
        <v>45412</v>
      </c>
      <c r="F137" s="8">
        <f>Elettricità!M137</f>
        <v>1861</v>
      </c>
      <c r="G137" s="8">
        <f>Elettricità!N137</f>
        <v>619</v>
      </c>
      <c r="H137" s="8">
        <f>Elettricità!O137</f>
        <v>638</v>
      </c>
      <c r="I137" s="8">
        <f>Elettricità!P137</f>
        <v>604</v>
      </c>
      <c r="J137" s="8">
        <f>Elettricità!Q137</f>
        <v>246</v>
      </c>
      <c r="K137" s="8">
        <f>Elettricità!R137</f>
        <v>77</v>
      </c>
      <c r="L137" s="8">
        <f>Elettricità!S137</f>
        <v>61</v>
      </c>
      <c r="M137" s="8">
        <f>Elettricità!T137</f>
        <v>108</v>
      </c>
      <c r="N137" s="8">
        <f>Elettricità!W137</f>
        <v>706.01</v>
      </c>
      <c r="O137" s="8">
        <f>Elettricità!X137</f>
        <v>861.33</v>
      </c>
      <c r="P137" s="8">
        <f>Elettricità!Y137</f>
        <v>0</v>
      </c>
      <c r="Q137" s="8">
        <f>Elettricità!Z137</f>
        <v>213.76</v>
      </c>
      <c r="R137" s="8">
        <f>Elettricità!AA137</f>
        <v>213.08</v>
      </c>
      <c r="S137" s="8">
        <f>Elettricità!AB137</f>
        <v>255.91</v>
      </c>
      <c r="T137" s="8">
        <f>Elettricità!AC137</f>
        <v>0</v>
      </c>
      <c r="U137" s="8">
        <f>Elettricità!AD137</f>
        <v>155.32</v>
      </c>
      <c r="V137" s="8">
        <f t="shared" si="39"/>
        <v>2024</v>
      </c>
      <c r="W137" s="8">
        <f>_xlfn.XLOOKUP(A137,Fabbricati!E:E,Fabbricati!D:D)</f>
        <v>382917332</v>
      </c>
      <c r="X137" s="9">
        <f t="shared" si="40"/>
        <v>45419</v>
      </c>
      <c r="Y137" s="9">
        <f t="shared" si="41"/>
        <v>45383</v>
      </c>
      <c r="Z137" s="9">
        <f t="shared" si="42"/>
        <v>45412</v>
      </c>
      <c r="AA137" s="8">
        <f t="shared" si="43"/>
        <v>30</v>
      </c>
      <c r="AB137" s="8">
        <f t="shared" si="44"/>
        <v>1861</v>
      </c>
      <c r="AC137" s="12" t="s">
        <v>149</v>
      </c>
      <c r="AD137" s="11" t="str">
        <f t="shared" si="45"/>
        <v>619
638
604</v>
      </c>
      <c r="AE137" s="11" t="str">
        <f t="shared" si="46"/>
        <v>77
61
108</v>
      </c>
      <c r="AF137" s="11"/>
      <c r="AG137" s="11"/>
      <c r="AH137" s="8">
        <f t="shared" si="47"/>
        <v>468.99</v>
      </c>
      <c r="AI137" s="8">
        <f t="shared" si="48"/>
        <v>213.76</v>
      </c>
      <c r="AJ137" s="8">
        <f t="shared" si="49"/>
        <v>155.32</v>
      </c>
      <c r="AK137" s="8"/>
      <c r="AL137" s="8"/>
      <c r="AM137" s="8">
        <f t="shared" si="50"/>
        <v>0</v>
      </c>
      <c r="AN137" s="8">
        <f t="shared" si="51"/>
        <v>861.33</v>
      </c>
    </row>
    <row r="138" spans="1:40" ht="48" customHeight="1" x14ac:dyDescent="0.2">
      <c r="A138" s="8" t="str">
        <f>Elettricità!I138</f>
        <v>IT001E04170984</v>
      </c>
      <c r="B138" s="8" t="str">
        <f>Elettricità!A138</f>
        <v>005043663085.PDF</v>
      </c>
      <c r="C138" s="9">
        <f>Elettricità!E138</f>
        <v>45449</v>
      </c>
      <c r="D138" s="9">
        <f>Elettricità!K138</f>
        <v>45413</v>
      </c>
      <c r="E138" s="9">
        <f>Elettricità!L138</f>
        <v>45443</v>
      </c>
      <c r="F138" s="8">
        <f>Elettricità!M138</f>
        <v>2127</v>
      </c>
      <c r="G138" s="8">
        <f>Elettricità!N138</f>
        <v>725</v>
      </c>
      <c r="H138" s="8">
        <f>Elettricità!O138</f>
        <v>875</v>
      </c>
      <c r="I138" s="8">
        <f>Elettricità!P138</f>
        <v>527</v>
      </c>
      <c r="J138" s="8">
        <f>Elettricità!Q138</f>
        <v>121</v>
      </c>
      <c r="K138" s="8">
        <f>Elettricità!R138</f>
        <v>28</v>
      </c>
      <c r="L138" s="8">
        <f>Elettricità!S138</f>
        <v>66</v>
      </c>
      <c r="M138" s="8">
        <f>Elettricità!T138</f>
        <v>27</v>
      </c>
      <c r="N138" s="8">
        <f>Elettricità!W138</f>
        <v>757.36</v>
      </c>
      <c r="O138" s="8">
        <f>Elettricità!X138</f>
        <v>923.98</v>
      </c>
      <c r="P138" s="8">
        <f>Elettricità!Y138</f>
        <v>0</v>
      </c>
      <c r="Q138" s="8">
        <f>Elettricità!Z138</f>
        <v>268.25</v>
      </c>
      <c r="R138" s="8">
        <f>Elettricità!AA138</f>
        <v>204.71</v>
      </c>
      <c r="S138" s="8">
        <f>Elettricità!AB138</f>
        <v>257.81</v>
      </c>
      <c r="T138" s="8">
        <f>Elettricità!AC138</f>
        <v>0</v>
      </c>
      <c r="U138" s="8">
        <f>Elettricità!AD138</f>
        <v>166.62</v>
      </c>
      <c r="V138" s="8">
        <f t="shared" si="39"/>
        <v>2024</v>
      </c>
      <c r="W138" s="8">
        <f>_xlfn.XLOOKUP(A138,Fabbricati!E:E,Fabbricati!D:D)</f>
        <v>382917332</v>
      </c>
      <c r="X138" s="9">
        <f t="shared" si="40"/>
        <v>45449</v>
      </c>
      <c r="Y138" s="9">
        <f t="shared" si="41"/>
        <v>45413</v>
      </c>
      <c r="Z138" s="9">
        <f t="shared" si="42"/>
        <v>45443</v>
      </c>
      <c r="AA138" s="8">
        <f t="shared" si="43"/>
        <v>31</v>
      </c>
      <c r="AB138" s="8">
        <f t="shared" si="44"/>
        <v>2127</v>
      </c>
      <c r="AC138" s="12" t="s">
        <v>149</v>
      </c>
      <c r="AD138" s="11" t="str">
        <f t="shared" si="45"/>
        <v>725
875
527</v>
      </c>
      <c r="AE138" s="11" t="str">
        <f t="shared" si="46"/>
        <v>28
66
27</v>
      </c>
      <c r="AF138" s="11"/>
      <c r="AG138" s="11"/>
      <c r="AH138" s="8">
        <f t="shared" si="47"/>
        <v>462.52</v>
      </c>
      <c r="AI138" s="8">
        <f t="shared" si="48"/>
        <v>268.25</v>
      </c>
      <c r="AJ138" s="8">
        <f t="shared" si="49"/>
        <v>166.62</v>
      </c>
      <c r="AK138" s="8"/>
      <c r="AL138" s="8"/>
      <c r="AM138" s="8">
        <f t="shared" si="50"/>
        <v>0</v>
      </c>
      <c r="AN138" s="8">
        <f t="shared" si="51"/>
        <v>923.98</v>
      </c>
    </row>
    <row r="139" spans="1:40" ht="48" customHeight="1" x14ac:dyDescent="0.2">
      <c r="A139" s="8" t="str">
        <f>Elettricità!I139</f>
        <v>IT001E04170984</v>
      </c>
      <c r="B139" s="8" t="str">
        <f>Elettricità!A139</f>
        <v>005057542599(1).PDF</v>
      </c>
      <c r="C139" s="9">
        <f>Elettricità!E139</f>
        <v>45483</v>
      </c>
      <c r="D139" s="9">
        <f>Elettricità!K139</f>
        <v>45444</v>
      </c>
      <c r="E139" s="9">
        <f>Elettricità!L139</f>
        <v>45473</v>
      </c>
      <c r="F139" s="8">
        <f>Elettricità!M139</f>
        <v>2075</v>
      </c>
      <c r="G139" s="8">
        <f>Elettricità!N139</f>
        <v>1109</v>
      </c>
      <c r="H139" s="8">
        <f>Elettricità!O139</f>
        <v>453</v>
      </c>
      <c r="I139" s="8">
        <f>Elettricità!P139</f>
        <v>513</v>
      </c>
      <c r="J139" s="8">
        <f>Elettricità!Q139</f>
        <v>80</v>
      </c>
      <c r="K139" s="8">
        <f>Elettricità!R139</f>
        <v>25</v>
      </c>
      <c r="L139" s="8">
        <f>Elettricità!S139</f>
        <v>21</v>
      </c>
      <c r="M139" s="8">
        <f>Elettricità!T139</f>
        <v>34</v>
      </c>
      <c r="N139" s="8">
        <f>Elettricità!W139</f>
        <v>484.81</v>
      </c>
      <c r="O139" s="8">
        <f>Elettricità!X139</f>
        <v>591.47</v>
      </c>
      <c r="P139" s="8">
        <f>Elettricità!Y139</f>
        <v>0</v>
      </c>
      <c r="Q139" s="8">
        <f>Elettricità!Z139</f>
        <v>284.10000000000002</v>
      </c>
      <c r="R139" s="8">
        <f>Elettricità!AA139</f>
        <v>53.45</v>
      </c>
      <c r="S139" s="8">
        <f>Elettricità!AB139</f>
        <v>121.32</v>
      </c>
      <c r="T139" s="8">
        <f>Elettricità!AC139</f>
        <v>0</v>
      </c>
      <c r="U139" s="8">
        <f>Elettricità!AD139</f>
        <v>106.66</v>
      </c>
      <c r="V139" s="8">
        <f t="shared" si="39"/>
        <v>2024</v>
      </c>
      <c r="W139" s="8">
        <f>_xlfn.XLOOKUP(A139,Fabbricati!E:E,Fabbricati!D:D)</f>
        <v>382917332</v>
      </c>
      <c r="X139" s="9">
        <f t="shared" si="40"/>
        <v>45483</v>
      </c>
      <c r="Y139" s="9">
        <f t="shared" si="41"/>
        <v>45444</v>
      </c>
      <c r="Z139" s="9">
        <f t="shared" si="42"/>
        <v>45473</v>
      </c>
      <c r="AA139" s="8">
        <f t="shared" si="43"/>
        <v>30</v>
      </c>
      <c r="AB139" s="8">
        <f t="shared" si="44"/>
        <v>2075</v>
      </c>
      <c r="AC139" s="12" t="s">
        <v>149</v>
      </c>
      <c r="AD139" s="11" t="str">
        <f t="shared" si="45"/>
        <v>1109
453
513</v>
      </c>
      <c r="AE139" s="11" t="str">
        <f t="shared" si="46"/>
        <v>25
21
34</v>
      </c>
      <c r="AF139" s="11"/>
      <c r="AG139" s="11"/>
      <c r="AH139" s="8">
        <f t="shared" si="47"/>
        <v>174.76999999999998</v>
      </c>
      <c r="AI139" s="8">
        <f t="shared" si="48"/>
        <v>284.10000000000002</v>
      </c>
      <c r="AJ139" s="8">
        <f t="shared" si="49"/>
        <v>106.66</v>
      </c>
      <c r="AK139" s="8"/>
      <c r="AL139" s="8"/>
      <c r="AM139" s="8">
        <f t="shared" si="50"/>
        <v>0</v>
      </c>
      <c r="AN139" s="8">
        <f t="shared" si="51"/>
        <v>591.47</v>
      </c>
    </row>
    <row r="140" spans="1:40" ht="48" customHeight="1" x14ac:dyDescent="0.2">
      <c r="A140" s="8" t="str">
        <f>Elettricità!I140</f>
        <v>IT001E04170984</v>
      </c>
      <c r="B140" s="8" t="str">
        <f>Elettricità!A140</f>
        <v>005059958066.PDF</v>
      </c>
      <c r="C140" s="9">
        <f>Elettricità!E140</f>
        <v>45511</v>
      </c>
      <c r="D140" s="9">
        <f>Elettricità!K140</f>
        <v>45474</v>
      </c>
      <c r="E140" s="9">
        <f>Elettricità!L140</f>
        <v>45504</v>
      </c>
      <c r="F140" s="8">
        <f>Elettricità!M140</f>
        <v>2807</v>
      </c>
      <c r="G140" s="8">
        <f>Elettricità!N140</f>
        <v>642</v>
      </c>
      <c r="H140" s="8">
        <f>Elettricità!O140</f>
        <v>1222</v>
      </c>
      <c r="I140" s="8">
        <f>Elettricità!P140</f>
        <v>943</v>
      </c>
      <c r="J140" s="8">
        <f>Elettricità!Q140</f>
        <v>392</v>
      </c>
      <c r="K140" s="8">
        <f>Elettricità!R140</f>
        <v>82</v>
      </c>
      <c r="L140" s="8">
        <f>Elettricità!S140</f>
        <v>181</v>
      </c>
      <c r="M140" s="8">
        <f>Elettricità!T140</f>
        <v>129</v>
      </c>
      <c r="N140" s="8">
        <f>Elettricità!W140</f>
        <v>989.35</v>
      </c>
      <c r="O140" s="8">
        <f>Elettricità!X140</f>
        <v>1207.01</v>
      </c>
      <c r="P140" s="8">
        <f>Elettricità!Y140</f>
        <v>0</v>
      </c>
      <c r="Q140" s="8">
        <f>Elettricità!Z140</f>
        <v>430.93</v>
      </c>
      <c r="R140" s="8">
        <f>Elettricità!AA140</f>
        <v>223.39</v>
      </c>
      <c r="S140" s="8">
        <f>Elettricità!AB140</f>
        <v>299.94</v>
      </c>
      <c r="T140" s="8">
        <f>Elettricità!AC140</f>
        <v>0</v>
      </c>
      <c r="U140" s="8">
        <f>Elettricità!AD140</f>
        <v>217.66</v>
      </c>
      <c r="V140" s="8">
        <f t="shared" si="39"/>
        <v>2024</v>
      </c>
      <c r="W140" s="8">
        <f>_xlfn.XLOOKUP(A140,Fabbricati!E:E,Fabbricati!D:D)</f>
        <v>382917332</v>
      </c>
      <c r="X140" s="9">
        <f t="shared" si="40"/>
        <v>45511</v>
      </c>
      <c r="Y140" s="9">
        <f t="shared" si="41"/>
        <v>45474</v>
      </c>
      <c r="Z140" s="9">
        <f t="shared" si="42"/>
        <v>45504</v>
      </c>
      <c r="AA140" s="8">
        <f t="shared" si="43"/>
        <v>31</v>
      </c>
      <c r="AB140" s="8">
        <f t="shared" si="44"/>
        <v>2807</v>
      </c>
      <c r="AC140" s="12" t="s">
        <v>149</v>
      </c>
      <c r="AD140" s="11" t="str">
        <f t="shared" si="45"/>
        <v>642
1222
943</v>
      </c>
      <c r="AE140" s="11" t="str">
        <f t="shared" si="46"/>
        <v>82
181
129</v>
      </c>
      <c r="AF140" s="11"/>
      <c r="AG140" s="11"/>
      <c r="AH140" s="8">
        <f t="shared" si="47"/>
        <v>523.32999999999993</v>
      </c>
      <c r="AI140" s="8">
        <f t="shared" si="48"/>
        <v>430.93</v>
      </c>
      <c r="AJ140" s="8">
        <f t="shared" si="49"/>
        <v>217.66</v>
      </c>
      <c r="AK140" s="8"/>
      <c r="AL140" s="8"/>
      <c r="AM140" s="8">
        <f t="shared" si="50"/>
        <v>0</v>
      </c>
      <c r="AN140" s="8">
        <f t="shared" si="51"/>
        <v>1207.01</v>
      </c>
    </row>
    <row r="141" spans="1:40" ht="48" customHeight="1" x14ac:dyDescent="0.2">
      <c r="A141" s="8" t="str">
        <f>Elettricità!I141</f>
        <v>IT001E04170984</v>
      </c>
      <c r="B141" s="8" t="str">
        <f>Elettricità!A141</f>
        <v>005074545245(1).PDF</v>
      </c>
      <c r="C141" s="9">
        <f>Elettricità!E141</f>
        <v>45546</v>
      </c>
      <c r="D141" s="9">
        <f>Elettricità!K141</f>
        <v>45505</v>
      </c>
      <c r="E141" s="9">
        <f>Elettricità!L141</f>
        <v>45535</v>
      </c>
      <c r="F141" s="8">
        <f>Elettricità!M141</f>
        <v>1804</v>
      </c>
      <c r="G141" s="8">
        <f>Elettricità!N141</f>
        <v>477</v>
      </c>
      <c r="H141" s="8">
        <f>Elettricità!O141</f>
        <v>438</v>
      </c>
      <c r="I141" s="8">
        <f>Elettricità!P141</f>
        <v>889</v>
      </c>
      <c r="J141" s="8">
        <f>Elettricità!Q141</f>
        <v>601</v>
      </c>
      <c r="K141" s="8">
        <f>Elettricità!R141</f>
        <v>118</v>
      </c>
      <c r="L141" s="8">
        <f>Elettricità!S141</f>
        <v>141</v>
      </c>
      <c r="M141" s="8">
        <f>Elettricità!T141</f>
        <v>342</v>
      </c>
      <c r="N141" s="8">
        <f>Elettricità!W141</f>
        <v>478.99</v>
      </c>
      <c r="O141" s="8">
        <f>Elettricità!X141</f>
        <v>584.37</v>
      </c>
      <c r="P141" s="8">
        <f>Elettricità!Y141</f>
        <v>0</v>
      </c>
      <c r="Q141" s="8">
        <f>Elettricità!Z141</f>
        <v>284.7</v>
      </c>
      <c r="R141" s="8">
        <f>Elettricità!AA141</f>
        <v>57.01</v>
      </c>
      <c r="S141" s="8">
        <f>Elettricità!AB141</f>
        <v>114.73</v>
      </c>
      <c r="T141" s="8">
        <f>Elettricità!AC141</f>
        <v>0</v>
      </c>
      <c r="U141" s="8">
        <f>Elettricità!AD141</f>
        <v>105.38</v>
      </c>
      <c r="V141" s="8">
        <f t="shared" si="39"/>
        <v>2024</v>
      </c>
      <c r="W141" s="8">
        <f>_xlfn.XLOOKUP(A141,Fabbricati!E:E,Fabbricati!D:D)</f>
        <v>382917332</v>
      </c>
      <c r="X141" s="9">
        <f t="shared" si="40"/>
        <v>45546</v>
      </c>
      <c r="Y141" s="9">
        <f t="shared" si="41"/>
        <v>45505</v>
      </c>
      <c r="Z141" s="9">
        <f t="shared" si="42"/>
        <v>45535</v>
      </c>
      <c r="AA141" s="8">
        <f t="shared" si="43"/>
        <v>31</v>
      </c>
      <c r="AB141" s="8">
        <f t="shared" si="44"/>
        <v>1804</v>
      </c>
      <c r="AC141" s="12" t="s">
        <v>149</v>
      </c>
      <c r="AD141" s="11" t="str">
        <f t="shared" si="45"/>
        <v>477
438
889</v>
      </c>
      <c r="AE141" s="11" t="str">
        <f t="shared" si="46"/>
        <v>118
141
342</v>
      </c>
      <c r="AF141" s="11"/>
      <c r="AG141" s="11"/>
      <c r="AH141" s="8">
        <f t="shared" si="47"/>
        <v>171.74</v>
      </c>
      <c r="AI141" s="8">
        <f t="shared" si="48"/>
        <v>284.7</v>
      </c>
      <c r="AJ141" s="8">
        <f t="shared" si="49"/>
        <v>105.38</v>
      </c>
      <c r="AK141" s="8"/>
      <c r="AL141" s="8"/>
      <c r="AM141" s="8">
        <f t="shared" si="50"/>
        <v>0</v>
      </c>
      <c r="AN141" s="8">
        <f t="shared" si="51"/>
        <v>584.37</v>
      </c>
    </row>
    <row r="142" spans="1:40" ht="48" customHeight="1" x14ac:dyDescent="0.2">
      <c r="A142" s="8" t="str">
        <f>Elettricità!I142</f>
        <v>IT001E04170984</v>
      </c>
      <c r="B142" s="8" t="str">
        <f>Elettricità!A142</f>
        <v>005076347776.PDF</v>
      </c>
      <c r="C142" s="9">
        <f>Elettricità!E142</f>
        <v>45571</v>
      </c>
      <c r="D142" s="9">
        <f>Elettricità!K142</f>
        <v>45536</v>
      </c>
      <c r="E142" s="9">
        <f>Elettricità!L142</f>
        <v>45565</v>
      </c>
      <c r="F142" s="8">
        <f>Elettricità!M142</f>
        <v>1820</v>
      </c>
      <c r="G142" s="8">
        <f>Elettricità!N142</f>
        <v>709</v>
      </c>
      <c r="H142" s="8">
        <f>Elettricità!O142</f>
        <v>314</v>
      </c>
      <c r="I142" s="8">
        <f>Elettricità!P142</f>
        <v>797</v>
      </c>
      <c r="J142" s="8">
        <f>Elettricità!Q142</f>
        <v>602</v>
      </c>
      <c r="K142" s="8">
        <f>Elettricità!R142</f>
        <v>208</v>
      </c>
      <c r="L142" s="8">
        <f>Elettricità!S142</f>
        <v>84</v>
      </c>
      <c r="M142" s="8">
        <f>Elettricità!T142</f>
        <v>310</v>
      </c>
      <c r="N142" s="8">
        <f>Elettricità!W142</f>
        <v>474.84</v>
      </c>
      <c r="O142" s="8">
        <f>Elettricità!X142</f>
        <v>579.29999999999995</v>
      </c>
      <c r="P142" s="8">
        <f>Elettricità!Y142</f>
        <v>0</v>
      </c>
      <c r="Q142" s="8">
        <f>Elettricità!Z142</f>
        <v>262.93</v>
      </c>
      <c r="R142" s="8">
        <f>Elettricità!AA142</f>
        <v>66.19</v>
      </c>
      <c r="S142" s="8">
        <f>Elettricità!AB142</f>
        <v>122.97</v>
      </c>
      <c r="T142" s="8">
        <f>Elettricità!AC142</f>
        <v>0</v>
      </c>
      <c r="U142" s="8">
        <f>Elettricità!AD142</f>
        <v>104.46</v>
      </c>
      <c r="V142" s="8">
        <f t="shared" si="39"/>
        <v>2024</v>
      </c>
      <c r="W142" s="8">
        <f>_xlfn.XLOOKUP(A142,Fabbricati!E:E,Fabbricati!D:D)</f>
        <v>382917332</v>
      </c>
      <c r="X142" s="9">
        <f t="shared" si="40"/>
        <v>45571</v>
      </c>
      <c r="Y142" s="9">
        <f t="shared" si="41"/>
        <v>45536</v>
      </c>
      <c r="Z142" s="9">
        <f t="shared" si="42"/>
        <v>45565</v>
      </c>
      <c r="AA142" s="8">
        <f t="shared" si="43"/>
        <v>30</v>
      </c>
      <c r="AB142" s="8">
        <f t="shared" si="44"/>
        <v>1820</v>
      </c>
      <c r="AC142" s="12" t="s">
        <v>149</v>
      </c>
      <c r="AD142" s="11" t="str">
        <f t="shared" si="45"/>
        <v>709
314
797</v>
      </c>
      <c r="AE142" s="11" t="str">
        <f t="shared" si="46"/>
        <v>208
84
310</v>
      </c>
      <c r="AF142" s="11"/>
      <c r="AG142" s="11"/>
      <c r="AH142" s="8">
        <f t="shared" si="47"/>
        <v>189.16</v>
      </c>
      <c r="AI142" s="8">
        <f t="shared" si="48"/>
        <v>262.93</v>
      </c>
      <c r="AJ142" s="8">
        <f t="shared" si="49"/>
        <v>104.46</v>
      </c>
      <c r="AK142" s="8"/>
      <c r="AL142" s="8"/>
      <c r="AM142" s="8">
        <f t="shared" si="50"/>
        <v>0</v>
      </c>
      <c r="AN142" s="8">
        <f t="shared" si="51"/>
        <v>579.29999999999995</v>
      </c>
    </row>
    <row r="143" spans="1:40" ht="48" customHeight="1" x14ac:dyDescent="0.2">
      <c r="A143" s="8" t="str">
        <f>Elettricità!I143</f>
        <v>IT001E04170984</v>
      </c>
      <c r="B143" s="8" t="str">
        <f>Elettricità!A143</f>
        <v>005085485032.PDF</v>
      </c>
      <c r="C143" s="9">
        <f>Elettricità!E143</f>
        <v>45604</v>
      </c>
      <c r="D143" s="9">
        <f>Elettricità!K143</f>
        <v>45566</v>
      </c>
      <c r="E143" s="9">
        <f>Elettricità!L143</f>
        <v>45596</v>
      </c>
      <c r="F143" s="8">
        <f>Elettricità!M143</f>
        <v>2349</v>
      </c>
      <c r="G143" s="8">
        <f>Elettricità!N143</f>
        <v>920</v>
      </c>
      <c r="H143" s="8">
        <f>Elettricità!O143</f>
        <v>718</v>
      </c>
      <c r="I143" s="8">
        <f>Elettricità!P143</f>
        <v>711</v>
      </c>
      <c r="J143" s="8">
        <f>Elettricità!Q143</f>
        <v>232</v>
      </c>
      <c r="K143" s="8">
        <f>Elettricità!R143</f>
        <v>94</v>
      </c>
      <c r="L143" s="8">
        <f>Elettricità!S143</f>
        <v>66</v>
      </c>
      <c r="M143" s="8">
        <f>Elettricità!T143</f>
        <v>72</v>
      </c>
      <c r="N143" s="8">
        <f>Elettricità!W143</f>
        <v>887</v>
      </c>
      <c r="O143" s="8">
        <f>Elettricità!X143</f>
        <v>1082.1400000000001</v>
      </c>
      <c r="P143" s="8">
        <f>Elettricità!Y143</f>
        <v>0</v>
      </c>
      <c r="Q143" s="8">
        <f>Elettricità!Z143</f>
        <v>350.75</v>
      </c>
      <c r="R143" s="8">
        <f>Elettricità!AA143</f>
        <v>223.81</v>
      </c>
      <c r="S143" s="8">
        <f>Elettricità!AB143</f>
        <v>283.08</v>
      </c>
      <c r="T143" s="8">
        <f>Elettricità!AC143</f>
        <v>0</v>
      </c>
      <c r="U143" s="8">
        <f>Elettricità!AD143</f>
        <v>195.14</v>
      </c>
      <c r="V143" s="8">
        <f t="shared" si="39"/>
        <v>2024</v>
      </c>
      <c r="W143" s="8">
        <f>_xlfn.XLOOKUP(A143,Fabbricati!E:E,Fabbricati!D:D)</f>
        <v>382917332</v>
      </c>
      <c r="X143" s="9">
        <f t="shared" si="40"/>
        <v>45604</v>
      </c>
      <c r="Y143" s="9">
        <f t="shared" si="41"/>
        <v>45566</v>
      </c>
      <c r="Z143" s="9">
        <f t="shared" si="42"/>
        <v>45596</v>
      </c>
      <c r="AA143" s="8">
        <f t="shared" si="43"/>
        <v>31</v>
      </c>
      <c r="AB143" s="8">
        <f t="shared" si="44"/>
        <v>2349</v>
      </c>
      <c r="AC143" s="12" t="s">
        <v>149</v>
      </c>
      <c r="AD143" s="11" t="str">
        <f t="shared" si="45"/>
        <v>920
718
711</v>
      </c>
      <c r="AE143" s="11" t="str">
        <f t="shared" si="46"/>
        <v>94
66
72</v>
      </c>
      <c r="AF143" s="11"/>
      <c r="AG143" s="11"/>
      <c r="AH143" s="8">
        <f t="shared" si="47"/>
        <v>506.89</v>
      </c>
      <c r="AI143" s="8">
        <f t="shared" si="48"/>
        <v>350.75</v>
      </c>
      <c r="AJ143" s="8">
        <f t="shared" si="49"/>
        <v>195.14</v>
      </c>
      <c r="AK143" s="8"/>
      <c r="AL143" s="8"/>
      <c r="AM143" s="8">
        <f t="shared" si="50"/>
        <v>0</v>
      </c>
      <c r="AN143" s="8">
        <f t="shared" si="51"/>
        <v>1082.1400000000001</v>
      </c>
    </row>
    <row r="144" spans="1:40" ht="48" customHeight="1" x14ac:dyDescent="0.2">
      <c r="A144" s="8" t="str">
        <f>Elettricità!I144</f>
        <v>IT001E04170984</v>
      </c>
      <c r="B144" s="8" t="str">
        <f>Elettricità!A144</f>
        <v>005093369266.PDF</v>
      </c>
      <c r="C144" s="9">
        <f>Elettricità!E144</f>
        <v>45632</v>
      </c>
      <c r="D144" s="9">
        <f>Elettricità!K144</f>
        <v>45597</v>
      </c>
      <c r="E144" s="9">
        <f>Elettricità!L144</f>
        <v>45626</v>
      </c>
      <c r="F144" s="8">
        <f>Elettricità!M144</f>
        <v>3001</v>
      </c>
      <c r="G144" s="8">
        <f>Elettricità!N144</f>
        <v>1124</v>
      </c>
      <c r="H144" s="8">
        <f>Elettricità!O144</f>
        <v>1006</v>
      </c>
      <c r="I144" s="8">
        <f>Elettricità!P144</f>
        <v>871</v>
      </c>
      <c r="J144" s="8">
        <f>Elettricità!Q144</f>
        <v>662</v>
      </c>
      <c r="K144" s="8">
        <f>Elettricità!R144</f>
        <v>312</v>
      </c>
      <c r="L144" s="8">
        <f>Elettricità!S144</f>
        <v>181</v>
      </c>
      <c r="M144" s="8">
        <f>Elettricità!T144</f>
        <v>169</v>
      </c>
      <c r="N144" s="8">
        <f>Elettricità!W144</f>
        <v>1099.0999999999999</v>
      </c>
      <c r="O144" s="8">
        <f>Elettricità!X144</f>
        <v>1340.9</v>
      </c>
      <c r="P144" s="8">
        <f>Elettricità!Y144</f>
        <v>0</v>
      </c>
      <c r="Q144" s="8">
        <f>Elettricità!Z144</f>
        <v>499.35</v>
      </c>
      <c r="R144" s="8">
        <f>Elettricità!AA144</f>
        <v>240.47</v>
      </c>
      <c r="S144" s="8">
        <f>Elettricità!AB144</f>
        <v>321.77</v>
      </c>
      <c r="T144" s="8">
        <f>Elettricità!AC144</f>
        <v>0</v>
      </c>
      <c r="U144" s="8">
        <f>Elettricità!AD144</f>
        <v>241.8</v>
      </c>
      <c r="V144" s="8">
        <f t="shared" si="39"/>
        <v>2024</v>
      </c>
      <c r="W144" s="8">
        <f>_xlfn.XLOOKUP(A144,Fabbricati!E:E,Fabbricati!D:D)</f>
        <v>382917332</v>
      </c>
      <c r="X144" s="9">
        <f t="shared" si="40"/>
        <v>45632</v>
      </c>
      <c r="Y144" s="9">
        <f t="shared" si="41"/>
        <v>45597</v>
      </c>
      <c r="Z144" s="9">
        <f t="shared" si="42"/>
        <v>45626</v>
      </c>
      <c r="AA144" s="8">
        <f t="shared" si="43"/>
        <v>30</v>
      </c>
      <c r="AB144" s="8">
        <f t="shared" si="44"/>
        <v>3001</v>
      </c>
      <c r="AC144" s="12" t="s">
        <v>149</v>
      </c>
      <c r="AD144" s="11" t="str">
        <f t="shared" si="45"/>
        <v>1124
1006
871</v>
      </c>
      <c r="AE144" s="11" t="str">
        <f t="shared" si="46"/>
        <v>312
181
169</v>
      </c>
      <c r="AF144" s="11"/>
      <c r="AG144" s="11"/>
      <c r="AH144" s="8">
        <f t="shared" si="47"/>
        <v>562.24</v>
      </c>
      <c r="AI144" s="8">
        <f t="shared" si="48"/>
        <v>499.35</v>
      </c>
      <c r="AJ144" s="8">
        <f t="shared" si="49"/>
        <v>241.8</v>
      </c>
      <c r="AK144" s="8"/>
      <c r="AL144" s="8"/>
      <c r="AM144" s="8">
        <f t="shared" si="50"/>
        <v>0</v>
      </c>
      <c r="AN144" s="8">
        <f t="shared" si="51"/>
        <v>1340.9</v>
      </c>
    </row>
    <row r="145" spans="1:40" ht="48" customHeight="1" x14ac:dyDescent="0.2">
      <c r="A145" s="8" t="str">
        <f>Elettricità!I145</f>
        <v>IT001E04170984</v>
      </c>
      <c r="B145" s="8" t="str">
        <f>Elettricità!A145</f>
        <v>005200218679.PDF</v>
      </c>
      <c r="C145" s="9">
        <f>Elettricità!E145</f>
        <v>45665</v>
      </c>
      <c r="D145" s="9">
        <f>Elettricità!K145</f>
        <v>45627</v>
      </c>
      <c r="E145" s="9">
        <f>Elettricità!L145</f>
        <v>45657</v>
      </c>
      <c r="F145" s="8">
        <f>Elettricità!M145</f>
        <v>4270</v>
      </c>
      <c r="G145" s="8">
        <f>Elettricità!N145</f>
        <v>1484</v>
      </c>
      <c r="H145" s="8">
        <f>Elettricità!O145</f>
        <v>1421</v>
      </c>
      <c r="I145" s="8">
        <f>Elettricità!P145</f>
        <v>1365</v>
      </c>
      <c r="J145" s="8">
        <f>Elettricità!Q145</f>
        <v>1508</v>
      </c>
      <c r="K145" s="8">
        <f>Elettricità!R145</f>
        <v>708</v>
      </c>
      <c r="L145" s="8">
        <f>Elettricità!S145</f>
        <v>429</v>
      </c>
      <c r="M145" s="8">
        <f>Elettricità!T145</f>
        <v>371</v>
      </c>
      <c r="N145" s="8">
        <f>Elettricità!W145</f>
        <v>1458.29</v>
      </c>
      <c r="O145" s="8">
        <f>Elettricità!X145</f>
        <v>1779.11</v>
      </c>
      <c r="P145" s="8">
        <f>Elettricità!Y145</f>
        <v>0</v>
      </c>
      <c r="Q145" s="8">
        <f>Elettricità!Z145</f>
        <v>760.64</v>
      </c>
      <c r="R145" s="8">
        <f>Elettricità!AA145</f>
        <v>260.52999999999997</v>
      </c>
      <c r="S145" s="8">
        <f>Elettricità!AB145</f>
        <v>383.74</v>
      </c>
      <c r="T145" s="8">
        <f>Elettricità!AC145</f>
        <v>0</v>
      </c>
      <c r="U145" s="8">
        <f>Elettricità!AD145</f>
        <v>320.82</v>
      </c>
      <c r="V145" s="8">
        <f t="shared" si="39"/>
        <v>2024</v>
      </c>
      <c r="W145" s="8">
        <f>_xlfn.XLOOKUP(A145,Fabbricati!E:E,Fabbricati!D:D)</f>
        <v>382917332</v>
      </c>
      <c r="X145" s="9">
        <f t="shared" si="40"/>
        <v>45665</v>
      </c>
      <c r="Y145" s="9">
        <f t="shared" si="41"/>
        <v>45627</v>
      </c>
      <c r="Z145" s="9">
        <f t="shared" si="42"/>
        <v>45657</v>
      </c>
      <c r="AA145" s="8">
        <f t="shared" si="43"/>
        <v>31</v>
      </c>
      <c r="AB145" s="8">
        <f t="shared" si="44"/>
        <v>4270</v>
      </c>
      <c r="AC145" s="12" t="s">
        <v>149</v>
      </c>
      <c r="AD145" s="11" t="str">
        <f t="shared" si="45"/>
        <v>1484
1421
1365</v>
      </c>
      <c r="AE145" s="11" t="str">
        <f t="shared" si="46"/>
        <v>708
429
371</v>
      </c>
      <c r="AF145" s="11"/>
      <c r="AG145" s="11"/>
      <c r="AH145" s="8">
        <f t="shared" si="47"/>
        <v>644.27</v>
      </c>
      <c r="AI145" s="8">
        <f t="shared" si="48"/>
        <v>760.64</v>
      </c>
      <c r="AJ145" s="8">
        <f t="shared" si="49"/>
        <v>320.82</v>
      </c>
      <c r="AK145" s="8"/>
      <c r="AL145" s="8"/>
      <c r="AM145" s="8">
        <f t="shared" si="50"/>
        <v>0</v>
      </c>
      <c r="AN145" s="8">
        <f t="shared" si="51"/>
        <v>1779.11</v>
      </c>
    </row>
    <row r="146" spans="1:40" ht="48" customHeight="1" x14ac:dyDescent="0.2">
      <c r="A146" s="8" t="str">
        <f>Elettricità!I146</f>
        <v>IT001E04170994</v>
      </c>
      <c r="B146" s="8" t="str">
        <f>Elettricità!A146</f>
        <v>824500045444_2024_d.pdf</v>
      </c>
      <c r="C146" s="9">
        <f>Elettricità!E146</f>
        <v>45350</v>
      </c>
      <c r="D146" s="9">
        <f>Elettricità!K146</f>
        <v>45292</v>
      </c>
      <c r="E146" s="9">
        <f>Elettricità!L146</f>
        <v>45322</v>
      </c>
      <c r="F146" s="8">
        <f>Elettricità!M146</f>
        <v>2368</v>
      </c>
      <c r="G146" s="8">
        <f>Elettricità!N146</f>
        <v>1255</v>
      </c>
      <c r="H146" s="8">
        <f>Elettricità!O146</f>
        <v>444</v>
      </c>
      <c r="I146" s="8">
        <f>Elettricità!P146</f>
        <v>669</v>
      </c>
      <c r="J146" s="8">
        <f>Elettricità!Q146</f>
        <v>15</v>
      </c>
      <c r="K146" s="8">
        <f>Elettricità!R146</f>
        <v>4</v>
      </c>
      <c r="L146" s="8">
        <f>Elettricità!S146</f>
        <v>4</v>
      </c>
      <c r="M146" s="8">
        <f>Elettricità!T146</f>
        <v>7</v>
      </c>
      <c r="N146" s="8">
        <f>Elettricità!W146</f>
        <v>643.1</v>
      </c>
      <c r="O146" s="8">
        <f>Elettricità!X146</f>
        <v>784.58</v>
      </c>
      <c r="P146" s="8">
        <f>Elettricità!Y146</f>
        <v>0</v>
      </c>
      <c r="Q146" s="8">
        <f>Elettricità!Z146</f>
        <v>378.33</v>
      </c>
      <c r="R146" s="8">
        <f>Elettricità!AA146</f>
        <v>84.95</v>
      </c>
      <c r="S146" s="8">
        <f>Elettricità!AB146</f>
        <v>138.38</v>
      </c>
      <c r="T146" s="8">
        <f>Elettricità!AC146</f>
        <v>11.84</v>
      </c>
      <c r="U146" s="8">
        <f>Elettricità!AD146</f>
        <v>29.6</v>
      </c>
      <c r="V146" s="8">
        <f t="shared" si="39"/>
        <v>2024</v>
      </c>
      <c r="W146" s="8">
        <f>_xlfn.XLOOKUP(A146,Fabbricati!E:E,Fabbricati!D:D)</f>
        <v>382917065</v>
      </c>
      <c r="X146" s="9">
        <f t="shared" si="40"/>
        <v>45350</v>
      </c>
      <c r="Y146" s="9">
        <f t="shared" si="41"/>
        <v>45292</v>
      </c>
      <c r="Z146" s="9">
        <f t="shared" si="42"/>
        <v>45322</v>
      </c>
      <c r="AA146" s="8">
        <f t="shared" si="43"/>
        <v>31</v>
      </c>
      <c r="AB146" s="8">
        <f t="shared" si="44"/>
        <v>2368</v>
      </c>
      <c r="AC146" s="12" t="s">
        <v>149</v>
      </c>
      <c r="AD146" s="11" t="str">
        <f t="shared" si="45"/>
        <v>1255
444
669</v>
      </c>
      <c r="AE146" s="11" t="str">
        <f t="shared" si="46"/>
        <v>4
4
7</v>
      </c>
      <c r="AF146" s="11"/>
      <c r="AG146" s="11"/>
      <c r="AH146" s="8">
        <f t="shared" si="47"/>
        <v>223.32999999999998</v>
      </c>
      <c r="AI146" s="8">
        <f t="shared" si="48"/>
        <v>378.33</v>
      </c>
      <c r="AJ146" s="8">
        <f t="shared" si="49"/>
        <v>29.6</v>
      </c>
      <c r="AK146" s="8"/>
      <c r="AL146" s="8"/>
      <c r="AM146" s="8">
        <f t="shared" si="50"/>
        <v>11.84</v>
      </c>
      <c r="AN146" s="8">
        <f t="shared" si="51"/>
        <v>784.58</v>
      </c>
    </row>
    <row r="147" spans="1:40" ht="48" customHeight="1" x14ac:dyDescent="0.2">
      <c r="A147" s="8" t="str">
        <f>Elettricità!I147</f>
        <v>IT001E04170994</v>
      </c>
      <c r="B147" s="8" t="str">
        <f>Elettricità!A147</f>
        <v>005018359669.pdf</v>
      </c>
      <c r="C147" s="9">
        <f>Elettricità!E147</f>
        <v>45358</v>
      </c>
      <c r="D147" s="9">
        <f>Elettricità!K147</f>
        <v>45323</v>
      </c>
      <c r="E147" s="9">
        <f>Elettricità!L147</f>
        <v>45351</v>
      </c>
      <c r="F147" s="8">
        <f>Elettricità!M147</f>
        <v>2331</v>
      </c>
      <c r="G147" s="8">
        <f>Elettricità!N147</f>
        <v>1211</v>
      </c>
      <c r="H147" s="8">
        <f>Elettricità!O147</f>
        <v>477</v>
      </c>
      <c r="I147" s="8">
        <f>Elettricità!P147</f>
        <v>643</v>
      </c>
      <c r="J147" s="8">
        <f>Elettricità!Q147</f>
        <v>1</v>
      </c>
      <c r="K147" s="8">
        <f>Elettricità!R147</f>
        <v>1</v>
      </c>
      <c r="L147" s="8">
        <f>Elettricità!S147</f>
        <v>0</v>
      </c>
      <c r="M147" s="8">
        <f>Elettricità!T147</f>
        <v>0</v>
      </c>
      <c r="N147" s="8">
        <f>Elettricità!W147</f>
        <v>535.42999999999995</v>
      </c>
      <c r="O147" s="8">
        <f>Elettricità!X147</f>
        <v>653.22</v>
      </c>
      <c r="P147" s="8">
        <f>Elettricità!Y147</f>
        <v>0</v>
      </c>
      <c r="Q147" s="8">
        <f>Elettricità!Z147</f>
        <v>284.93</v>
      </c>
      <c r="R147" s="8">
        <f>Elettricità!AA147</f>
        <v>84.48</v>
      </c>
      <c r="S147" s="8">
        <f>Elettricità!AB147</f>
        <v>136.88</v>
      </c>
      <c r="T147" s="8">
        <f>Elettricità!AC147</f>
        <v>0</v>
      </c>
      <c r="U147" s="8">
        <f>Elettricità!AD147</f>
        <v>117.79</v>
      </c>
      <c r="V147" s="8">
        <f t="shared" si="39"/>
        <v>2024</v>
      </c>
      <c r="W147" s="8">
        <f>_xlfn.XLOOKUP(A147,Fabbricati!E:E,Fabbricati!D:D)</f>
        <v>382917065</v>
      </c>
      <c r="X147" s="9">
        <f t="shared" si="40"/>
        <v>45358</v>
      </c>
      <c r="Y147" s="9">
        <f t="shared" si="41"/>
        <v>45323</v>
      </c>
      <c r="Z147" s="9">
        <f t="shared" si="42"/>
        <v>45351</v>
      </c>
      <c r="AA147" s="8">
        <f t="shared" si="43"/>
        <v>29</v>
      </c>
      <c r="AB147" s="8">
        <f t="shared" si="44"/>
        <v>2331</v>
      </c>
      <c r="AC147" s="12" t="s">
        <v>149</v>
      </c>
      <c r="AD147" s="11" t="str">
        <f t="shared" si="45"/>
        <v>1211
477
643</v>
      </c>
      <c r="AE147" s="11" t="str">
        <f t="shared" si="46"/>
        <v>1
0
0</v>
      </c>
      <c r="AF147" s="11"/>
      <c r="AG147" s="11"/>
      <c r="AH147" s="8">
        <f t="shared" si="47"/>
        <v>221.36</v>
      </c>
      <c r="AI147" s="8">
        <f t="shared" si="48"/>
        <v>284.93</v>
      </c>
      <c r="AJ147" s="8">
        <f t="shared" si="49"/>
        <v>117.79</v>
      </c>
      <c r="AK147" s="8"/>
      <c r="AL147" s="8"/>
      <c r="AM147" s="8">
        <f t="shared" si="50"/>
        <v>0</v>
      </c>
      <c r="AN147" s="8">
        <f t="shared" si="51"/>
        <v>653.22</v>
      </c>
    </row>
    <row r="148" spans="1:40" ht="48" customHeight="1" x14ac:dyDescent="0.2">
      <c r="A148" s="8" t="str">
        <f>Elettricità!I148</f>
        <v>IT001E04170994</v>
      </c>
      <c r="B148" s="8" t="str">
        <f>Elettricità!A148</f>
        <v>005031183890.pdf</v>
      </c>
      <c r="C148" s="9">
        <f>Elettricità!E148</f>
        <v>45394</v>
      </c>
      <c r="D148" s="9">
        <f>Elettricità!K148</f>
        <v>45352</v>
      </c>
      <c r="E148" s="9">
        <f>Elettricità!L148</f>
        <v>45382</v>
      </c>
      <c r="F148" s="8">
        <f>Elettricità!M148</f>
        <v>2254</v>
      </c>
      <c r="G148" s="8">
        <f>Elettricità!N148</f>
        <v>1206</v>
      </c>
      <c r="H148" s="8">
        <f>Elettricità!O148</f>
        <v>419</v>
      </c>
      <c r="I148" s="8">
        <f>Elettricità!P148</f>
        <v>629</v>
      </c>
      <c r="J148" s="8">
        <f>Elettricità!Q148</f>
        <v>0</v>
      </c>
      <c r="K148" s="8">
        <f>Elettricità!R148</f>
        <v>0</v>
      </c>
      <c r="L148" s="8">
        <f>Elettricità!S148</f>
        <v>0</v>
      </c>
      <c r="M148" s="8">
        <f>Elettricità!T148</f>
        <v>0</v>
      </c>
      <c r="N148" s="8">
        <f>Elettricità!W148</f>
        <v>512.05999999999995</v>
      </c>
      <c r="O148" s="8">
        <f>Elettricità!X148</f>
        <v>624.71</v>
      </c>
      <c r="P148" s="8">
        <f>Elettricità!Y148</f>
        <v>0</v>
      </c>
      <c r="Q148" s="8">
        <f>Elettricità!Z148</f>
        <v>266.67</v>
      </c>
      <c r="R148" s="8">
        <f>Elettricità!AA148</f>
        <v>83.48</v>
      </c>
      <c r="S148" s="8">
        <f>Elettricità!AB148</f>
        <v>133.72999999999999</v>
      </c>
      <c r="T148" s="8">
        <f>Elettricità!AC148</f>
        <v>0</v>
      </c>
      <c r="U148" s="8">
        <f>Elettricità!AD148</f>
        <v>112.65</v>
      </c>
      <c r="V148" s="8">
        <f t="shared" si="39"/>
        <v>2024</v>
      </c>
      <c r="W148" s="8">
        <f>_xlfn.XLOOKUP(A148,Fabbricati!E:E,Fabbricati!D:D)</f>
        <v>382917065</v>
      </c>
      <c r="X148" s="9">
        <f t="shared" si="40"/>
        <v>45394</v>
      </c>
      <c r="Y148" s="9">
        <f t="shared" si="41"/>
        <v>45352</v>
      </c>
      <c r="Z148" s="9">
        <f t="shared" si="42"/>
        <v>45382</v>
      </c>
      <c r="AA148" s="8">
        <f t="shared" si="43"/>
        <v>31</v>
      </c>
      <c r="AB148" s="8">
        <f t="shared" si="44"/>
        <v>2254</v>
      </c>
      <c r="AC148" s="12" t="s">
        <v>149</v>
      </c>
      <c r="AD148" s="11" t="str">
        <f t="shared" si="45"/>
        <v>1206
419
629</v>
      </c>
      <c r="AE148" s="11" t="str">
        <f t="shared" si="46"/>
        <v>0
0
0</v>
      </c>
      <c r="AF148" s="11"/>
      <c r="AG148" s="11"/>
      <c r="AH148" s="8">
        <f t="shared" si="47"/>
        <v>217.20999999999998</v>
      </c>
      <c r="AI148" s="8">
        <f t="shared" si="48"/>
        <v>266.67</v>
      </c>
      <c r="AJ148" s="8">
        <f t="shared" si="49"/>
        <v>112.65</v>
      </c>
      <c r="AK148" s="8"/>
      <c r="AL148" s="8"/>
      <c r="AM148" s="8">
        <f t="shared" si="50"/>
        <v>0</v>
      </c>
      <c r="AN148" s="8">
        <f t="shared" si="51"/>
        <v>624.71</v>
      </c>
    </row>
    <row r="149" spans="1:40" ht="48" customHeight="1" x14ac:dyDescent="0.2">
      <c r="A149" s="8" t="str">
        <f>Elettricità!I149</f>
        <v>IT001E04170994</v>
      </c>
      <c r="B149" s="8" t="str">
        <f>Elettricità!A149</f>
        <v>005034930224.PDF</v>
      </c>
      <c r="C149" s="9">
        <f>Elettricità!E149</f>
        <v>45419</v>
      </c>
      <c r="D149" s="9">
        <f>Elettricità!K149</f>
        <v>45383</v>
      </c>
      <c r="E149" s="9">
        <f>Elettricità!L149</f>
        <v>45412</v>
      </c>
      <c r="F149" s="8">
        <f>Elettricità!M149</f>
        <v>1788</v>
      </c>
      <c r="G149" s="8">
        <f>Elettricità!N149</f>
        <v>1022</v>
      </c>
      <c r="H149" s="8">
        <f>Elettricità!O149</f>
        <v>283</v>
      </c>
      <c r="I149" s="8">
        <f>Elettricità!P149</f>
        <v>483</v>
      </c>
      <c r="J149" s="8">
        <f>Elettricità!Q149</f>
        <v>0</v>
      </c>
      <c r="K149" s="8">
        <f>Elettricità!R149</f>
        <v>0</v>
      </c>
      <c r="L149" s="8">
        <f>Elettricità!S149</f>
        <v>0</v>
      </c>
      <c r="M149" s="8">
        <f>Elettricità!T149</f>
        <v>0</v>
      </c>
      <c r="N149" s="8">
        <f>Elettricità!W149</f>
        <v>433.6</v>
      </c>
      <c r="O149" s="8">
        <f>Elettricità!X149</f>
        <v>528.99</v>
      </c>
      <c r="P149" s="8">
        <f>Elettricità!Y149</f>
        <v>0</v>
      </c>
      <c r="Q149" s="8">
        <f>Elettricità!Z149</f>
        <v>200.15</v>
      </c>
      <c r="R149" s="8">
        <f>Elettricità!AA149</f>
        <v>77.510000000000005</v>
      </c>
      <c r="S149" s="8">
        <f>Elettricità!AB149</f>
        <v>133.59</v>
      </c>
      <c r="T149" s="8">
        <f>Elettricità!AC149</f>
        <v>0</v>
      </c>
      <c r="U149" s="8">
        <f>Elettricità!AD149</f>
        <v>95.39</v>
      </c>
      <c r="V149" s="8">
        <f t="shared" si="39"/>
        <v>2024</v>
      </c>
      <c r="W149" s="8">
        <f>_xlfn.XLOOKUP(A149,Fabbricati!E:E,Fabbricati!D:D)</f>
        <v>382917065</v>
      </c>
      <c r="X149" s="9">
        <f t="shared" si="40"/>
        <v>45419</v>
      </c>
      <c r="Y149" s="9">
        <f t="shared" si="41"/>
        <v>45383</v>
      </c>
      <c r="Z149" s="9">
        <f t="shared" si="42"/>
        <v>45412</v>
      </c>
      <c r="AA149" s="8">
        <f t="shared" si="43"/>
        <v>30</v>
      </c>
      <c r="AB149" s="8">
        <f t="shared" si="44"/>
        <v>1788</v>
      </c>
      <c r="AC149" s="12" t="s">
        <v>149</v>
      </c>
      <c r="AD149" s="11" t="str">
        <f t="shared" si="45"/>
        <v>1022
283
483</v>
      </c>
      <c r="AE149" s="11" t="str">
        <f t="shared" si="46"/>
        <v>0
0
0</v>
      </c>
      <c r="AF149" s="11"/>
      <c r="AG149" s="11"/>
      <c r="AH149" s="8">
        <f t="shared" si="47"/>
        <v>211.10000000000002</v>
      </c>
      <c r="AI149" s="8">
        <f t="shared" si="48"/>
        <v>200.15</v>
      </c>
      <c r="AJ149" s="8">
        <f t="shared" si="49"/>
        <v>95.39</v>
      </c>
      <c r="AK149" s="8"/>
      <c r="AL149" s="8"/>
      <c r="AM149" s="8">
        <f t="shared" si="50"/>
        <v>0</v>
      </c>
      <c r="AN149" s="8">
        <f t="shared" si="51"/>
        <v>528.99</v>
      </c>
    </row>
    <row r="150" spans="1:40" ht="48" customHeight="1" x14ac:dyDescent="0.2">
      <c r="A150" s="8" t="str">
        <f>Elettricità!I150</f>
        <v>IT001E04170994</v>
      </c>
      <c r="B150" s="8" t="str">
        <f>Elettricità!A150</f>
        <v>005043663088.PDF</v>
      </c>
      <c r="C150" s="9">
        <f>Elettricità!E150</f>
        <v>45449</v>
      </c>
      <c r="D150" s="9">
        <f>Elettricità!K150</f>
        <v>45413</v>
      </c>
      <c r="E150" s="9">
        <f>Elettricità!L150</f>
        <v>45417</v>
      </c>
      <c r="F150" s="8">
        <f>Elettricità!M150</f>
        <v>1706</v>
      </c>
      <c r="G150" s="8">
        <f>Elettricità!N150</f>
        <v>1153</v>
      </c>
      <c r="H150" s="8">
        <f>Elettricità!O150</f>
        <v>223</v>
      </c>
      <c r="I150" s="8">
        <f>Elettricità!P150</f>
        <v>330</v>
      </c>
      <c r="J150" s="8">
        <f>Elettricità!Q150</f>
        <v>2</v>
      </c>
      <c r="K150" s="8">
        <f>Elettricità!R150</f>
        <v>0</v>
      </c>
      <c r="L150" s="8">
        <f>Elettricità!S150</f>
        <v>2</v>
      </c>
      <c r="M150" s="8">
        <f>Elettricità!T150</f>
        <v>0</v>
      </c>
      <c r="N150" s="8">
        <f>Elettricità!W150</f>
        <v>432.17</v>
      </c>
      <c r="O150" s="8">
        <f>Elettricità!X150</f>
        <v>527.25</v>
      </c>
      <c r="P150" s="8">
        <f>Elettricità!Y150</f>
        <v>0</v>
      </c>
      <c r="Q150" s="8">
        <f>Elettricità!Z150</f>
        <v>204.67</v>
      </c>
      <c r="R150" s="8">
        <f>Elettricità!AA150</f>
        <v>76.459999999999994</v>
      </c>
      <c r="S150" s="8">
        <f>Elettricità!AB150</f>
        <v>129.71</v>
      </c>
      <c r="T150" s="8">
        <f>Elettricità!AC150</f>
        <v>0</v>
      </c>
      <c r="U150" s="8">
        <f>Elettricità!AD150</f>
        <v>95.08</v>
      </c>
      <c r="V150" s="8">
        <f t="shared" si="39"/>
        <v>2024</v>
      </c>
      <c r="W150" s="8">
        <f>_xlfn.XLOOKUP(A150,Fabbricati!E:E,Fabbricati!D:D)</f>
        <v>382917065</v>
      </c>
      <c r="X150" s="9">
        <f t="shared" si="40"/>
        <v>45449</v>
      </c>
      <c r="Y150" s="9">
        <f t="shared" si="41"/>
        <v>45413</v>
      </c>
      <c r="Z150" s="9">
        <f t="shared" si="42"/>
        <v>45417</v>
      </c>
      <c r="AA150" s="8">
        <f t="shared" si="43"/>
        <v>5</v>
      </c>
      <c r="AB150" s="8">
        <f t="shared" si="44"/>
        <v>1706</v>
      </c>
      <c r="AC150" s="12" t="s">
        <v>149</v>
      </c>
      <c r="AD150" s="11" t="str">
        <f t="shared" si="45"/>
        <v>1153
223
330</v>
      </c>
      <c r="AE150" s="11" t="str">
        <f t="shared" si="46"/>
        <v>0
2
0</v>
      </c>
      <c r="AF150" s="11"/>
      <c r="AG150" s="11"/>
      <c r="AH150" s="8">
        <f t="shared" si="47"/>
        <v>206.17000000000002</v>
      </c>
      <c r="AI150" s="8">
        <f t="shared" si="48"/>
        <v>204.67</v>
      </c>
      <c r="AJ150" s="8">
        <f t="shared" si="49"/>
        <v>95.08</v>
      </c>
      <c r="AK150" s="8"/>
      <c r="AL150" s="8"/>
      <c r="AM150" s="8">
        <f t="shared" si="50"/>
        <v>0</v>
      </c>
      <c r="AN150" s="8">
        <f t="shared" si="51"/>
        <v>527.25</v>
      </c>
    </row>
    <row r="151" spans="1:40" ht="48" customHeight="1" x14ac:dyDescent="0.2">
      <c r="A151" s="8" t="str">
        <f>Elettricità!I151</f>
        <v>IT001E04170994</v>
      </c>
      <c r="B151" s="8" t="str">
        <f>Elettricità!A151</f>
        <v>005051431103.PDF</v>
      </c>
      <c r="C151" s="9">
        <f>Elettricità!E151</f>
        <v>45478</v>
      </c>
      <c r="D151" s="9">
        <f>Elettricità!K151</f>
        <v>45444</v>
      </c>
      <c r="E151" s="9">
        <f>Elettricità!L151</f>
        <v>45473</v>
      </c>
      <c r="F151" s="8">
        <f>Elettricità!M151</f>
        <v>1197</v>
      </c>
      <c r="G151" s="8">
        <f>Elettricità!N151</f>
        <v>610</v>
      </c>
      <c r="H151" s="8">
        <f>Elettricità!O151</f>
        <v>206</v>
      </c>
      <c r="I151" s="8">
        <f>Elettricità!P151</f>
        <v>381</v>
      </c>
      <c r="J151" s="8">
        <f>Elettricità!Q151</f>
        <v>0</v>
      </c>
      <c r="K151" s="8">
        <f>Elettricità!R151</f>
        <v>0</v>
      </c>
      <c r="L151" s="8">
        <f>Elettricità!S151</f>
        <v>0</v>
      </c>
      <c r="M151" s="8">
        <f>Elettricità!T151</f>
        <v>0</v>
      </c>
      <c r="N151" s="8">
        <f>Elettricità!W151</f>
        <v>350.22</v>
      </c>
      <c r="O151" s="8">
        <f>Elettricità!X151</f>
        <v>427.27</v>
      </c>
      <c r="P151" s="8">
        <f>Elettricità!Y151</f>
        <v>0</v>
      </c>
      <c r="Q151" s="8">
        <f>Elettricità!Z151</f>
        <v>159.83000000000001</v>
      </c>
      <c r="R151" s="8">
        <f>Elettricità!AA151</f>
        <v>69.930000000000007</v>
      </c>
      <c r="S151" s="8">
        <f>Elettricità!AB151</f>
        <v>105.5</v>
      </c>
      <c r="T151" s="8">
        <f>Elettricità!AC151</f>
        <v>0</v>
      </c>
      <c r="U151" s="8">
        <f>Elettricità!AD151</f>
        <v>77.05</v>
      </c>
      <c r="V151" s="8">
        <f t="shared" si="39"/>
        <v>2024</v>
      </c>
      <c r="W151" s="8">
        <f>_xlfn.XLOOKUP(A151,Fabbricati!E:E,Fabbricati!D:D)</f>
        <v>382917065</v>
      </c>
      <c r="X151" s="9">
        <f t="shared" si="40"/>
        <v>45478</v>
      </c>
      <c r="Y151" s="9">
        <f t="shared" si="41"/>
        <v>45444</v>
      </c>
      <c r="Z151" s="9">
        <f t="shared" si="42"/>
        <v>45473</v>
      </c>
      <c r="AA151" s="8">
        <f t="shared" si="43"/>
        <v>30</v>
      </c>
      <c r="AB151" s="8">
        <f t="shared" si="44"/>
        <v>1197</v>
      </c>
      <c r="AC151" s="12" t="s">
        <v>149</v>
      </c>
      <c r="AD151" s="11" t="str">
        <f t="shared" si="45"/>
        <v>610
206
381</v>
      </c>
      <c r="AE151" s="11" t="str">
        <f t="shared" si="46"/>
        <v>0
0
0</v>
      </c>
      <c r="AF151" s="11"/>
      <c r="AG151" s="11"/>
      <c r="AH151" s="8">
        <f t="shared" si="47"/>
        <v>175.43</v>
      </c>
      <c r="AI151" s="8">
        <f t="shared" si="48"/>
        <v>159.83000000000001</v>
      </c>
      <c r="AJ151" s="8">
        <f t="shared" si="49"/>
        <v>77.05</v>
      </c>
      <c r="AK151" s="8"/>
      <c r="AL151" s="8"/>
      <c r="AM151" s="8">
        <f t="shared" si="50"/>
        <v>0</v>
      </c>
      <c r="AN151" s="8">
        <f t="shared" si="51"/>
        <v>427.27</v>
      </c>
    </row>
    <row r="152" spans="1:40" ht="48" customHeight="1" x14ac:dyDescent="0.2">
      <c r="A152" s="8" t="str">
        <f>Elettricità!I152</f>
        <v>IT001E04170994</v>
      </c>
      <c r="B152" s="8" t="str">
        <f>Elettricità!A152</f>
        <v>005059958068.PDF</v>
      </c>
      <c r="C152" s="9">
        <f>Elettricità!E152</f>
        <v>45511</v>
      </c>
      <c r="D152" s="9">
        <f>Elettricità!K152</f>
        <v>45474</v>
      </c>
      <c r="E152" s="9">
        <f>Elettricità!L152</f>
        <v>45504</v>
      </c>
      <c r="F152" s="8">
        <f>Elettricità!M152</f>
        <v>690</v>
      </c>
      <c r="G152" s="8">
        <f>Elettricità!N152</f>
        <v>235</v>
      </c>
      <c r="H152" s="8">
        <f>Elettricità!O152</f>
        <v>142</v>
      </c>
      <c r="I152" s="8">
        <f>Elettricità!P152</f>
        <v>313</v>
      </c>
      <c r="J152" s="8">
        <f>Elettricità!Q152</f>
        <v>0</v>
      </c>
      <c r="K152" s="8">
        <f>Elettricità!R152</f>
        <v>0</v>
      </c>
      <c r="L152" s="8">
        <f>Elettricità!S152</f>
        <v>0</v>
      </c>
      <c r="M152" s="8">
        <f>Elettricità!T152</f>
        <v>0</v>
      </c>
      <c r="N152" s="8">
        <f>Elettricità!W152</f>
        <v>265.04000000000002</v>
      </c>
      <c r="O152" s="8">
        <f>Elettricità!X152</f>
        <v>323.35000000000002</v>
      </c>
      <c r="P152" s="8">
        <f>Elettricità!Y152</f>
        <v>0</v>
      </c>
      <c r="Q152" s="8">
        <f>Elettricità!Z152</f>
        <v>105.42</v>
      </c>
      <c r="R152" s="8">
        <f>Elettricità!AA152</f>
        <v>69.59</v>
      </c>
      <c r="S152" s="8">
        <f>Elettricità!AB152</f>
        <v>81.400000000000006</v>
      </c>
      <c r="T152" s="8">
        <f>Elettricità!AC152</f>
        <v>0</v>
      </c>
      <c r="U152" s="8">
        <f>Elettricità!AD152</f>
        <v>58.31</v>
      </c>
      <c r="V152" s="8">
        <f t="shared" si="39"/>
        <v>2024</v>
      </c>
      <c r="W152" s="8">
        <f>_xlfn.XLOOKUP(A152,Fabbricati!E:E,Fabbricati!D:D)</f>
        <v>382917065</v>
      </c>
      <c r="X152" s="9">
        <f t="shared" si="40"/>
        <v>45511</v>
      </c>
      <c r="Y152" s="9">
        <f t="shared" si="41"/>
        <v>45474</v>
      </c>
      <c r="Z152" s="9">
        <f t="shared" si="42"/>
        <v>45504</v>
      </c>
      <c r="AA152" s="8">
        <f t="shared" si="43"/>
        <v>31</v>
      </c>
      <c r="AB152" s="8">
        <f t="shared" si="44"/>
        <v>690</v>
      </c>
      <c r="AC152" s="12" t="s">
        <v>149</v>
      </c>
      <c r="AD152" s="11" t="str">
        <f t="shared" si="45"/>
        <v>235
142
313</v>
      </c>
      <c r="AE152" s="11" t="str">
        <f t="shared" si="46"/>
        <v>0
0
0</v>
      </c>
      <c r="AF152" s="11"/>
      <c r="AG152" s="11"/>
      <c r="AH152" s="8">
        <f t="shared" si="47"/>
        <v>150.99</v>
      </c>
      <c r="AI152" s="8">
        <f t="shared" si="48"/>
        <v>105.42</v>
      </c>
      <c r="AJ152" s="8">
        <f t="shared" si="49"/>
        <v>58.31</v>
      </c>
      <c r="AK152" s="8"/>
      <c r="AL152" s="8"/>
      <c r="AM152" s="8">
        <f t="shared" si="50"/>
        <v>0</v>
      </c>
      <c r="AN152" s="8">
        <f t="shared" si="51"/>
        <v>323.35000000000002</v>
      </c>
    </row>
    <row r="153" spans="1:40" ht="48" customHeight="1" x14ac:dyDescent="0.2">
      <c r="A153" s="8" t="str">
        <f>Elettricità!I153</f>
        <v>IT001E04170994</v>
      </c>
      <c r="B153" s="8" t="str">
        <f>Elettricità!A153</f>
        <v>005067307600.PDF</v>
      </c>
      <c r="C153" s="9">
        <f>Elettricità!E153</f>
        <v>45541</v>
      </c>
      <c r="D153" s="9">
        <f>Elettricità!K153</f>
        <v>45505</v>
      </c>
      <c r="E153" s="9">
        <f>Elettricità!L153</f>
        <v>45535</v>
      </c>
      <c r="F153" s="8">
        <f>Elettricità!M153</f>
        <v>651</v>
      </c>
      <c r="G153" s="8">
        <f>Elettricità!N153</f>
        <v>168</v>
      </c>
      <c r="H153" s="8">
        <f>Elettricità!O153</f>
        <v>150</v>
      </c>
      <c r="I153" s="8">
        <f>Elettricità!P153</f>
        <v>333</v>
      </c>
      <c r="J153" s="8">
        <f>Elettricità!Q153</f>
        <v>0</v>
      </c>
      <c r="K153" s="8">
        <f>Elettricità!R153</f>
        <v>0</v>
      </c>
      <c r="L153" s="8">
        <f>Elettricità!S153</f>
        <v>0</v>
      </c>
      <c r="M153" s="8">
        <f>Elettricità!T153</f>
        <v>0</v>
      </c>
      <c r="N153" s="8">
        <f>Elettricità!W153</f>
        <v>259.83999999999997</v>
      </c>
      <c r="O153" s="8">
        <f>Elettricità!X153</f>
        <v>317</v>
      </c>
      <c r="P153" s="8">
        <f>Elettricità!Y153</f>
        <v>0</v>
      </c>
      <c r="Q153" s="8">
        <f>Elettricità!Z153</f>
        <v>102.71</v>
      </c>
      <c r="R153" s="8">
        <f>Elettricità!AA153</f>
        <v>69.44</v>
      </c>
      <c r="S153" s="8">
        <f>Elettricità!AB153</f>
        <v>79.55</v>
      </c>
      <c r="T153" s="8">
        <f>Elettricità!AC153</f>
        <v>0</v>
      </c>
      <c r="U153" s="8">
        <f>Elettricità!AD153</f>
        <v>57.16</v>
      </c>
      <c r="V153" s="8">
        <f t="shared" si="39"/>
        <v>2024</v>
      </c>
      <c r="W153" s="8">
        <f>_xlfn.XLOOKUP(A153,Fabbricati!E:E,Fabbricati!D:D)</f>
        <v>382917065</v>
      </c>
      <c r="X153" s="9">
        <f t="shared" si="40"/>
        <v>45541</v>
      </c>
      <c r="Y153" s="9">
        <f t="shared" si="41"/>
        <v>45505</v>
      </c>
      <c r="Z153" s="9">
        <f t="shared" si="42"/>
        <v>45535</v>
      </c>
      <c r="AA153" s="8">
        <f t="shared" si="43"/>
        <v>31</v>
      </c>
      <c r="AB153" s="8">
        <f t="shared" si="44"/>
        <v>651</v>
      </c>
      <c r="AC153" s="12" t="s">
        <v>149</v>
      </c>
      <c r="AD153" s="11" t="str">
        <f t="shared" si="45"/>
        <v>168
150
333</v>
      </c>
      <c r="AE153" s="11" t="str">
        <f t="shared" si="46"/>
        <v>0
0
0</v>
      </c>
      <c r="AF153" s="11"/>
      <c r="AG153" s="11"/>
      <c r="AH153" s="8">
        <f t="shared" si="47"/>
        <v>148.99</v>
      </c>
      <c r="AI153" s="8">
        <f t="shared" si="48"/>
        <v>102.71</v>
      </c>
      <c r="AJ153" s="8">
        <f t="shared" si="49"/>
        <v>57.16</v>
      </c>
      <c r="AK153" s="8"/>
      <c r="AL153" s="8"/>
      <c r="AM153" s="8">
        <f t="shared" si="50"/>
        <v>0</v>
      </c>
      <c r="AN153" s="8">
        <f t="shared" si="51"/>
        <v>317</v>
      </c>
    </row>
    <row r="154" spans="1:40" ht="48" customHeight="1" x14ac:dyDescent="0.2">
      <c r="A154" s="8" t="str">
        <f>Elettricità!I154</f>
        <v>IT001E04170994</v>
      </c>
      <c r="B154" s="8" t="str">
        <f>Elettricità!A154</f>
        <v>005076347779.PDF</v>
      </c>
      <c r="C154" s="9">
        <f>Elettricità!E154</f>
        <v>45571</v>
      </c>
      <c r="D154" s="9">
        <f>Elettricità!K154</f>
        <v>45536</v>
      </c>
      <c r="E154" s="9">
        <f>Elettricità!L154</f>
        <v>45565</v>
      </c>
      <c r="F154" s="8">
        <f>Elettricità!M154</f>
        <v>1449</v>
      </c>
      <c r="G154" s="8">
        <f>Elettricità!N154</f>
        <v>850</v>
      </c>
      <c r="H154" s="8">
        <f>Elettricità!O154</f>
        <v>228</v>
      </c>
      <c r="I154" s="8">
        <f>Elettricità!P154</f>
        <v>371</v>
      </c>
      <c r="J154" s="8">
        <f>Elettricità!Q154</f>
        <v>0</v>
      </c>
      <c r="K154" s="8">
        <f>Elettricità!R154</f>
        <v>0</v>
      </c>
      <c r="L154" s="8">
        <f>Elettricità!S154</f>
        <v>0</v>
      </c>
      <c r="M154" s="8">
        <f>Elettricità!T154</f>
        <v>0</v>
      </c>
      <c r="N154" s="8">
        <f>Elettricità!W154</f>
        <v>429.58</v>
      </c>
      <c r="O154" s="8">
        <f>Elettricità!X154</f>
        <v>524.09</v>
      </c>
      <c r="P154" s="8">
        <f>Elettricità!Y154</f>
        <v>0</v>
      </c>
      <c r="Q154" s="8">
        <f>Elettricità!Z154</f>
        <v>213.98</v>
      </c>
      <c r="R154" s="8">
        <f>Elettricità!AA154</f>
        <v>80.010000000000005</v>
      </c>
      <c r="S154" s="8">
        <f>Elettricità!AB154</f>
        <v>117.48</v>
      </c>
      <c r="T154" s="8">
        <f>Elettricità!AC154</f>
        <v>0</v>
      </c>
      <c r="U154" s="8">
        <f>Elettricità!AD154</f>
        <v>94.51</v>
      </c>
      <c r="V154" s="8">
        <f t="shared" si="39"/>
        <v>2024</v>
      </c>
      <c r="W154" s="8">
        <f>_xlfn.XLOOKUP(A154,Fabbricati!E:E,Fabbricati!D:D)</f>
        <v>382917065</v>
      </c>
      <c r="X154" s="9">
        <f t="shared" si="40"/>
        <v>45571</v>
      </c>
      <c r="Y154" s="9">
        <f t="shared" si="41"/>
        <v>45536</v>
      </c>
      <c r="Z154" s="9">
        <f t="shared" si="42"/>
        <v>45565</v>
      </c>
      <c r="AA154" s="8">
        <f t="shared" si="43"/>
        <v>30</v>
      </c>
      <c r="AB154" s="8">
        <f t="shared" si="44"/>
        <v>1449</v>
      </c>
      <c r="AC154" s="12" t="s">
        <v>149</v>
      </c>
      <c r="AD154" s="11" t="str">
        <f t="shared" si="45"/>
        <v>850
228
371</v>
      </c>
      <c r="AE154" s="11" t="str">
        <f t="shared" si="46"/>
        <v>0
0
0</v>
      </c>
      <c r="AF154" s="11"/>
      <c r="AG154" s="11"/>
      <c r="AH154" s="8">
        <f t="shared" si="47"/>
        <v>197.49</v>
      </c>
      <c r="AI154" s="8">
        <f t="shared" si="48"/>
        <v>213.98</v>
      </c>
      <c r="AJ154" s="8">
        <f t="shared" si="49"/>
        <v>94.51</v>
      </c>
      <c r="AK154" s="8"/>
      <c r="AL154" s="8"/>
      <c r="AM154" s="8">
        <f t="shared" si="50"/>
        <v>0</v>
      </c>
      <c r="AN154" s="8">
        <f t="shared" si="51"/>
        <v>524.09</v>
      </c>
    </row>
    <row r="155" spans="1:40" ht="48" customHeight="1" x14ac:dyDescent="0.2">
      <c r="A155" s="8" t="str">
        <f>Elettricità!I155</f>
        <v>IT001E04170994</v>
      </c>
      <c r="B155" s="8" t="str">
        <f>Elettricità!A155</f>
        <v>005085485035.PDF</v>
      </c>
      <c r="C155" s="9">
        <f>Elettricità!E155</f>
        <v>45604</v>
      </c>
      <c r="D155" s="9">
        <f>Elettricità!K155</f>
        <v>45566</v>
      </c>
      <c r="E155" s="9">
        <f>Elettricità!L155</f>
        <v>45596</v>
      </c>
      <c r="F155" s="8">
        <f>Elettricità!M155</f>
        <v>2270</v>
      </c>
      <c r="G155" s="8">
        <f>Elettricità!N155</f>
        <v>1475</v>
      </c>
      <c r="H155" s="8">
        <f>Elettricità!O155</f>
        <v>338</v>
      </c>
      <c r="I155" s="8">
        <f>Elettricità!P155</f>
        <v>457</v>
      </c>
      <c r="J155" s="8">
        <f>Elettricità!Q155</f>
        <v>1</v>
      </c>
      <c r="K155" s="8">
        <f>Elettricità!R155</f>
        <v>0</v>
      </c>
      <c r="L155" s="8">
        <f>Elettricità!S155</f>
        <v>1</v>
      </c>
      <c r="M155" s="8">
        <f>Elettricità!T155</f>
        <v>0</v>
      </c>
      <c r="N155" s="8">
        <f>Elettricità!W155</f>
        <v>615.54999999999995</v>
      </c>
      <c r="O155" s="8">
        <f>Elettricità!X155</f>
        <v>750.97</v>
      </c>
      <c r="P155" s="8">
        <f>Elettricità!Y155</f>
        <v>0</v>
      </c>
      <c r="Q155" s="8">
        <f>Elettricità!Z155</f>
        <v>342.63</v>
      </c>
      <c r="R155" s="8">
        <f>Elettricità!AA155</f>
        <v>88.03</v>
      </c>
      <c r="S155" s="8">
        <f>Elettricità!AB155</f>
        <v>156.51</v>
      </c>
      <c r="T155" s="8">
        <f>Elettricità!AC155</f>
        <v>0</v>
      </c>
      <c r="U155" s="8">
        <f>Elettricità!AD155</f>
        <v>135.41999999999999</v>
      </c>
      <c r="V155" s="8">
        <f t="shared" si="39"/>
        <v>2024</v>
      </c>
      <c r="W155" s="8">
        <f>_xlfn.XLOOKUP(A155,Fabbricati!E:E,Fabbricati!D:D)</f>
        <v>382917065</v>
      </c>
      <c r="X155" s="9">
        <f t="shared" si="40"/>
        <v>45604</v>
      </c>
      <c r="Y155" s="9">
        <f t="shared" si="41"/>
        <v>45566</v>
      </c>
      <c r="Z155" s="9">
        <f t="shared" si="42"/>
        <v>45596</v>
      </c>
      <c r="AA155" s="8">
        <f t="shared" si="43"/>
        <v>31</v>
      </c>
      <c r="AB155" s="8">
        <f t="shared" si="44"/>
        <v>2270</v>
      </c>
      <c r="AC155" s="12" t="s">
        <v>149</v>
      </c>
      <c r="AD155" s="11" t="str">
        <f t="shared" si="45"/>
        <v>1475
338
457</v>
      </c>
      <c r="AE155" s="11" t="str">
        <f t="shared" si="46"/>
        <v>0
1
0</v>
      </c>
      <c r="AF155" s="11"/>
      <c r="AG155" s="11"/>
      <c r="AH155" s="8">
        <f t="shared" si="47"/>
        <v>244.54</v>
      </c>
      <c r="AI155" s="8">
        <f t="shared" si="48"/>
        <v>342.63</v>
      </c>
      <c r="AJ155" s="8">
        <f t="shared" si="49"/>
        <v>135.41999999999999</v>
      </c>
      <c r="AK155" s="8"/>
      <c r="AL155" s="8"/>
      <c r="AM155" s="8">
        <f t="shared" si="50"/>
        <v>0</v>
      </c>
      <c r="AN155" s="8">
        <f t="shared" si="51"/>
        <v>750.97</v>
      </c>
    </row>
    <row r="156" spans="1:40" ht="48" customHeight="1" x14ac:dyDescent="0.2">
      <c r="A156" s="8" t="str">
        <f>Elettricità!I156</f>
        <v>IT001E04170994</v>
      </c>
      <c r="B156" s="8" t="str">
        <f>Elettricità!A156</f>
        <v>005093369269.PDF</v>
      </c>
      <c r="C156" s="9">
        <f>Elettricità!E156</f>
        <v>45632</v>
      </c>
      <c r="D156" s="9">
        <f>Elettricità!K156</f>
        <v>45597</v>
      </c>
      <c r="E156" s="9">
        <f>Elettricità!L156</f>
        <v>45626</v>
      </c>
      <c r="F156" s="8">
        <f>Elettricità!M156</f>
        <v>1940</v>
      </c>
      <c r="G156" s="8">
        <f>Elettricità!N156</f>
        <v>1144</v>
      </c>
      <c r="H156" s="8">
        <f>Elettricità!O156</f>
        <v>308</v>
      </c>
      <c r="I156" s="8">
        <f>Elettricità!P156</f>
        <v>488</v>
      </c>
      <c r="J156" s="8">
        <f>Elettricità!Q156</f>
        <v>6</v>
      </c>
      <c r="K156" s="8">
        <f>Elettricità!R156</f>
        <v>3</v>
      </c>
      <c r="L156" s="8">
        <f>Elettricità!S156</f>
        <v>2</v>
      </c>
      <c r="M156" s="8">
        <f>Elettricità!T156</f>
        <v>1</v>
      </c>
      <c r="N156" s="8">
        <f>Elettricità!W156</f>
        <v>576.52</v>
      </c>
      <c r="O156" s="8">
        <f>Elettricità!X156</f>
        <v>703.35</v>
      </c>
      <c r="P156" s="8">
        <f>Elettricità!Y156</f>
        <v>0</v>
      </c>
      <c r="Q156" s="8">
        <f>Elettricità!Z156</f>
        <v>328.25</v>
      </c>
      <c r="R156" s="8">
        <f>Elettricità!AA156</f>
        <v>83.2</v>
      </c>
      <c r="S156" s="8">
        <f>Elettricità!AB156</f>
        <v>140.82</v>
      </c>
      <c r="T156" s="8">
        <f>Elettricità!AC156</f>
        <v>0</v>
      </c>
      <c r="U156" s="8">
        <f>Elettricità!AD156</f>
        <v>126.83</v>
      </c>
      <c r="V156" s="8">
        <f t="shared" si="39"/>
        <v>2024</v>
      </c>
      <c r="W156" s="8">
        <f>_xlfn.XLOOKUP(A156,Fabbricati!E:E,Fabbricati!D:D)</f>
        <v>382917065</v>
      </c>
      <c r="X156" s="9">
        <f t="shared" si="40"/>
        <v>45632</v>
      </c>
      <c r="Y156" s="9">
        <f t="shared" si="41"/>
        <v>45597</v>
      </c>
      <c r="Z156" s="9">
        <f t="shared" si="42"/>
        <v>45626</v>
      </c>
      <c r="AA156" s="8">
        <f t="shared" si="43"/>
        <v>30</v>
      </c>
      <c r="AB156" s="8">
        <f t="shared" si="44"/>
        <v>1940</v>
      </c>
      <c r="AC156" s="12" t="s">
        <v>149</v>
      </c>
      <c r="AD156" s="11" t="str">
        <f t="shared" si="45"/>
        <v>1144
308
488</v>
      </c>
      <c r="AE156" s="11" t="str">
        <f t="shared" si="46"/>
        <v>3
2
1</v>
      </c>
      <c r="AF156" s="11"/>
      <c r="AG156" s="11"/>
      <c r="AH156" s="8">
        <f t="shared" si="47"/>
        <v>224.01999999999998</v>
      </c>
      <c r="AI156" s="8">
        <f t="shared" si="48"/>
        <v>328.25</v>
      </c>
      <c r="AJ156" s="8">
        <f t="shared" si="49"/>
        <v>126.83</v>
      </c>
      <c r="AK156" s="8"/>
      <c r="AL156" s="8"/>
      <c r="AM156" s="8">
        <f t="shared" si="50"/>
        <v>0</v>
      </c>
      <c r="AN156" s="8">
        <f t="shared" si="51"/>
        <v>703.35</v>
      </c>
    </row>
    <row r="157" spans="1:40" ht="48" customHeight="1" x14ac:dyDescent="0.2">
      <c r="A157" s="8" t="str">
        <f>Elettricità!I157</f>
        <v>IT001E04170994</v>
      </c>
      <c r="B157" s="8" t="str">
        <f>Elettricità!A157</f>
        <v>005200218682.PDF</v>
      </c>
      <c r="C157" s="9">
        <f>Elettricità!E157</f>
        <v>45665</v>
      </c>
      <c r="D157" s="9">
        <f>Elettricità!K157</f>
        <v>45627</v>
      </c>
      <c r="E157" s="9">
        <f>Elettricità!L157</f>
        <v>45657</v>
      </c>
      <c r="F157" s="8">
        <f>Elettricità!M157</f>
        <v>1986</v>
      </c>
      <c r="G157" s="8">
        <f>Elettricità!N157</f>
        <v>1145</v>
      </c>
      <c r="H157" s="8">
        <f>Elettricità!O157</f>
        <v>327</v>
      </c>
      <c r="I157" s="8">
        <f>Elettricità!P157</f>
        <v>514</v>
      </c>
      <c r="J157" s="8">
        <f>Elettricità!Q157</f>
        <v>0</v>
      </c>
      <c r="K157" s="8">
        <f>Elettricità!R157</f>
        <v>0</v>
      </c>
      <c r="L157" s="8">
        <f>Elettricità!S157</f>
        <v>0</v>
      </c>
      <c r="M157" s="8">
        <f>Elettricità!T157</f>
        <v>0</v>
      </c>
      <c r="N157" s="8">
        <f>Elettricità!W157</f>
        <v>617.22</v>
      </c>
      <c r="O157" s="8">
        <f>Elettricità!X157</f>
        <v>753.01</v>
      </c>
      <c r="P157" s="8">
        <f>Elettricità!Y157</f>
        <v>0</v>
      </c>
      <c r="Q157" s="8">
        <f>Elettricità!Z157</f>
        <v>364.27</v>
      </c>
      <c r="R157" s="8">
        <f>Elettricità!AA157</f>
        <v>85.11</v>
      </c>
      <c r="S157" s="8">
        <f>Elettricità!AB157</f>
        <v>143.01</v>
      </c>
      <c r="T157" s="8">
        <f>Elettricità!AC157</f>
        <v>0</v>
      </c>
      <c r="U157" s="8">
        <f>Elettricità!AD157</f>
        <v>135.79</v>
      </c>
      <c r="V157" s="8">
        <f t="shared" si="39"/>
        <v>2024</v>
      </c>
      <c r="W157" s="8">
        <f>_xlfn.XLOOKUP(A157,Fabbricati!E:E,Fabbricati!D:D)</f>
        <v>382917065</v>
      </c>
      <c r="X157" s="9">
        <f t="shared" si="40"/>
        <v>45665</v>
      </c>
      <c r="Y157" s="9">
        <f t="shared" si="41"/>
        <v>45627</v>
      </c>
      <c r="Z157" s="9">
        <f t="shared" si="42"/>
        <v>45657</v>
      </c>
      <c r="AA157" s="8">
        <f t="shared" si="43"/>
        <v>31</v>
      </c>
      <c r="AB157" s="8">
        <f t="shared" si="44"/>
        <v>1986</v>
      </c>
      <c r="AC157" s="12" t="s">
        <v>149</v>
      </c>
      <c r="AD157" s="11" t="str">
        <f t="shared" si="45"/>
        <v>1145
327
514</v>
      </c>
      <c r="AE157" s="11" t="str">
        <f t="shared" si="46"/>
        <v>0
0
0</v>
      </c>
      <c r="AF157" s="11"/>
      <c r="AG157" s="11"/>
      <c r="AH157" s="8">
        <f t="shared" si="47"/>
        <v>228.12</v>
      </c>
      <c r="AI157" s="8">
        <f t="shared" si="48"/>
        <v>364.27</v>
      </c>
      <c r="AJ157" s="8">
        <f t="shared" si="49"/>
        <v>135.79</v>
      </c>
      <c r="AK157" s="8"/>
      <c r="AL157" s="8"/>
      <c r="AM157" s="8">
        <f t="shared" si="50"/>
        <v>0</v>
      </c>
      <c r="AN157" s="8">
        <f t="shared" si="51"/>
        <v>753.01</v>
      </c>
    </row>
    <row r="158" spans="1:40" ht="48" customHeight="1" x14ac:dyDescent="0.2">
      <c r="A158" s="8" t="str">
        <f>Elettricità!I158</f>
        <v>IT001E04171009</v>
      </c>
      <c r="B158" s="8" t="str">
        <f>Elettricità!A158</f>
        <v>824500045755_2024_d.pdf</v>
      </c>
      <c r="C158" s="9">
        <f>Elettricità!E158</f>
        <v>45350</v>
      </c>
      <c r="D158" s="9">
        <f>Elettricità!K158</f>
        <v>45292</v>
      </c>
      <c r="E158" s="9">
        <f>Elettricità!L158</f>
        <v>45322</v>
      </c>
      <c r="F158" s="8">
        <f>Elettricità!M158</f>
        <v>186</v>
      </c>
      <c r="G158" s="8">
        <f>Elettricità!N158</f>
        <v>47</v>
      </c>
      <c r="H158" s="8">
        <f>Elettricità!O158</f>
        <v>54</v>
      </c>
      <c r="I158" s="8">
        <f>Elettricità!P158</f>
        <v>85</v>
      </c>
      <c r="J158" s="8">
        <f>Elettricità!Q158</f>
        <v>59</v>
      </c>
      <c r="K158" s="8">
        <f>Elettricità!R158</f>
        <v>20</v>
      </c>
      <c r="L158" s="8">
        <f>Elettricità!S158</f>
        <v>14</v>
      </c>
      <c r="M158" s="8">
        <f>Elettricità!T158</f>
        <v>25</v>
      </c>
      <c r="N158" s="8">
        <f>Elettricità!W158</f>
        <v>59.36</v>
      </c>
      <c r="O158" s="8">
        <f>Elettricità!X158</f>
        <v>72.42</v>
      </c>
      <c r="P158" s="8">
        <f>Elettricità!Y158</f>
        <v>0</v>
      </c>
      <c r="Q158" s="8">
        <f>Elettricità!Z158</f>
        <v>28.88</v>
      </c>
      <c r="R158" s="8">
        <f>Elettricità!AA158</f>
        <v>12.12</v>
      </c>
      <c r="S158" s="8">
        <f>Elettricità!AB158</f>
        <v>15.1</v>
      </c>
      <c r="T158" s="8">
        <f>Elettricità!AC158</f>
        <v>0.93</v>
      </c>
      <c r="U158" s="8">
        <f>Elettricità!AD158</f>
        <v>2.33</v>
      </c>
      <c r="V158" s="8">
        <f t="shared" si="39"/>
        <v>2024</v>
      </c>
      <c r="W158" s="8">
        <f>_xlfn.XLOOKUP(A158,Fabbricati!E:E,Fabbricati!D:D)</f>
        <v>382913337</v>
      </c>
      <c r="X158" s="9">
        <f t="shared" si="40"/>
        <v>45350</v>
      </c>
      <c r="Y158" s="9">
        <f t="shared" si="41"/>
        <v>45292</v>
      </c>
      <c r="Z158" s="9">
        <f t="shared" si="42"/>
        <v>45322</v>
      </c>
      <c r="AA158" s="8">
        <f t="shared" si="43"/>
        <v>31</v>
      </c>
      <c r="AB158" s="8">
        <f t="shared" si="44"/>
        <v>186</v>
      </c>
      <c r="AC158" s="12" t="s">
        <v>149</v>
      </c>
      <c r="AD158" s="11" t="str">
        <f t="shared" si="45"/>
        <v>47
54
85</v>
      </c>
      <c r="AE158" s="11" t="str">
        <f t="shared" si="46"/>
        <v>20
14
25</v>
      </c>
      <c r="AF158" s="11"/>
      <c r="AG158" s="11"/>
      <c r="AH158" s="8">
        <f t="shared" si="47"/>
        <v>27.22</v>
      </c>
      <c r="AI158" s="8">
        <f t="shared" si="48"/>
        <v>28.88</v>
      </c>
      <c r="AJ158" s="8">
        <f t="shared" si="49"/>
        <v>2.33</v>
      </c>
      <c r="AK158" s="8"/>
      <c r="AL158" s="8"/>
      <c r="AM158" s="8">
        <f t="shared" si="50"/>
        <v>0.93</v>
      </c>
      <c r="AN158" s="8">
        <f t="shared" si="51"/>
        <v>72.42</v>
      </c>
    </row>
    <row r="159" spans="1:40" ht="48" customHeight="1" x14ac:dyDescent="0.2">
      <c r="A159" s="8" t="str">
        <f>Elettricità!I159</f>
        <v>IT001E04171009</v>
      </c>
      <c r="B159" s="8" t="str">
        <f>Elettricità!A159</f>
        <v>005018359682.pdf</v>
      </c>
      <c r="C159" s="9">
        <f>Elettricità!E159</f>
        <v>45358</v>
      </c>
      <c r="D159" s="9">
        <f>Elettricità!K159</f>
        <v>45323</v>
      </c>
      <c r="E159" s="9">
        <f>Elettricità!L159</f>
        <v>45351</v>
      </c>
      <c r="F159" s="8">
        <f>Elettricità!M159</f>
        <v>128</v>
      </c>
      <c r="G159" s="8">
        <f>Elettricità!N159</f>
        <v>28</v>
      </c>
      <c r="H159" s="8">
        <f>Elettricità!O159</f>
        <v>45</v>
      </c>
      <c r="I159" s="8">
        <f>Elettricità!P159</f>
        <v>55</v>
      </c>
      <c r="J159" s="8">
        <f>Elettricità!Q159</f>
        <v>46</v>
      </c>
      <c r="K159" s="8">
        <f>Elettricità!R159</f>
        <v>16</v>
      </c>
      <c r="L159" s="8">
        <f>Elettricità!S159</f>
        <v>12</v>
      </c>
      <c r="M159" s="8">
        <f>Elettricità!T159</f>
        <v>18</v>
      </c>
      <c r="N159" s="8">
        <f>Elettricità!W159</f>
        <v>40.98</v>
      </c>
      <c r="O159" s="8">
        <f>Elettricità!X159</f>
        <v>50</v>
      </c>
      <c r="P159" s="8">
        <f>Elettricità!Y159</f>
        <v>0</v>
      </c>
      <c r="Q159" s="8">
        <f>Elettricità!Z159</f>
        <v>15.31</v>
      </c>
      <c r="R159" s="8">
        <f>Elettricità!AA159</f>
        <v>11.38</v>
      </c>
      <c r="S159" s="8">
        <f>Elettricità!AB159</f>
        <v>12.69</v>
      </c>
      <c r="T159" s="8">
        <f>Elettricità!AC159</f>
        <v>0</v>
      </c>
      <c r="U159" s="8">
        <f>Elettricità!AD159</f>
        <v>9.02</v>
      </c>
      <c r="V159" s="8">
        <f t="shared" si="39"/>
        <v>2024</v>
      </c>
      <c r="W159" s="8">
        <f>_xlfn.XLOOKUP(A159,Fabbricati!E:E,Fabbricati!D:D)</f>
        <v>382913337</v>
      </c>
      <c r="X159" s="9">
        <f t="shared" si="40"/>
        <v>45358</v>
      </c>
      <c r="Y159" s="9">
        <f t="shared" si="41"/>
        <v>45323</v>
      </c>
      <c r="Z159" s="9">
        <f t="shared" si="42"/>
        <v>45351</v>
      </c>
      <c r="AA159" s="8">
        <f t="shared" si="43"/>
        <v>29</v>
      </c>
      <c r="AB159" s="8">
        <f t="shared" si="44"/>
        <v>128</v>
      </c>
      <c r="AC159" s="12" t="s">
        <v>149</v>
      </c>
      <c r="AD159" s="11" t="str">
        <f t="shared" si="45"/>
        <v>28
45
55</v>
      </c>
      <c r="AE159" s="11" t="str">
        <f t="shared" si="46"/>
        <v>16
12
18</v>
      </c>
      <c r="AF159" s="11"/>
      <c r="AG159" s="11"/>
      <c r="AH159" s="8">
        <f t="shared" si="47"/>
        <v>24.07</v>
      </c>
      <c r="AI159" s="8">
        <f t="shared" si="48"/>
        <v>15.31</v>
      </c>
      <c r="AJ159" s="8">
        <f t="shared" si="49"/>
        <v>9.02</v>
      </c>
      <c r="AK159" s="8"/>
      <c r="AL159" s="8"/>
      <c r="AM159" s="8">
        <f t="shared" si="50"/>
        <v>0</v>
      </c>
      <c r="AN159" s="8">
        <f t="shared" si="51"/>
        <v>50</v>
      </c>
    </row>
    <row r="160" spans="1:40" ht="48" customHeight="1" x14ac:dyDescent="0.2">
      <c r="A160" s="8" t="str">
        <f>Elettricità!I160</f>
        <v>IT001E04171009</v>
      </c>
      <c r="B160" s="8" t="str">
        <f>Elettricità!A160</f>
        <v>005026659965.pdf</v>
      </c>
      <c r="C160" s="9">
        <f>Elettricità!E160</f>
        <v>45390</v>
      </c>
      <c r="D160" s="9">
        <f>Elettricità!K160</f>
        <v>45352</v>
      </c>
      <c r="E160" s="9">
        <f>Elettricità!L160</f>
        <v>45382</v>
      </c>
      <c r="F160" s="8">
        <f>Elettricità!M160</f>
        <v>105</v>
      </c>
      <c r="G160" s="8">
        <f>Elettricità!N160</f>
        <v>22</v>
      </c>
      <c r="H160" s="8">
        <f>Elettricità!O160</f>
        <v>36</v>
      </c>
      <c r="I160" s="8">
        <f>Elettricità!P160</f>
        <v>47</v>
      </c>
      <c r="J160" s="8">
        <f>Elettricità!Q160</f>
        <v>49</v>
      </c>
      <c r="K160" s="8">
        <f>Elettricità!R160</f>
        <v>17</v>
      </c>
      <c r="L160" s="8">
        <f>Elettricità!S160</f>
        <v>14</v>
      </c>
      <c r="M160" s="8">
        <f>Elettricità!T160</f>
        <v>18</v>
      </c>
      <c r="N160" s="8">
        <f>Elettricità!W160</f>
        <v>36.32</v>
      </c>
      <c r="O160" s="8">
        <f>Elettricità!X160</f>
        <v>44.31</v>
      </c>
      <c r="P160" s="8">
        <f>Elettricità!Y160</f>
        <v>0</v>
      </c>
      <c r="Q160" s="8">
        <f>Elettricità!Z160</f>
        <v>12.19</v>
      </c>
      <c r="R160" s="8">
        <f>Elettricità!AA160</f>
        <v>11.08</v>
      </c>
      <c r="S160" s="8">
        <f>Elettricità!AB160</f>
        <v>11.74</v>
      </c>
      <c r="T160" s="8">
        <f>Elettricità!AC160</f>
        <v>0</v>
      </c>
      <c r="U160" s="8">
        <f>Elettricità!AD160</f>
        <v>7.99</v>
      </c>
      <c r="V160" s="8">
        <f t="shared" si="39"/>
        <v>2024</v>
      </c>
      <c r="W160" s="8">
        <f>_xlfn.XLOOKUP(A160,Fabbricati!E:E,Fabbricati!D:D)</f>
        <v>382913337</v>
      </c>
      <c r="X160" s="9">
        <f t="shared" si="40"/>
        <v>45390</v>
      </c>
      <c r="Y160" s="9">
        <f t="shared" si="41"/>
        <v>45352</v>
      </c>
      <c r="Z160" s="9">
        <f t="shared" si="42"/>
        <v>45382</v>
      </c>
      <c r="AA160" s="8">
        <f t="shared" si="43"/>
        <v>31</v>
      </c>
      <c r="AB160" s="8">
        <f t="shared" si="44"/>
        <v>105</v>
      </c>
      <c r="AC160" s="12" t="s">
        <v>149</v>
      </c>
      <c r="AD160" s="11" t="str">
        <f t="shared" si="45"/>
        <v>22
36
47</v>
      </c>
      <c r="AE160" s="11" t="str">
        <f t="shared" si="46"/>
        <v>17
14
18</v>
      </c>
      <c r="AF160" s="11"/>
      <c r="AG160" s="11"/>
      <c r="AH160" s="8">
        <f t="shared" si="47"/>
        <v>22.82</v>
      </c>
      <c r="AI160" s="8">
        <f t="shared" si="48"/>
        <v>12.19</v>
      </c>
      <c r="AJ160" s="8">
        <f t="shared" si="49"/>
        <v>7.99</v>
      </c>
      <c r="AK160" s="8"/>
      <c r="AL160" s="8"/>
      <c r="AM160" s="8">
        <f t="shared" si="50"/>
        <v>0</v>
      </c>
      <c r="AN160" s="8">
        <f t="shared" si="51"/>
        <v>44.31</v>
      </c>
    </row>
    <row r="161" spans="1:40" ht="48" customHeight="1" x14ac:dyDescent="0.2">
      <c r="A161" s="8" t="str">
        <f>Elettricità!I161</f>
        <v>IT001E04171009</v>
      </c>
      <c r="B161" s="8" t="str">
        <f>Elettricità!A161</f>
        <v>005034930237.PDF</v>
      </c>
      <c r="C161" s="9">
        <f>Elettricità!E161</f>
        <v>45419</v>
      </c>
      <c r="D161" s="9">
        <f>Elettricità!K161</f>
        <v>45383</v>
      </c>
      <c r="E161" s="9">
        <f>Elettricità!L161</f>
        <v>45411</v>
      </c>
      <c r="F161" s="8">
        <f>Elettricità!M161</f>
        <v>97</v>
      </c>
      <c r="G161" s="8">
        <f>Elettricità!N161</f>
        <v>19</v>
      </c>
      <c r="H161" s="8">
        <f>Elettricità!O161</f>
        <v>32</v>
      </c>
      <c r="I161" s="8">
        <f>Elettricità!P161</f>
        <v>46</v>
      </c>
      <c r="J161" s="8">
        <f>Elettricità!Q161</f>
        <v>48</v>
      </c>
      <c r="K161" s="8">
        <f>Elettricità!R161</f>
        <v>17</v>
      </c>
      <c r="L161" s="8">
        <f>Elettricità!S161</f>
        <v>12</v>
      </c>
      <c r="M161" s="8">
        <f>Elettricità!T161</f>
        <v>19</v>
      </c>
      <c r="N161" s="8">
        <f>Elettricità!W161</f>
        <v>36.729999999999997</v>
      </c>
      <c r="O161" s="8">
        <f>Elettricità!X161</f>
        <v>44.81</v>
      </c>
      <c r="P161" s="8">
        <f>Elettricità!Y161</f>
        <v>0</v>
      </c>
      <c r="Q161" s="8">
        <f>Elettricità!Z161</f>
        <v>11.19</v>
      </c>
      <c r="R161" s="8">
        <f>Elettricità!AA161</f>
        <v>10.99</v>
      </c>
      <c r="S161" s="8">
        <f>Elettricità!AB161</f>
        <v>13.33</v>
      </c>
      <c r="T161" s="8">
        <f>Elettricità!AC161</f>
        <v>0</v>
      </c>
      <c r="U161" s="8">
        <f>Elettricità!AD161</f>
        <v>8.08</v>
      </c>
      <c r="V161" s="8">
        <f t="shared" si="39"/>
        <v>2024</v>
      </c>
      <c r="W161" s="8">
        <f>_xlfn.XLOOKUP(A161,Fabbricati!E:E,Fabbricati!D:D)</f>
        <v>382913337</v>
      </c>
      <c r="X161" s="9">
        <f t="shared" si="40"/>
        <v>45419</v>
      </c>
      <c r="Y161" s="9">
        <f t="shared" si="41"/>
        <v>45383</v>
      </c>
      <c r="Z161" s="9">
        <f t="shared" si="42"/>
        <v>45411</v>
      </c>
      <c r="AA161" s="8">
        <f t="shared" si="43"/>
        <v>29</v>
      </c>
      <c r="AB161" s="8">
        <f t="shared" si="44"/>
        <v>97</v>
      </c>
      <c r="AC161" s="12" t="s">
        <v>149</v>
      </c>
      <c r="AD161" s="11" t="str">
        <f t="shared" si="45"/>
        <v>19
32
46</v>
      </c>
      <c r="AE161" s="11" t="str">
        <f t="shared" si="46"/>
        <v>17
12
19</v>
      </c>
      <c r="AF161" s="11"/>
      <c r="AG161" s="11"/>
      <c r="AH161" s="8">
        <f t="shared" si="47"/>
        <v>24.32</v>
      </c>
      <c r="AI161" s="8">
        <f t="shared" si="48"/>
        <v>11.19</v>
      </c>
      <c r="AJ161" s="8">
        <f t="shared" si="49"/>
        <v>8.08</v>
      </c>
      <c r="AK161" s="8"/>
      <c r="AL161" s="8"/>
      <c r="AM161" s="8">
        <f t="shared" si="50"/>
        <v>0</v>
      </c>
      <c r="AN161" s="8">
        <f t="shared" si="51"/>
        <v>44.81</v>
      </c>
    </row>
    <row r="162" spans="1:40" ht="48" customHeight="1" x14ac:dyDescent="0.2">
      <c r="A162" s="8" t="str">
        <f>Elettricità!I162</f>
        <v>IT001E04171009</v>
      </c>
      <c r="B162" s="8" t="str">
        <f>Elettricità!A162</f>
        <v>005043663101.PDF</v>
      </c>
      <c r="C162" s="9">
        <f>Elettricità!E162</f>
        <v>45449</v>
      </c>
      <c r="D162" s="9">
        <f>Elettricità!K162</f>
        <v>45413</v>
      </c>
      <c r="E162" s="9">
        <f>Elettricità!L162</f>
        <v>45443</v>
      </c>
      <c r="F162" s="8">
        <f>Elettricità!M162</f>
        <v>96</v>
      </c>
      <c r="G162" s="8">
        <f>Elettricità!N162</f>
        <v>21</v>
      </c>
      <c r="H162" s="8">
        <f>Elettricità!O162</f>
        <v>33</v>
      </c>
      <c r="I162" s="8">
        <f>Elettricità!P162</f>
        <v>42</v>
      </c>
      <c r="J162" s="8">
        <f>Elettricità!Q162</f>
        <v>48</v>
      </c>
      <c r="K162" s="8">
        <f>Elettricità!R162</f>
        <v>18</v>
      </c>
      <c r="L162" s="8">
        <f>Elettricità!S162</f>
        <v>13</v>
      </c>
      <c r="M162" s="8">
        <f>Elettricità!T162</f>
        <v>17</v>
      </c>
      <c r="N162" s="8">
        <f>Elettricità!W162</f>
        <v>37.14</v>
      </c>
      <c r="O162" s="8">
        <f>Elettricità!X162</f>
        <v>45.31</v>
      </c>
      <c r="P162" s="8">
        <f>Elettricità!Y162</f>
        <v>0</v>
      </c>
      <c r="Q162" s="8">
        <f>Elettricità!Z162</f>
        <v>11.74</v>
      </c>
      <c r="R162" s="8">
        <f>Elettricità!AA162</f>
        <v>10.97</v>
      </c>
      <c r="S162" s="8">
        <f>Elettricità!AB162</f>
        <v>13.23</v>
      </c>
      <c r="T162" s="8">
        <f>Elettricità!AC162</f>
        <v>0</v>
      </c>
      <c r="U162" s="8">
        <f>Elettricità!AD162</f>
        <v>8.17</v>
      </c>
      <c r="V162" s="8">
        <f t="shared" si="39"/>
        <v>2024</v>
      </c>
      <c r="W162" s="8">
        <f>_xlfn.XLOOKUP(A162,Fabbricati!E:E,Fabbricati!D:D)</f>
        <v>382913337</v>
      </c>
      <c r="X162" s="9">
        <f t="shared" si="40"/>
        <v>45449</v>
      </c>
      <c r="Y162" s="9">
        <f t="shared" si="41"/>
        <v>45413</v>
      </c>
      <c r="Z162" s="9">
        <f t="shared" si="42"/>
        <v>45443</v>
      </c>
      <c r="AA162" s="8">
        <f t="shared" si="43"/>
        <v>31</v>
      </c>
      <c r="AB162" s="8">
        <f t="shared" si="44"/>
        <v>96</v>
      </c>
      <c r="AC162" s="12" t="s">
        <v>149</v>
      </c>
      <c r="AD162" s="11" t="str">
        <f t="shared" si="45"/>
        <v>21
33
42</v>
      </c>
      <c r="AE162" s="11" t="str">
        <f t="shared" si="46"/>
        <v>18
13
17</v>
      </c>
      <c r="AF162" s="11"/>
      <c r="AG162" s="11"/>
      <c r="AH162" s="8">
        <f t="shared" si="47"/>
        <v>24.200000000000003</v>
      </c>
      <c r="AI162" s="8">
        <f t="shared" si="48"/>
        <v>11.74</v>
      </c>
      <c r="AJ162" s="8">
        <f t="shared" si="49"/>
        <v>8.17</v>
      </c>
      <c r="AK162" s="8"/>
      <c r="AL162" s="8"/>
      <c r="AM162" s="8">
        <f t="shared" si="50"/>
        <v>0</v>
      </c>
      <c r="AN162" s="8">
        <f t="shared" si="51"/>
        <v>45.31</v>
      </c>
    </row>
    <row r="163" spans="1:40" ht="48" customHeight="1" x14ac:dyDescent="0.2">
      <c r="A163" s="8" t="str">
        <f>Elettricità!I163</f>
        <v>IT001E04171009</v>
      </c>
      <c r="B163" s="8" t="str">
        <f>Elettricità!A163</f>
        <v>005054560016.PDF</v>
      </c>
      <c r="C163" s="9">
        <f>Elettricità!E163</f>
        <v>45482</v>
      </c>
      <c r="D163" s="9">
        <f>Elettricità!K163</f>
        <v>45444</v>
      </c>
      <c r="E163" s="9">
        <f>Elettricità!L163</f>
        <v>45473</v>
      </c>
      <c r="F163" s="8">
        <f>Elettricità!M163</f>
        <v>154</v>
      </c>
      <c r="G163" s="8">
        <f>Elettricità!N163</f>
        <v>31</v>
      </c>
      <c r="H163" s="8">
        <f>Elettricità!O163</f>
        <v>41</v>
      </c>
      <c r="I163" s="8">
        <f>Elettricità!P163</f>
        <v>82</v>
      </c>
      <c r="J163" s="8">
        <f>Elettricità!Q163</f>
        <v>48</v>
      </c>
      <c r="K163" s="8">
        <f>Elettricità!R163</f>
        <v>17</v>
      </c>
      <c r="L163" s="8">
        <f>Elettricità!S163</f>
        <v>12</v>
      </c>
      <c r="M163" s="8">
        <f>Elettricità!T163</f>
        <v>19</v>
      </c>
      <c r="N163" s="8">
        <f>Elettricità!W163</f>
        <v>50.1</v>
      </c>
      <c r="O163" s="8">
        <f>Elettricità!X163</f>
        <v>61.12</v>
      </c>
      <c r="P163" s="8">
        <f>Elettricità!Y163</f>
        <v>0</v>
      </c>
      <c r="Q163" s="8">
        <f>Elettricità!Z163</f>
        <v>20.420000000000002</v>
      </c>
      <c r="R163" s="8">
        <f>Elettricità!AA163</f>
        <v>11.71</v>
      </c>
      <c r="S163" s="8">
        <f>Elettricità!AB163</f>
        <v>16.04</v>
      </c>
      <c r="T163" s="8">
        <f>Elettricità!AC163</f>
        <v>0</v>
      </c>
      <c r="U163" s="8">
        <f>Elettricità!AD163</f>
        <v>11.02</v>
      </c>
      <c r="V163" s="8">
        <f t="shared" si="39"/>
        <v>2024</v>
      </c>
      <c r="W163" s="8">
        <f>_xlfn.XLOOKUP(A163,Fabbricati!E:E,Fabbricati!D:D)</f>
        <v>382913337</v>
      </c>
      <c r="X163" s="9">
        <f t="shared" si="40"/>
        <v>45482</v>
      </c>
      <c r="Y163" s="9">
        <f t="shared" si="41"/>
        <v>45444</v>
      </c>
      <c r="Z163" s="9">
        <f t="shared" si="42"/>
        <v>45473</v>
      </c>
      <c r="AA163" s="8">
        <f t="shared" si="43"/>
        <v>30</v>
      </c>
      <c r="AB163" s="8">
        <f t="shared" si="44"/>
        <v>154</v>
      </c>
      <c r="AC163" s="12" t="s">
        <v>149</v>
      </c>
      <c r="AD163" s="11" t="str">
        <f t="shared" si="45"/>
        <v>31
41
82</v>
      </c>
      <c r="AE163" s="11" t="str">
        <f t="shared" si="46"/>
        <v>17
12
19</v>
      </c>
      <c r="AF163" s="11"/>
      <c r="AG163" s="11"/>
      <c r="AH163" s="8">
        <f t="shared" si="47"/>
        <v>27.75</v>
      </c>
      <c r="AI163" s="8">
        <f t="shared" si="48"/>
        <v>20.420000000000002</v>
      </c>
      <c r="AJ163" s="8">
        <f t="shared" si="49"/>
        <v>11.02</v>
      </c>
      <c r="AK163" s="8"/>
      <c r="AL163" s="8"/>
      <c r="AM163" s="8">
        <f t="shared" si="50"/>
        <v>0</v>
      </c>
      <c r="AN163" s="8">
        <f t="shared" si="51"/>
        <v>61.12</v>
      </c>
    </row>
    <row r="164" spans="1:40" ht="48" customHeight="1" x14ac:dyDescent="0.2">
      <c r="A164" s="8" t="str">
        <f>Elettricità!I164</f>
        <v>IT001E04171009</v>
      </c>
      <c r="B164" s="8" t="str">
        <f>Elettricità!A164</f>
        <v>005059958078.PDF</v>
      </c>
      <c r="C164" s="9">
        <f>Elettricità!E164</f>
        <v>45511</v>
      </c>
      <c r="D164" s="9">
        <f>Elettricità!K164</f>
        <v>45474</v>
      </c>
      <c r="E164" s="9">
        <f>Elettricità!L164</f>
        <v>45504</v>
      </c>
      <c r="F164" s="8">
        <f>Elettricità!M164</f>
        <v>92</v>
      </c>
      <c r="G164" s="8">
        <f>Elettricità!N164</f>
        <v>24</v>
      </c>
      <c r="H164" s="8">
        <f>Elettricità!O164</f>
        <v>23</v>
      </c>
      <c r="I164" s="8">
        <f>Elettricità!P164</f>
        <v>45</v>
      </c>
      <c r="J164" s="8">
        <f>Elettricità!Q164</f>
        <v>50</v>
      </c>
      <c r="K164" s="8">
        <f>Elettricità!R164</f>
        <v>20</v>
      </c>
      <c r="L164" s="8">
        <f>Elettricità!S164</f>
        <v>13</v>
      </c>
      <c r="M164" s="8">
        <f>Elettricità!T164</f>
        <v>17</v>
      </c>
      <c r="N164" s="8">
        <f>Elettricità!W164</f>
        <v>39.200000000000003</v>
      </c>
      <c r="O164" s="8">
        <f>Elettricità!X164</f>
        <v>47.82</v>
      </c>
      <c r="P164" s="8">
        <f>Elettricità!Y164</f>
        <v>0</v>
      </c>
      <c r="Q164" s="8">
        <f>Elettricità!Z164</f>
        <v>14.1</v>
      </c>
      <c r="R164" s="8">
        <f>Elettricità!AA164</f>
        <v>10.91</v>
      </c>
      <c r="S164" s="8">
        <f>Elettricità!AB164</f>
        <v>13.04</v>
      </c>
      <c r="T164" s="8">
        <f>Elettricità!AC164</f>
        <v>0</v>
      </c>
      <c r="U164" s="8">
        <f>Elettricità!AD164</f>
        <v>8.6199999999999992</v>
      </c>
      <c r="V164" s="8">
        <f t="shared" si="39"/>
        <v>2024</v>
      </c>
      <c r="W164" s="8">
        <f>_xlfn.XLOOKUP(A164,Fabbricati!E:E,Fabbricati!D:D)</f>
        <v>382913337</v>
      </c>
      <c r="X164" s="9">
        <f t="shared" si="40"/>
        <v>45511</v>
      </c>
      <c r="Y164" s="9">
        <f t="shared" si="41"/>
        <v>45474</v>
      </c>
      <c r="Z164" s="9">
        <f t="shared" si="42"/>
        <v>45504</v>
      </c>
      <c r="AA164" s="8">
        <f t="shared" si="43"/>
        <v>31</v>
      </c>
      <c r="AB164" s="8">
        <f t="shared" si="44"/>
        <v>92</v>
      </c>
      <c r="AC164" s="12" t="s">
        <v>149</v>
      </c>
      <c r="AD164" s="11" t="str">
        <f t="shared" si="45"/>
        <v>24
23
45</v>
      </c>
      <c r="AE164" s="11" t="str">
        <f t="shared" si="46"/>
        <v>20
13
17</v>
      </c>
      <c r="AF164" s="11"/>
      <c r="AG164" s="11"/>
      <c r="AH164" s="8">
        <f t="shared" si="47"/>
        <v>23.95</v>
      </c>
      <c r="AI164" s="8">
        <f t="shared" si="48"/>
        <v>14.1</v>
      </c>
      <c r="AJ164" s="8">
        <f t="shared" si="49"/>
        <v>8.6199999999999992</v>
      </c>
      <c r="AK164" s="8"/>
      <c r="AL164" s="8"/>
      <c r="AM164" s="8">
        <f t="shared" si="50"/>
        <v>0</v>
      </c>
      <c r="AN164" s="8">
        <f t="shared" si="51"/>
        <v>47.82</v>
      </c>
    </row>
    <row r="165" spans="1:40" ht="48" customHeight="1" x14ac:dyDescent="0.2">
      <c r="A165" s="8" t="str">
        <f>Elettricità!I165</f>
        <v>IT001E04171009</v>
      </c>
      <c r="B165" s="8" t="str">
        <f>Elettricità!A165</f>
        <v>005067307612.PDF</v>
      </c>
      <c r="C165" s="9">
        <f>Elettricità!E165</f>
        <v>45541</v>
      </c>
      <c r="D165" s="9">
        <f>Elettricità!K165</f>
        <v>45505</v>
      </c>
      <c r="E165" s="9">
        <f>Elettricità!L165</f>
        <v>45535</v>
      </c>
      <c r="F165" s="8">
        <f>Elettricità!M165</f>
        <v>98</v>
      </c>
      <c r="G165" s="8">
        <f>Elettricità!N165</f>
        <v>23</v>
      </c>
      <c r="H165" s="8">
        <f>Elettricità!O165</f>
        <v>25</v>
      </c>
      <c r="I165" s="8">
        <f>Elettricità!P165</f>
        <v>50</v>
      </c>
      <c r="J165" s="8">
        <f>Elettricità!Q165</f>
        <v>48</v>
      </c>
      <c r="K165" s="8">
        <f>Elettricità!R165</f>
        <v>18</v>
      </c>
      <c r="L165" s="8">
        <f>Elettricità!S165</f>
        <v>12</v>
      </c>
      <c r="M165" s="8">
        <f>Elettricità!T165</f>
        <v>18</v>
      </c>
      <c r="N165" s="8">
        <f>Elettricità!W165</f>
        <v>41.13</v>
      </c>
      <c r="O165" s="8">
        <f>Elettricità!X165</f>
        <v>50.18</v>
      </c>
      <c r="P165" s="8">
        <f>Elettricità!Y165</f>
        <v>0</v>
      </c>
      <c r="Q165" s="8">
        <f>Elettricità!Z165</f>
        <v>15.57</v>
      </c>
      <c r="R165" s="8">
        <f>Elettricità!AA165</f>
        <v>10.99</v>
      </c>
      <c r="S165" s="8">
        <f>Elettricità!AB165</f>
        <v>13.34</v>
      </c>
      <c r="T165" s="8">
        <f>Elettricità!AC165</f>
        <v>0</v>
      </c>
      <c r="U165" s="8">
        <f>Elettricità!AD165</f>
        <v>9.0500000000000007</v>
      </c>
      <c r="V165" s="8">
        <f t="shared" si="39"/>
        <v>2024</v>
      </c>
      <c r="W165" s="8">
        <f>_xlfn.XLOOKUP(A165,Fabbricati!E:E,Fabbricati!D:D)</f>
        <v>382913337</v>
      </c>
      <c r="X165" s="9">
        <f t="shared" si="40"/>
        <v>45541</v>
      </c>
      <c r="Y165" s="9">
        <f t="shared" si="41"/>
        <v>45505</v>
      </c>
      <c r="Z165" s="9">
        <f t="shared" si="42"/>
        <v>45535</v>
      </c>
      <c r="AA165" s="8">
        <f t="shared" si="43"/>
        <v>31</v>
      </c>
      <c r="AB165" s="8">
        <f t="shared" si="44"/>
        <v>98</v>
      </c>
      <c r="AC165" s="12" t="s">
        <v>149</v>
      </c>
      <c r="AD165" s="11" t="str">
        <f t="shared" si="45"/>
        <v>23
25
50</v>
      </c>
      <c r="AE165" s="11" t="str">
        <f t="shared" si="46"/>
        <v>18
12
18</v>
      </c>
      <c r="AF165" s="11"/>
      <c r="AG165" s="11"/>
      <c r="AH165" s="8">
        <f t="shared" si="47"/>
        <v>24.33</v>
      </c>
      <c r="AI165" s="8">
        <f t="shared" si="48"/>
        <v>15.57</v>
      </c>
      <c r="AJ165" s="8">
        <f t="shared" si="49"/>
        <v>9.0500000000000007</v>
      </c>
      <c r="AK165" s="8"/>
      <c r="AL165" s="8"/>
      <c r="AM165" s="8">
        <f t="shared" si="50"/>
        <v>0</v>
      </c>
      <c r="AN165" s="8">
        <f t="shared" si="51"/>
        <v>50.18</v>
      </c>
    </row>
    <row r="166" spans="1:40" ht="48" customHeight="1" x14ac:dyDescent="0.2">
      <c r="A166" s="8" t="str">
        <f>Elettricità!I166</f>
        <v>IT001E04171009</v>
      </c>
      <c r="B166" s="8" t="str">
        <f>Elettricità!A166</f>
        <v>005076347791(1).PDF</v>
      </c>
      <c r="C166" s="9">
        <f>Elettricità!E166</f>
        <v>45571</v>
      </c>
      <c r="D166" s="9">
        <f>Elettricità!K166</f>
        <v>45536</v>
      </c>
      <c r="E166" s="9">
        <f>Elettricità!L166</f>
        <v>45565</v>
      </c>
      <c r="F166" s="8">
        <f>Elettricità!M166</f>
        <v>102</v>
      </c>
      <c r="G166" s="8">
        <f>Elettricità!N166</f>
        <v>21</v>
      </c>
      <c r="H166" s="8">
        <f>Elettricità!O166</f>
        <v>34</v>
      </c>
      <c r="I166" s="8">
        <f>Elettricità!P166</f>
        <v>47</v>
      </c>
      <c r="J166" s="8">
        <f>Elettricità!Q166</f>
        <v>45</v>
      </c>
      <c r="K166" s="8">
        <f>Elettricità!R166</f>
        <v>16</v>
      </c>
      <c r="L166" s="8">
        <f>Elettricità!S166</f>
        <v>12</v>
      </c>
      <c r="M166" s="8">
        <f>Elettricità!T166</f>
        <v>17</v>
      </c>
      <c r="N166" s="8">
        <f>Elettricità!W166</f>
        <v>40.69</v>
      </c>
      <c r="O166" s="8">
        <f>Elettricità!X166</f>
        <v>49.64</v>
      </c>
      <c r="P166" s="8">
        <f>Elettricità!Y166</f>
        <v>0</v>
      </c>
      <c r="Q166" s="8">
        <f>Elettricità!Z166</f>
        <v>14.84</v>
      </c>
      <c r="R166" s="8">
        <f>Elettricità!AA166</f>
        <v>11.04</v>
      </c>
      <c r="S166" s="8">
        <f>Elettricità!AB166</f>
        <v>13.53</v>
      </c>
      <c r="T166" s="8">
        <f>Elettricità!AC166</f>
        <v>0</v>
      </c>
      <c r="U166" s="8">
        <f>Elettricità!AD166</f>
        <v>8.9499999999999993</v>
      </c>
      <c r="V166" s="8">
        <f t="shared" si="39"/>
        <v>2024</v>
      </c>
      <c r="W166" s="8">
        <f>_xlfn.XLOOKUP(A166,Fabbricati!E:E,Fabbricati!D:D)</f>
        <v>382913337</v>
      </c>
      <c r="X166" s="9">
        <f t="shared" si="40"/>
        <v>45571</v>
      </c>
      <c r="Y166" s="9">
        <f t="shared" si="41"/>
        <v>45536</v>
      </c>
      <c r="Z166" s="9">
        <f t="shared" si="42"/>
        <v>45565</v>
      </c>
      <c r="AA166" s="8">
        <f t="shared" si="43"/>
        <v>30</v>
      </c>
      <c r="AB166" s="8">
        <f t="shared" si="44"/>
        <v>102</v>
      </c>
      <c r="AC166" s="12" t="s">
        <v>149</v>
      </c>
      <c r="AD166" s="11" t="str">
        <f t="shared" si="45"/>
        <v>21
34
47</v>
      </c>
      <c r="AE166" s="11" t="str">
        <f t="shared" si="46"/>
        <v>16
12
17</v>
      </c>
      <c r="AF166" s="11"/>
      <c r="AG166" s="11"/>
      <c r="AH166" s="8">
        <f t="shared" si="47"/>
        <v>24.57</v>
      </c>
      <c r="AI166" s="8">
        <f t="shared" si="48"/>
        <v>14.84</v>
      </c>
      <c r="AJ166" s="8">
        <f t="shared" si="49"/>
        <v>8.9499999999999993</v>
      </c>
      <c r="AK166" s="8"/>
      <c r="AL166" s="8"/>
      <c r="AM166" s="8">
        <f t="shared" si="50"/>
        <v>0</v>
      </c>
      <c r="AN166" s="8">
        <f t="shared" si="51"/>
        <v>49.64</v>
      </c>
    </row>
    <row r="167" spans="1:40" ht="48" customHeight="1" x14ac:dyDescent="0.2">
      <c r="A167" s="8" t="str">
        <f>Elettricità!I167</f>
        <v>IT001E04171009</v>
      </c>
      <c r="B167" s="8" t="str">
        <f>Elettricità!A167</f>
        <v>005085485048.PDF</v>
      </c>
      <c r="C167" s="9">
        <f>Elettricità!E167</f>
        <v>45604</v>
      </c>
      <c r="D167" s="9">
        <f>Elettricità!K167</f>
        <v>45566</v>
      </c>
      <c r="E167" s="9">
        <f>Elettricità!L167</f>
        <v>45596</v>
      </c>
      <c r="F167" s="8">
        <f>Elettricità!M167</f>
        <v>113</v>
      </c>
      <c r="G167" s="8">
        <f>Elettricità!N167</f>
        <v>25</v>
      </c>
      <c r="H167" s="8">
        <f>Elettricità!O167</f>
        <v>41</v>
      </c>
      <c r="I167" s="8">
        <f>Elettricità!P167</f>
        <v>47</v>
      </c>
      <c r="J167" s="8">
        <f>Elettricità!Q167</f>
        <v>43</v>
      </c>
      <c r="K167" s="8">
        <f>Elettricità!R167</f>
        <v>17</v>
      </c>
      <c r="L167" s="8">
        <f>Elettricità!S167</f>
        <v>12</v>
      </c>
      <c r="M167" s="8">
        <f>Elettricità!T167</f>
        <v>14</v>
      </c>
      <c r="N167" s="8">
        <f>Elettricità!W167</f>
        <v>43.36</v>
      </c>
      <c r="O167" s="8">
        <f>Elettricità!X167</f>
        <v>52.9</v>
      </c>
      <c r="P167" s="8">
        <f>Elettricità!Y167</f>
        <v>0</v>
      </c>
      <c r="Q167" s="8">
        <f>Elettricità!Z167</f>
        <v>16.71</v>
      </c>
      <c r="R167" s="8">
        <f>Elettricità!AA167</f>
        <v>11.18</v>
      </c>
      <c r="S167" s="8">
        <f>Elettricità!AB167</f>
        <v>14.06</v>
      </c>
      <c r="T167" s="8">
        <f>Elettricità!AC167</f>
        <v>0</v>
      </c>
      <c r="U167" s="8">
        <f>Elettricità!AD167</f>
        <v>9.5399999999999991</v>
      </c>
      <c r="V167" s="8">
        <f t="shared" si="39"/>
        <v>2024</v>
      </c>
      <c r="W167" s="8">
        <f>_xlfn.XLOOKUP(A167,Fabbricati!E:E,Fabbricati!D:D)</f>
        <v>382913337</v>
      </c>
      <c r="X167" s="9">
        <f t="shared" si="40"/>
        <v>45604</v>
      </c>
      <c r="Y167" s="9">
        <f t="shared" si="41"/>
        <v>45566</v>
      </c>
      <c r="Z167" s="9">
        <f t="shared" si="42"/>
        <v>45596</v>
      </c>
      <c r="AA167" s="8">
        <f t="shared" si="43"/>
        <v>31</v>
      </c>
      <c r="AB167" s="8">
        <f t="shared" si="44"/>
        <v>113</v>
      </c>
      <c r="AC167" s="12" t="s">
        <v>149</v>
      </c>
      <c r="AD167" s="11" t="str">
        <f t="shared" si="45"/>
        <v>25
41
47</v>
      </c>
      <c r="AE167" s="11" t="str">
        <f t="shared" si="46"/>
        <v>17
12
14</v>
      </c>
      <c r="AF167" s="11"/>
      <c r="AG167" s="11"/>
      <c r="AH167" s="8">
        <f t="shared" si="47"/>
        <v>25.240000000000002</v>
      </c>
      <c r="AI167" s="8">
        <f t="shared" si="48"/>
        <v>16.71</v>
      </c>
      <c r="AJ167" s="8">
        <f t="shared" si="49"/>
        <v>9.5399999999999991</v>
      </c>
      <c r="AK167" s="8"/>
      <c r="AL167" s="8"/>
      <c r="AM167" s="8">
        <f t="shared" si="50"/>
        <v>0</v>
      </c>
      <c r="AN167" s="8">
        <f t="shared" si="51"/>
        <v>52.9</v>
      </c>
    </row>
    <row r="168" spans="1:40" ht="48" customHeight="1" x14ac:dyDescent="0.2">
      <c r="A168" s="8" t="str">
        <f>Elettricità!I168</f>
        <v>IT001E04171009</v>
      </c>
      <c r="B168" s="8" t="str">
        <f>Elettricità!A168</f>
        <v>005093369282(1).PDF</v>
      </c>
      <c r="C168" s="9">
        <f>Elettricità!E168</f>
        <v>45632</v>
      </c>
      <c r="D168" s="9">
        <f>Elettricità!K168</f>
        <v>45597</v>
      </c>
      <c r="E168" s="9">
        <f>Elettricità!L168</f>
        <v>45626</v>
      </c>
      <c r="F168" s="8">
        <f>Elettricità!M168</f>
        <v>172</v>
      </c>
      <c r="G168" s="8">
        <f>Elettricità!N168</f>
        <v>44</v>
      </c>
      <c r="H168" s="8">
        <f>Elettricità!O168</f>
        <v>56</v>
      </c>
      <c r="I168" s="8">
        <f>Elettricità!P168</f>
        <v>72</v>
      </c>
      <c r="J168" s="8">
        <f>Elettricità!Q168</f>
        <v>56</v>
      </c>
      <c r="K168" s="8">
        <f>Elettricità!R168</f>
        <v>19</v>
      </c>
      <c r="L168" s="8">
        <f>Elettricità!S168</f>
        <v>16</v>
      </c>
      <c r="M168" s="8">
        <f>Elettricità!T168</f>
        <v>21</v>
      </c>
      <c r="N168" s="8">
        <f>Elettricità!W168</f>
        <v>58.91</v>
      </c>
      <c r="O168" s="8">
        <f>Elettricità!X168</f>
        <v>71.87</v>
      </c>
      <c r="P168" s="8">
        <f>Elettricità!Y168</f>
        <v>0</v>
      </c>
      <c r="Q168" s="8">
        <f>Elettricità!Z168</f>
        <v>27.92</v>
      </c>
      <c r="R168" s="8">
        <f>Elettricità!AA168</f>
        <v>11.94</v>
      </c>
      <c r="S168" s="8">
        <f>Elettricità!AB168</f>
        <v>16.899999999999999</v>
      </c>
      <c r="T168" s="8">
        <f>Elettricità!AC168</f>
        <v>0</v>
      </c>
      <c r="U168" s="8">
        <f>Elettricità!AD168</f>
        <v>12.96</v>
      </c>
      <c r="V168" s="8">
        <f t="shared" si="39"/>
        <v>2024</v>
      </c>
      <c r="W168" s="8">
        <f>_xlfn.XLOOKUP(A168,Fabbricati!E:E,Fabbricati!D:D)</f>
        <v>382913337</v>
      </c>
      <c r="X168" s="9">
        <f t="shared" si="40"/>
        <v>45632</v>
      </c>
      <c r="Y168" s="9">
        <f t="shared" si="41"/>
        <v>45597</v>
      </c>
      <c r="Z168" s="9">
        <f t="shared" si="42"/>
        <v>45626</v>
      </c>
      <c r="AA168" s="8">
        <f t="shared" si="43"/>
        <v>30</v>
      </c>
      <c r="AB168" s="8">
        <f t="shared" si="44"/>
        <v>172</v>
      </c>
      <c r="AC168" s="12" t="s">
        <v>149</v>
      </c>
      <c r="AD168" s="11" t="str">
        <f t="shared" si="45"/>
        <v>44
56
72</v>
      </c>
      <c r="AE168" s="11" t="str">
        <f t="shared" si="46"/>
        <v>19
16
21</v>
      </c>
      <c r="AF168" s="11"/>
      <c r="AG168" s="11"/>
      <c r="AH168" s="8">
        <f t="shared" si="47"/>
        <v>28.839999999999996</v>
      </c>
      <c r="AI168" s="8">
        <f t="shared" si="48"/>
        <v>27.92</v>
      </c>
      <c r="AJ168" s="8">
        <f t="shared" si="49"/>
        <v>12.96</v>
      </c>
      <c r="AK168" s="8"/>
      <c r="AL168" s="8"/>
      <c r="AM168" s="8">
        <f t="shared" si="50"/>
        <v>0</v>
      </c>
      <c r="AN168" s="8">
        <f t="shared" si="51"/>
        <v>71.87</v>
      </c>
    </row>
    <row r="169" spans="1:40" ht="48" customHeight="1" x14ac:dyDescent="0.2">
      <c r="A169" s="8" t="str">
        <f>Elettricità!I169</f>
        <v>IT001E04171009</v>
      </c>
      <c r="B169" s="8" t="str">
        <f>Elettricità!A169</f>
        <v>005200218695.PDF</v>
      </c>
      <c r="C169" s="9">
        <f>Elettricità!E169</f>
        <v>45665</v>
      </c>
      <c r="D169" s="9">
        <f>Elettricità!K169</f>
        <v>45627</v>
      </c>
      <c r="E169" s="9">
        <f>Elettricità!L169</f>
        <v>45657</v>
      </c>
      <c r="F169" s="8">
        <f>Elettricità!M169</f>
        <v>181</v>
      </c>
      <c r="G169" s="8">
        <f>Elettricità!N169</f>
        <v>45</v>
      </c>
      <c r="H169" s="8">
        <f>Elettricità!O169</f>
        <v>48</v>
      </c>
      <c r="I169" s="8">
        <f>Elettricità!P169</f>
        <v>88</v>
      </c>
      <c r="J169" s="8">
        <f>Elettricità!Q169</f>
        <v>57</v>
      </c>
      <c r="K169" s="8">
        <f>Elettricità!R169</f>
        <v>17</v>
      </c>
      <c r="L169" s="8">
        <f>Elettricità!S169</f>
        <v>14</v>
      </c>
      <c r="M169" s="8">
        <f>Elettricità!T169</f>
        <v>26</v>
      </c>
      <c r="N169" s="8">
        <f>Elettricità!W169</f>
        <v>62.81</v>
      </c>
      <c r="O169" s="8">
        <f>Elettricità!X169</f>
        <v>76.63</v>
      </c>
      <c r="P169" s="8">
        <f>Elettricità!Y169</f>
        <v>0</v>
      </c>
      <c r="Q169" s="8">
        <f>Elettricità!Z169</f>
        <v>31.15</v>
      </c>
      <c r="R169" s="8">
        <f>Elettricità!AA169</f>
        <v>12.06</v>
      </c>
      <c r="S169" s="8">
        <f>Elettricità!AB169</f>
        <v>17.34</v>
      </c>
      <c r="T169" s="8">
        <f>Elettricità!AC169</f>
        <v>0</v>
      </c>
      <c r="U169" s="8">
        <f>Elettricità!AD169</f>
        <v>13.82</v>
      </c>
      <c r="V169" s="8">
        <f t="shared" si="39"/>
        <v>2024</v>
      </c>
      <c r="W169" s="8">
        <f>_xlfn.XLOOKUP(A169,Fabbricati!E:E,Fabbricati!D:D)</f>
        <v>382913337</v>
      </c>
      <c r="X169" s="9">
        <f t="shared" si="40"/>
        <v>45665</v>
      </c>
      <c r="Y169" s="9">
        <f t="shared" si="41"/>
        <v>45627</v>
      </c>
      <c r="Z169" s="9">
        <f t="shared" si="42"/>
        <v>45657</v>
      </c>
      <c r="AA169" s="8">
        <f t="shared" si="43"/>
        <v>31</v>
      </c>
      <c r="AB169" s="8">
        <f t="shared" si="44"/>
        <v>181</v>
      </c>
      <c r="AC169" s="12" t="s">
        <v>149</v>
      </c>
      <c r="AD169" s="11" t="str">
        <f t="shared" si="45"/>
        <v>45
48
88</v>
      </c>
      <c r="AE169" s="11" t="str">
        <f t="shared" si="46"/>
        <v>17
14
26</v>
      </c>
      <c r="AF169" s="11"/>
      <c r="AG169" s="11"/>
      <c r="AH169" s="8">
        <f t="shared" si="47"/>
        <v>29.4</v>
      </c>
      <c r="AI169" s="8">
        <f t="shared" si="48"/>
        <v>31.15</v>
      </c>
      <c r="AJ169" s="8">
        <f t="shared" si="49"/>
        <v>13.82</v>
      </c>
      <c r="AK169" s="8"/>
      <c r="AL169" s="8"/>
      <c r="AM169" s="8">
        <f t="shared" si="50"/>
        <v>0</v>
      </c>
      <c r="AN169" s="8">
        <f t="shared" si="51"/>
        <v>76.63</v>
      </c>
    </row>
    <row r="170" spans="1:40" ht="48" customHeight="1" x14ac:dyDescent="0.2">
      <c r="A170" s="8" t="str">
        <f>Elettricità!I170</f>
        <v>IT001E04171021</v>
      </c>
      <c r="B170" s="8" t="str">
        <f>Elettricità!A170</f>
        <v>824500045373_2024_d.pdf</v>
      </c>
      <c r="C170" s="9">
        <f>Elettricità!E170</f>
        <v>45350</v>
      </c>
      <c r="D170" s="9">
        <f>Elettricità!K170</f>
        <v>45292</v>
      </c>
      <c r="E170" s="9">
        <f>Elettricità!L170</f>
        <v>45322</v>
      </c>
      <c r="F170" s="8">
        <f>Elettricità!M170</f>
        <v>162</v>
      </c>
      <c r="G170" s="8">
        <f>Elettricità!N170</f>
        <v>57</v>
      </c>
      <c r="H170" s="8">
        <f>Elettricità!O170</f>
        <v>48</v>
      </c>
      <c r="I170" s="8">
        <f>Elettricità!P170</f>
        <v>57</v>
      </c>
      <c r="J170" s="8">
        <f>Elettricità!Q170</f>
        <v>40</v>
      </c>
      <c r="K170" s="8">
        <f>Elettricità!R170</f>
        <v>11</v>
      </c>
      <c r="L170" s="8">
        <f>Elettricità!S170</f>
        <v>10</v>
      </c>
      <c r="M170" s="8">
        <f>Elettricità!T170</f>
        <v>19</v>
      </c>
      <c r="N170" s="8">
        <f>Elettricità!W170</f>
        <v>54.29</v>
      </c>
      <c r="O170" s="8">
        <f>Elettricità!X170</f>
        <v>66.23</v>
      </c>
      <c r="P170" s="8">
        <f>Elettricità!Y170</f>
        <v>0</v>
      </c>
      <c r="Q170" s="8">
        <f>Elettricità!Z170</f>
        <v>25.54</v>
      </c>
      <c r="R170" s="8">
        <f>Elettricità!AA170</f>
        <v>11.81</v>
      </c>
      <c r="S170" s="8">
        <f>Elettricità!AB170</f>
        <v>14.1</v>
      </c>
      <c r="T170" s="8">
        <f>Elettricità!AC170</f>
        <v>0.81</v>
      </c>
      <c r="U170" s="8">
        <f>Elettricità!AD170</f>
        <v>2.0299999999999998</v>
      </c>
      <c r="V170" s="8">
        <f t="shared" si="39"/>
        <v>2024</v>
      </c>
      <c r="W170" s="8">
        <f>_xlfn.XLOOKUP(A170,Fabbricati!E:E,Fabbricati!D:D)</f>
        <v>382911814</v>
      </c>
      <c r="X170" s="9">
        <f t="shared" si="40"/>
        <v>45350</v>
      </c>
      <c r="Y170" s="9">
        <f t="shared" si="41"/>
        <v>45292</v>
      </c>
      <c r="Z170" s="9">
        <f t="shared" si="42"/>
        <v>45322</v>
      </c>
      <c r="AA170" s="8">
        <f t="shared" si="43"/>
        <v>31</v>
      </c>
      <c r="AB170" s="8">
        <f t="shared" si="44"/>
        <v>162</v>
      </c>
      <c r="AC170" s="12" t="s">
        <v>149</v>
      </c>
      <c r="AD170" s="11" t="str">
        <f t="shared" si="45"/>
        <v>57
48
57</v>
      </c>
      <c r="AE170" s="11" t="str">
        <f t="shared" si="46"/>
        <v>11
10
19</v>
      </c>
      <c r="AF170" s="11"/>
      <c r="AG170" s="11"/>
      <c r="AH170" s="8">
        <f t="shared" si="47"/>
        <v>25.91</v>
      </c>
      <c r="AI170" s="8">
        <f t="shared" si="48"/>
        <v>25.54</v>
      </c>
      <c r="AJ170" s="8">
        <f t="shared" si="49"/>
        <v>2.0299999999999998</v>
      </c>
      <c r="AK170" s="8"/>
      <c r="AL170" s="8"/>
      <c r="AM170" s="8">
        <f t="shared" si="50"/>
        <v>0.81</v>
      </c>
      <c r="AN170" s="8">
        <f t="shared" si="51"/>
        <v>66.23</v>
      </c>
    </row>
    <row r="171" spans="1:40" ht="48" customHeight="1" x14ac:dyDescent="0.2">
      <c r="A171" s="8" t="str">
        <f>Elettricità!I171</f>
        <v>IT001E04171021</v>
      </c>
      <c r="B171" s="8" t="str">
        <f>Elettricità!A171</f>
        <v>005018359668.pdf</v>
      </c>
      <c r="C171" s="9">
        <f>Elettricità!E171</f>
        <v>45358</v>
      </c>
      <c r="D171" s="9">
        <f>Elettricità!K171</f>
        <v>45323</v>
      </c>
      <c r="E171" s="9">
        <f>Elettricità!L171</f>
        <v>45351</v>
      </c>
      <c r="F171" s="8">
        <f>Elettricità!M171</f>
        <v>154</v>
      </c>
      <c r="G171" s="8">
        <f>Elettricità!N171</f>
        <v>47</v>
      </c>
      <c r="H171" s="8">
        <f>Elettricità!O171</f>
        <v>52</v>
      </c>
      <c r="I171" s="8">
        <f>Elettricità!P171</f>
        <v>55</v>
      </c>
      <c r="J171" s="8">
        <f>Elettricità!Q171</f>
        <v>38</v>
      </c>
      <c r="K171" s="8">
        <f>Elettricità!R171</f>
        <v>10</v>
      </c>
      <c r="L171" s="8">
        <f>Elettricità!S171</f>
        <v>11</v>
      </c>
      <c r="M171" s="8">
        <f>Elettricità!T171</f>
        <v>17</v>
      </c>
      <c r="N171" s="8">
        <f>Elettricità!W171</f>
        <v>46.01</v>
      </c>
      <c r="O171" s="8">
        <f>Elettricità!X171</f>
        <v>56.13</v>
      </c>
      <c r="P171" s="8">
        <f>Elettricità!Y171</f>
        <v>0</v>
      </c>
      <c r="Q171" s="8">
        <f>Elettricità!Z171</f>
        <v>18.59</v>
      </c>
      <c r="R171" s="8">
        <f>Elettricità!AA171</f>
        <v>11.71</v>
      </c>
      <c r="S171" s="8">
        <f>Elettricità!AB171</f>
        <v>13.78</v>
      </c>
      <c r="T171" s="8">
        <f>Elettricità!AC171</f>
        <v>0</v>
      </c>
      <c r="U171" s="8">
        <f>Elettricità!AD171</f>
        <v>10.119999999999999</v>
      </c>
      <c r="V171" s="8">
        <f t="shared" si="39"/>
        <v>2024</v>
      </c>
      <c r="W171" s="8">
        <f>_xlfn.XLOOKUP(A171,Fabbricati!E:E,Fabbricati!D:D)</f>
        <v>382911814</v>
      </c>
      <c r="X171" s="9">
        <f t="shared" si="40"/>
        <v>45358</v>
      </c>
      <c r="Y171" s="9">
        <f t="shared" si="41"/>
        <v>45323</v>
      </c>
      <c r="Z171" s="9">
        <f t="shared" si="42"/>
        <v>45351</v>
      </c>
      <c r="AA171" s="8">
        <f t="shared" si="43"/>
        <v>29</v>
      </c>
      <c r="AB171" s="8">
        <f t="shared" si="44"/>
        <v>154</v>
      </c>
      <c r="AC171" s="12" t="s">
        <v>149</v>
      </c>
      <c r="AD171" s="11" t="str">
        <f t="shared" si="45"/>
        <v>47
52
55</v>
      </c>
      <c r="AE171" s="11" t="str">
        <f t="shared" si="46"/>
        <v>10
11
17</v>
      </c>
      <c r="AF171" s="11"/>
      <c r="AG171" s="11"/>
      <c r="AH171" s="8">
        <f t="shared" si="47"/>
        <v>25.490000000000002</v>
      </c>
      <c r="AI171" s="8">
        <f t="shared" si="48"/>
        <v>18.59</v>
      </c>
      <c r="AJ171" s="8">
        <f t="shared" si="49"/>
        <v>10.119999999999999</v>
      </c>
      <c r="AK171" s="8"/>
      <c r="AL171" s="8"/>
      <c r="AM171" s="8">
        <f t="shared" si="50"/>
        <v>0</v>
      </c>
      <c r="AN171" s="8">
        <f t="shared" si="51"/>
        <v>56.13</v>
      </c>
    </row>
    <row r="172" spans="1:40" ht="48" customHeight="1" x14ac:dyDescent="0.2">
      <c r="A172" s="8" t="str">
        <f>Elettricità!I172</f>
        <v>IT001E04171021</v>
      </c>
      <c r="B172" s="8" t="str">
        <f>Elettricità!A172</f>
        <v>005026659956.pdf</v>
      </c>
      <c r="C172" s="9">
        <f>Elettricità!E172</f>
        <v>45390</v>
      </c>
      <c r="D172" s="9">
        <f>Elettricità!K172</f>
        <v>45352</v>
      </c>
      <c r="E172" s="9">
        <f>Elettricità!L172</f>
        <v>45382</v>
      </c>
      <c r="F172" s="8">
        <f>Elettricità!M172</f>
        <v>120</v>
      </c>
      <c r="G172" s="8">
        <f>Elettricità!N172</f>
        <v>25</v>
      </c>
      <c r="H172" s="8">
        <f>Elettricità!O172</f>
        <v>33</v>
      </c>
      <c r="I172" s="8">
        <f>Elettricità!P172</f>
        <v>62</v>
      </c>
      <c r="J172" s="8">
        <f>Elettricità!Q172</f>
        <v>38</v>
      </c>
      <c r="K172" s="8">
        <f>Elettricità!R172</f>
        <v>9</v>
      </c>
      <c r="L172" s="8">
        <f>Elettricità!S172</f>
        <v>10</v>
      </c>
      <c r="M172" s="8">
        <f>Elettricità!T172</f>
        <v>19</v>
      </c>
      <c r="N172" s="8">
        <f>Elettricità!W172</f>
        <v>38.9</v>
      </c>
      <c r="O172" s="8">
        <f>Elettricità!X172</f>
        <v>47.46</v>
      </c>
      <c r="P172" s="8">
        <f>Elettricità!Y172</f>
        <v>0</v>
      </c>
      <c r="Q172" s="8">
        <f>Elettricità!Z172</f>
        <v>13.76</v>
      </c>
      <c r="R172" s="8">
        <f>Elettricità!AA172</f>
        <v>11.28</v>
      </c>
      <c r="S172" s="8">
        <f>Elettricità!AB172</f>
        <v>12.36</v>
      </c>
      <c r="T172" s="8">
        <f>Elettricità!AC172</f>
        <v>0</v>
      </c>
      <c r="U172" s="8">
        <f>Elettricità!AD172</f>
        <v>8.56</v>
      </c>
      <c r="V172" s="8">
        <f t="shared" si="39"/>
        <v>2024</v>
      </c>
      <c r="W172" s="8">
        <f>_xlfn.XLOOKUP(A172,Fabbricati!E:E,Fabbricati!D:D)</f>
        <v>382911814</v>
      </c>
      <c r="X172" s="9">
        <f t="shared" si="40"/>
        <v>45390</v>
      </c>
      <c r="Y172" s="9">
        <f t="shared" si="41"/>
        <v>45352</v>
      </c>
      <c r="Z172" s="9">
        <f t="shared" si="42"/>
        <v>45382</v>
      </c>
      <c r="AA172" s="8">
        <f t="shared" si="43"/>
        <v>31</v>
      </c>
      <c r="AB172" s="8">
        <f t="shared" si="44"/>
        <v>120</v>
      </c>
      <c r="AC172" s="12" t="s">
        <v>149</v>
      </c>
      <c r="AD172" s="11" t="str">
        <f t="shared" si="45"/>
        <v>25
33
62</v>
      </c>
      <c r="AE172" s="11" t="str">
        <f t="shared" si="46"/>
        <v>9
10
19</v>
      </c>
      <c r="AF172" s="11"/>
      <c r="AG172" s="11"/>
      <c r="AH172" s="8">
        <f t="shared" si="47"/>
        <v>23.64</v>
      </c>
      <c r="AI172" s="8">
        <f t="shared" si="48"/>
        <v>13.76</v>
      </c>
      <c r="AJ172" s="8">
        <f t="shared" si="49"/>
        <v>8.56</v>
      </c>
      <c r="AK172" s="8"/>
      <c r="AL172" s="8"/>
      <c r="AM172" s="8">
        <f t="shared" si="50"/>
        <v>0</v>
      </c>
      <c r="AN172" s="8">
        <f t="shared" si="51"/>
        <v>47.46</v>
      </c>
    </row>
    <row r="173" spans="1:40" ht="48" customHeight="1" x14ac:dyDescent="0.2">
      <c r="A173" s="8" t="str">
        <f>Elettricità!I173</f>
        <v>IT001E04171021</v>
      </c>
      <c r="B173" s="8" t="str">
        <f>Elettricità!A173</f>
        <v>005034930223.PDF</v>
      </c>
      <c r="C173" s="9">
        <f>Elettricità!E173</f>
        <v>45419</v>
      </c>
      <c r="D173" s="9">
        <f>Elettricità!K173</f>
        <v>45383</v>
      </c>
      <c r="E173" s="9">
        <f>Elettricità!L173</f>
        <v>45411</v>
      </c>
      <c r="F173" s="8">
        <f>Elettricità!M173</f>
        <v>75</v>
      </c>
      <c r="G173" s="8">
        <f>Elettricità!N173</f>
        <v>25</v>
      </c>
      <c r="H173" s="8">
        <f>Elettricità!O173</f>
        <v>17</v>
      </c>
      <c r="I173" s="8">
        <f>Elettricità!P173</f>
        <v>33</v>
      </c>
      <c r="J173" s="8">
        <f>Elettricità!Q173</f>
        <v>29</v>
      </c>
      <c r="K173" s="8">
        <f>Elettricità!R173</f>
        <v>8</v>
      </c>
      <c r="L173" s="8">
        <f>Elettricità!S173</f>
        <v>6</v>
      </c>
      <c r="M173" s="8">
        <f>Elettricità!T173</f>
        <v>15</v>
      </c>
      <c r="N173" s="8">
        <f>Elettricità!W173</f>
        <v>32.31</v>
      </c>
      <c r="O173" s="8">
        <f>Elettricità!X173</f>
        <v>39.42</v>
      </c>
      <c r="P173" s="8">
        <f>Elettricità!Y173</f>
        <v>0</v>
      </c>
      <c r="Q173" s="8">
        <f>Elettricità!Z173</f>
        <v>8.4600000000000009</v>
      </c>
      <c r="R173" s="8">
        <f>Elettricità!AA173</f>
        <v>10.69</v>
      </c>
      <c r="S173" s="8">
        <f>Elettricità!AB173</f>
        <v>12.22</v>
      </c>
      <c r="T173" s="8">
        <f>Elettricità!AC173</f>
        <v>0</v>
      </c>
      <c r="U173" s="8">
        <f>Elettricità!AD173</f>
        <v>7.11</v>
      </c>
      <c r="V173" s="8">
        <f t="shared" si="39"/>
        <v>2024</v>
      </c>
      <c r="W173" s="8">
        <f>_xlfn.XLOOKUP(A173,Fabbricati!E:E,Fabbricati!D:D)</f>
        <v>382911814</v>
      </c>
      <c r="X173" s="9">
        <f t="shared" si="40"/>
        <v>45419</v>
      </c>
      <c r="Y173" s="9">
        <f t="shared" si="41"/>
        <v>45383</v>
      </c>
      <c r="Z173" s="9">
        <f t="shared" si="42"/>
        <v>45411</v>
      </c>
      <c r="AA173" s="8">
        <f t="shared" si="43"/>
        <v>29</v>
      </c>
      <c r="AB173" s="8">
        <f t="shared" si="44"/>
        <v>75</v>
      </c>
      <c r="AC173" s="12" t="s">
        <v>149</v>
      </c>
      <c r="AD173" s="11" t="str">
        <f t="shared" si="45"/>
        <v>25
17
33</v>
      </c>
      <c r="AE173" s="11" t="str">
        <f t="shared" si="46"/>
        <v>8
6
15</v>
      </c>
      <c r="AF173" s="11"/>
      <c r="AG173" s="11"/>
      <c r="AH173" s="8">
        <f t="shared" si="47"/>
        <v>22.91</v>
      </c>
      <c r="AI173" s="8">
        <f t="shared" si="48"/>
        <v>8.4600000000000009</v>
      </c>
      <c r="AJ173" s="8">
        <f t="shared" si="49"/>
        <v>7.11</v>
      </c>
      <c r="AK173" s="8"/>
      <c r="AL173" s="8"/>
      <c r="AM173" s="8">
        <f t="shared" si="50"/>
        <v>0</v>
      </c>
      <c r="AN173" s="8">
        <f t="shared" si="51"/>
        <v>39.42</v>
      </c>
    </row>
    <row r="174" spans="1:40" ht="48" customHeight="1" x14ac:dyDescent="0.2">
      <c r="A174" s="8" t="str">
        <f>Elettricità!I174</f>
        <v>IT001E04171021</v>
      </c>
      <c r="B174" s="8" t="str">
        <f>Elettricità!A174</f>
        <v>005043663087.PDF</v>
      </c>
      <c r="C174" s="9">
        <f>Elettricità!E174</f>
        <v>45449</v>
      </c>
      <c r="D174" s="9">
        <f>Elettricità!K174</f>
        <v>45413</v>
      </c>
      <c r="E174" s="9">
        <f>Elettricità!L174</f>
        <v>45443</v>
      </c>
      <c r="F174" s="8">
        <f>Elettricità!M174</f>
        <v>91</v>
      </c>
      <c r="G174" s="8">
        <f>Elettricità!N174</f>
        <v>25</v>
      </c>
      <c r="H174" s="8">
        <f>Elettricità!O174</f>
        <v>18</v>
      </c>
      <c r="I174" s="8">
        <f>Elettricità!P174</f>
        <v>48</v>
      </c>
      <c r="J174" s="8">
        <f>Elettricità!Q174</f>
        <v>20</v>
      </c>
      <c r="K174" s="8">
        <f>Elettricità!R174</f>
        <v>8</v>
      </c>
      <c r="L174" s="8">
        <f>Elettricità!S174</f>
        <v>5</v>
      </c>
      <c r="M174" s="8">
        <f>Elettricità!T174</f>
        <v>7</v>
      </c>
      <c r="N174" s="8">
        <f>Elettricità!W174</f>
        <v>36</v>
      </c>
      <c r="O174" s="8">
        <f>Elettricità!X174</f>
        <v>43.92</v>
      </c>
      <c r="P174" s="8">
        <f>Elettricità!Y174</f>
        <v>0</v>
      </c>
      <c r="Q174" s="8">
        <f>Elettricità!Z174</f>
        <v>10.96</v>
      </c>
      <c r="R174" s="8">
        <f>Elettricità!AA174</f>
        <v>10.9</v>
      </c>
      <c r="S174" s="8">
        <f>Elettricità!AB174</f>
        <v>13</v>
      </c>
      <c r="T174" s="8">
        <f>Elettricità!AC174</f>
        <v>0</v>
      </c>
      <c r="U174" s="8">
        <f>Elettricità!AD174</f>
        <v>7.92</v>
      </c>
      <c r="V174" s="8">
        <f t="shared" si="39"/>
        <v>2024</v>
      </c>
      <c r="W174" s="8">
        <f>_xlfn.XLOOKUP(A174,Fabbricati!E:E,Fabbricati!D:D)</f>
        <v>382911814</v>
      </c>
      <c r="X174" s="9">
        <f t="shared" si="40"/>
        <v>45449</v>
      </c>
      <c r="Y174" s="9">
        <f t="shared" si="41"/>
        <v>45413</v>
      </c>
      <c r="Z174" s="9">
        <f t="shared" si="42"/>
        <v>45443</v>
      </c>
      <c r="AA174" s="8">
        <f t="shared" si="43"/>
        <v>31</v>
      </c>
      <c r="AB174" s="8">
        <f t="shared" si="44"/>
        <v>91</v>
      </c>
      <c r="AC174" s="12" t="s">
        <v>149</v>
      </c>
      <c r="AD174" s="11" t="str">
        <f t="shared" si="45"/>
        <v>25
18
48</v>
      </c>
      <c r="AE174" s="11" t="str">
        <f t="shared" si="46"/>
        <v>8
5
7</v>
      </c>
      <c r="AF174" s="11"/>
      <c r="AG174" s="11"/>
      <c r="AH174" s="8">
        <f t="shared" si="47"/>
        <v>23.9</v>
      </c>
      <c r="AI174" s="8">
        <f t="shared" si="48"/>
        <v>10.96</v>
      </c>
      <c r="AJ174" s="8">
        <f t="shared" si="49"/>
        <v>7.92</v>
      </c>
      <c r="AK174" s="8"/>
      <c r="AL174" s="8"/>
      <c r="AM174" s="8">
        <f t="shared" si="50"/>
        <v>0</v>
      </c>
      <c r="AN174" s="8">
        <f t="shared" si="51"/>
        <v>43.92</v>
      </c>
    </row>
    <row r="175" spans="1:40" ht="48" customHeight="1" x14ac:dyDescent="0.2">
      <c r="A175" s="8" t="str">
        <f>Elettricità!I175</f>
        <v>IT001E04171021</v>
      </c>
      <c r="B175" s="8" t="str">
        <f>Elettricità!A175</f>
        <v>005052747135(1).PDF</v>
      </c>
      <c r="C175" s="9">
        <f>Elettricità!E175</f>
        <v>45481</v>
      </c>
      <c r="D175" s="9">
        <f>Elettricità!K175</f>
        <v>45444</v>
      </c>
      <c r="E175" s="9">
        <f>Elettricità!L175</f>
        <v>45473</v>
      </c>
      <c r="F175" s="8">
        <f>Elettricità!M175</f>
        <v>73</v>
      </c>
      <c r="G175" s="8">
        <f>Elettricità!N175</f>
        <v>29</v>
      </c>
      <c r="H175" s="8">
        <f>Elettricità!O175</f>
        <v>16</v>
      </c>
      <c r="I175" s="8">
        <f>Elettricità!P175</f>
        <v>28</v>
      </c>
      <c r="J175" s="8">
        <f>Elettricità!Q175</f>
        <v>15</v>
      </c>
      <c r="K175" s="8">
        <f>Elettricità!R175</f>
        <v>6</v>
      </c>
      <c r="L175" s="8">
        <f>Elettricità!S175</f>
        <v>4</v>
      </c>
      <c r="M175" s="8">
        <f>Elettricità!T175</f>
        <v>5</v>
      </c>
      <c r="N175" s="8">
        <f>Elettricità!W175</f>
        <v>33.54</v>
      </c>
      <c r="O175" s="8">
        <f>Elettricità!X175</f>
        <v>40.92</v>
      </c>
      <c r="P175" s="8">
        <f>Elettricità!Y175</f>
        <v>0</v>
      </c>
      <c r="Q175" s="8">
        <f>Elettricità!Z175</f>
        <v>9.83</v>
      </c>
      <c r="R175" s="8">
        <f>Elettricità!AA175</f>
        <v>10.67</v>
      </c>
      <c r="S175" s="8">
        <f>Elettricità!AB175</f>
        <v>12.13</v>
      </c>
      <c r="T175" s="8">
        <f>Elettricità!AC175</f>
        <v>0</v>
      </c>
      <c r="U175" s="8">
        <f>Elettricità!AD175</f>
        <v>7.38</v>
      </c>
      <c r="V175" s="8">
        <f t="shared" si="39"/>
        <v>2024</v>
      </c>
      <c r="W175" s="8">
        <f>_xlfn.XLOOKUP(A175,Fabbricati!E:E,Fabbricati!D:D)</f>
        <v>382911814</v>
      </c>
      <c r="X175" s="9">
        <f t="shared" si="40"/>
        <v>45481</v>
      </c>
      <c r="Y175" s="9">
        <f t="shared" si="41"/>
        <v>45444</v>
      </c>
      <c r="Z175" s="9">
        <f t="shared" si="42"/>
        <v>45473</v>
      </c>
      <c r="AA175" s="8">
        <f t="shared" si="43"/>
        <v>30</v>
      </c>
      <c r="AB175" s="8">
        <f t="shared" si="44"/>
        <v>73</v>
      </c>
      <c r="AC175" s="12" t="s">
        <v>149</v>
      </c>
      <c r="AD175" s="11" t="str">
        <f t="shared" si="45"/>
        <v>29
16
28</v>
      </c>
      <c r="AE175" s="11" t="str">
        <f t="shared" si="46"/>
        <v>6
4
5</v>
      </c>
      <c r="AF175" s="11"/>
      <c r="AG175" s="11"/>
      <c r="AH175" s="8">
        <f t="shared" si="47"/>
        <v>22.8</v>
      </c>
      <c r="AI175" s="8">
        <f t="shared" si="48"/>
        <v>9.83</v>
      </c>
      <c r="AJ175" s="8">
        <f t="shared" si="49"/>
        <v>7.38</v>
      </c>
      <c r="AK175" s="8"/>
      <c r="AL175" s="8"/>
      <c r="AM175" s="8">
        <f t="shared" si="50"/>
        <v>0</v>
      </c>
      <c r="AN175" s="8">
        <f t="shared" si="51"/>
        <v>40.92</v>
      </c>
    </row>
    <row r="176" spans="1:40" ht="48" customHeight="1" x14ac:dyDescent="0.2">
      <c r="A176" s="8" t="str">
        <f>Elettricità!I176</f>
        <v>IT001E04171021</v>
      </c>
      <c r="B176" s="8" t="str">
        <f>Elettricità!A176</f>
        <v>005059958067(2).PDF</v>
      </c>
      <c r="C176" s="9">
        <f>Elettricità!E176</f>
        <v>45511</v>
      </c>
      <c r="D176" s="9">
        <f>Elettricità!K176</f>
        <v>45474</v>
      </c>
      <c r="E176" s="9">
        <f>Elettricità!L176</f>
        <v>45504</v>
      </c>
      <c r="F176" s="8">
        <f>Elettricità!M176</f>
        <v>62</v>
      </c>
      <c r="G176" s="8">
        <f>Elettricità!N176</f>
        <v>21</v>
      </c>
      <c r="H176" s="8">
        <f>Elettricità!O176</f>
        <v>15</v>
      </c>
      <c r="I176" s="8">
        <f>Elettricità!P176</f>
        <v>26</v>
      </c>
      <c r="J176" s="8">
        <f>Elettricità!Q176</f>
        <v>14</v>
      </c>
      <c r="K176" s="8">
        <f>Elettricità!R176</f>
        <v>7</v>
      </c>
      <c r="L176" s="8">
        <f>Elettricità!S176</f>
        <v>4</v>
      </c>
      <c r="M176" s="8">
        <f>Elettricità!T176</f>
        <v>3</v>
      </c>
      <c r="N176" s="8">
        <f>Elettricità!W176</f>
        <v>32.56</v>
      </c>
      <c r="O176" s="8">
        <f>Elettricità!X176</f>
        <v>39.72</v>
      </c>
      <c r="P176" s="8">
        <f>Elettricità!Y176</f>
        <v>0</v>
      </c>
      <c r="Q176" s="8">
        <f>Elettricità!Z176</f>
        <v>9.65</v>
      </c>
      <c r="R176" s="8">
        <f>Elettricità!AA176</f>
        <v>10.53</v>
      </c>
      <c r="S176" s="8">
        <f>Elettricità!AB176</f>
        <v>11.6</v>
      </c>
      <c r="T176" s="8">
        <f>Elettricità!AC176</f>
        <v>0</v>
      </c>
      <c r="U176" s="8">
        <f>Elettricità!AD176</f>
        <v>7.16</v>
      </c>
      <c r="V176" s="8">
        <f t="shared" si="39"/>
        <v>2024</v>
      </c>
      <c r="W176" s="8">
        <f>_xlfn.XLOOKUP(A176,Fabbricati!E:E,Fabbricati!D:D)</f>
        <v>382911814</v>
      </c>
      <c r="X176" s="9">
        <f t="shared" si="40"/>
        <v>45511</v>
      </c>
      <c r="Y176" s="9">
        <f t="shared" si="41"/>
        <v>45474</v>
      </c>
      <c r="Z176" s="9">
        <f t="shared" si="42"/>
        <v>45504</v>
      </c>
      <c r="AA176" s="8">
        <f t="shared" si="43"/>
        <v>31</v>
      </c>
      <c r="AB176" s="8">
        <f t="shared" si="44"/>
        <v>62</v>
      </c>
      <c r="AC176" s="12" t="s">
        <v>149</v>
      </c>
      <c r="AD176" s="11" t="str">
        <f t="shared" si="45"/>
        <v>21
15
26</v>
      </c>
      <c r="AE176" s="11" t="str">
        <f t="shared" si="46"/>
        <v>7
4
3</v>
      </c>
      <c r="AF176" s="11"/>
      <c r="AG176" s="11"/>
      <c r="AH176" s="8">
        <f t="shared" si="47"/>
        <v>22.13</v>
      </c>
      <c r="AI176" s="8">
        <f t="shared" si="48"/>
        <v>9.65</v>
      </c>
      <c r="AJ176" s="8">
        <f t="shared" si="49"/>
        <v>7.16</v>
      </c>
      <c r="AK176" s="8"/>
      <c r="AL176" s="8"/>
      <c r="AM176" s="8">
        <f t="shared" si="50"/>
        <v>0</v>
      </c>
      <c r="AN176" s="8">
        <f t="shared" si="51"/>
        <v>39.72</v>
      </c>
    </row>
    <row r="177" spans="1:40" ht="48" customHeight="1" x14ac:dyDescent="0.2">
      <c r="A177" s="8" t="str">
        <f>Elettricità!I177</f>
        <v>IT001E04171021</v>
      </c>
      <c r="B177" s="8" t="str">
        <f>Elettricità!A177</f>
        <v>005067307599.PDF</v>
      </c>
      <c r="C177" s="9">
        <f>Elettricità!E177</f>
        <v>45541</v>
      </c>
      <c r="D177" s="9">
        <f>Elettricità!K177</f>
        <v>45505</v>
      </c>
      <c r="E177" s="9">
        <f>Elettricità!L177</f>
        <v>45535</v>
      </c>
      <c r="F177" s="8">
        <f>Elettricità!M177</f>
        <v>50</v>
      </c>
      <c r="G177" s="8">
        <f>Elettricità!N177</f>
        <v>15</v>
      </c>
      <c r="H177" s="8">
        <f>Elettricità!O177</f>
        <v>13</v>
      </c>
      <c r="I177" s="8">
        <f>Elettricità!P177</f>
        <v>22</v>
      </c>
      <c r="J177" s="8">
        <f>Elettricità!Q177</f>
        <v>13</v>
      </c>
      <c r="K177" s="8">
        <f>Elettricità!R177</f>
        <v>7</v>
      </c>
      <c r="L177" s="8">
        <f>Elettricità!S177</f>
        <v>3</v>
      </c>
      <c r="M177" s="8">
        <f>Elettricità!T177</f>
        <v>3</v>
      </c>
      <c r="N177" s="8">
        <f>Elettricità!W177</f>
        <v>29.94</v>
      </c>
      <c r="O177" s="8">
        <f>Elettricità!X177</f>
        <v>36.53</v>
      </c>
      <c r="P177" s="8">
        <f>Elettricità!Y177</f>
        <v>0</v>
      </c>
      <c r="Q177" s="8">
        <f>Elettricità!Z177</f>
        <v>7.92</v>
      </c>
      <c r="R177" s="8">
        <f>Elettricità!AA177</f>
        <v>10.37</v>
      </c>
      <c r="S177" s="8">
        <f>Elettricità!AB177</f>
        <v>11.02</v>
      </c>
      <c r="T177" s="8">
        <f>Elettricità!AC177</f>
        <v>0</v>
      </c>
      <c r="U177" s="8">
        <f>Elettricità!AD177</f>
        <v>6.59</v>
      </c>
      <c r="V177" s="8">
        <f t="shared" si="39"/>
        <v>2024</v>
      </c>
      <c r="W177" s="8">
        <f>_xlfn.XLOOKUP(A177,Fabbricati!E:E,Fabbricati!D:D)</f>
        <v>382911814</v>
      </c>
      <c r="X177" s="9">
        <f t="shared" si="40"/>
        <v>45541</v>
      </c>
      <c r="Y177" s="9">
        <f t="shared" si="41"/>
        <v>45505</v>
      </c>
      <c r="Z177" s="9">
        <f t="shared" si="42"/>
        <v>45535</v>
      </c>
      <c r="AA177" s="8">
        <f t="shared" si="43"/>
        <v>31</v>
      </c>
      <c r="AB177" s="8">
        <f t="shared" si="44"/>
        <v>50</v>
      </c>
      <c r="AC177" s="12" t="s">
        <v>149</v>
      </c>
      <c r="AD177" s="11" t="str">
        <f t="shared" si="45"/>
        <v>15
13
22</v>
      </c>
      <c r="AE177" s="11" t="str">
        <f t="shared" si="46"/>
        <v>7
3
3</v>
      </c>
      <c r="AF177" s="11"/>
      <c r="AG177" s="11"/>
      <c r="AH177" s="8">
        <f t="shared" si="47"/>
        <v>21.39</v>
      </c>
      <c r="AI177" s="8">
        <f t="shared" si="48"/>
        <v>7.92</v>
      </c>
      <c r="AJ177" s="8">
        <f t="shared" si="49"/>
        <v>6.59</v>
      </c>
      <c r="AK177" s="8"/>
      <c r="AL177" s="8"/>
      <c r="AM177" s="8">
        <f t="shared" si="50"/>
        <v>0</v>
      </c>
      <c r="AN177" s="8">
        <f t="shared" si="51"/>
        <v>36.53</v>
      </c>
    </row>
    <row r="178" spans="1:40" ht="48" customHeight="1" x14ac:dyDescent="0.2">
      <c r="A178" s="8" t="str">
        <f>Elettricità!I178</f>
        <v>IT001E04171021</v>
      </c>
      <c r="B178" s="8" t="str">
        <f>Elettricità!A178</f>
        <v>005076347778(1).PDF</v>
      </c>
      <c r="C178" s="9">
        <f>Elettricità!E178</f>
        <v>45571</v>
      </c>
      <c r="D178" s="9">
        <f>Elettricità!K178</f>
        <v>45536</v>
      </c>
      <c r="E178" s="9">
        <f>Elettricità!L178</f>
        <v>45565</v>
      </c>
      <c r="F178" s="8">
        <f>Elettricità!M178</f>
        <v>38</v>
      </c>
      <c r="G178" s="8">
        <f>Elettricità!N178</f>
        <v>13</v>
      </c>
      <c r="H178" s="8">
        <f>Elettricità!O178</f>
        <v>8</v>
      </c>
      <c r="I178" s="8">
        <f>Elettricità!P178</f>
        <v>17</v>
      </c>
      <c r="J178" s="8">
        <f>Elettricità!Q178</f>
        <v>13</v>
      </c>
      <c r="K178" s="8">
        <f>Elettricità!R178</f>
        <v>7</v>
      </c>
      <c r="L178" s="8">
        <f>Elettricità!S178</f>
        <v>3</v>
      </c>
      <c r="M178" s="8">
        <f>Elettricità!T178</f>
        <v>3</v>
      </c>
      <c r="N178" s="8">
        <f>Elettricità!W178</f>
        <v>26.66</v>
      </c>
      <c r="O178" s="8">
        <f>Elettricità!X178</f>
        <v>32.53</v>
      </c>
      <c r="P178" s="8">
        <f>Elettricità!Y178</f>
        <v>0</v>
      </c>
      <c r="Q178" s="8">
        <f>Elettricità!Z178</f>
        <v>5.52</v>
      </c>
      <c r="R178" s="8">
        <f>Elettricità!AA178</f>
        <v>10.220000000000001</v>
      </c>
      <c r="S178" s="8">
        <f>Elettricità!AB178</f>
        <v>10.44</v>
      </c>
      <c r="T178" s="8">
        <f>Elettricità!AC178</f>
        <v>0</v>
      </c>
      <c r="U178" s="8">
        <f>Elettricità!AD178</f>
        <v>5.87</v>
      </c>
      <c r="V178" s="8">
        <f t="shared" si="39"/>
        <v>2024</v>
      </c>
      <c r="W178" s="8">
        <f>_xlfn.XLOOKUP(A178,Fabbricati!E:E,Fabbricati!D:D)</f>
        <v>382911814</v>
      </c>
      <c r="X178" s="9">
        <f t="shared" si="40"/>
        <v>45571</v>
      </c>
      <c r="Y178" s="9">
        <f t="shared" si="41"/>
        <v>45536</v>
      </c>
      <c r="Z178" s="9">
        <f t="shared" si="42"/>
        <v>45565</v>
      </c>
      <c r="AA178" s="8">
        <f t="shared" si="43"/>
        <v>30</v>
      </c>
      <c r="AB178" s="8">
        <f t="shared" si="44"/>
        <v>38</v>
      </c>
      <c r="AC178" s="12" t="s">
        <v>149</v>
      </c>
      <c r="AD178" s="11" t="str">
        <f t="shared" si="45"/>
        <v>13
8
17</v>
      </c>
      <c r="AE178" s="11" t="str">
        <f t="shared" si="46"/>
        <v>7
3
3</v>
      </c>
      <c r="AF178" s="11"/>
      <c r="AG178" s="11"/>
      <c r="AH178" s="8">
        <f t="shared" si="47"/>
        <v>20.66</v>
      </c>
      <c r="AI178" s="8">
        <f t="shared" si="48"/>
        <v>5.52</v>
      </c>
      <c r="AJ178" s="8">
        <f t="shared" si="49"/>
        <v>5.87</v>
      </c>
      <c r="AK178" s="8"/>
      <c r="AL178" s="8"/>
      <c r="AM178" s="8">
        <f t="shared" si="50"/>
        <v>0</v>
      </c>
      <c r="AN178" s="8">
        <f t="shared" si="51"/>
        <v>32.53</v>
      </c>
    </row>
    <row r="179" spans="1:40" ht="48" customHeight="1" x14ac:dyDescent="0.2">
      <c r="A179" s="8" t="str">
        <f>Elettricità!I179</f>
        <v>IT001E04171021</v>
      </c>
      <c r="B179" s="8" t="str">
        <f>Elettricità!A179</f>
        <v>005085485034.PDF</v>
      </c>
      <c r="C179" s="9">
        <f>Elettricità!E179</f>
        <v>45604</v>
      </c>
      <c r="D179" s="9">
        <f>Elettricità!K179</f>
        <v>45566</v>
      </c>
      <c r="E179" s="9">
        <f>Elettricità!L179</f>
        <v>45596</v>
      </c>
      <c r="F179" s="8">
        <f>Elettricità!M179</f>
        <v>51</v>
      </c>
      <c r="G179" s="8">
        <f>Elettricità!N179</f>
        <v>17</v>
      </c>
      <c r="H179" s="8">
        <f>Elettricità!O179</f>
        <v>13</v>
      </c>
      <c r="I179" s="8">
        <f>Elettricità!P179</f>
        <v>21</v>
      </c>
      <c r="J179" s="8">
        <f>Elettricità!Q179</f>
        <v>11</v>
      </c>
      <c r="K179" s="8">
        <f>Elettricità!R179</f>
        <v>7</v>
      </c>
      <c r="L179" s="8">
        <f>Elettricità!S179</f>
        <v>2</v>
      </c>
      <c r="M179" s="8">
        <f>Elettricità!T179</f>
        <v>2</v>
      </c>
      <c r="N179" s="8">
        <f>Elettricità!W179</f>
        <v>29.57</v>
      </c>
      <c r="O179" s="8">
        <f>Elettricità!X179</f>
        <v>36.08</v>
      </c>
      <c r="P179" s="8">
        <f>Elettricità!Y179</f>
        <v>0</v>
      </c>
      <c r="Q179" s="8">
        <f>Elettricità!Z179</f>
        <v>7.49</v>
      </c>
      <c r="R179" s="8">
        <f>Elettricità!AA179</f>
        <v>10.38</v>
      </c>
      <c r="S179" s="8">
        <f>Elettricità!AB179</f>
        <v>11.06</v>
      </c>
      <c r="T179" s="8">
        <f>Elettricità!AC179</f>
        <v>0</v>
      </c>
      <c r="U179" s="8">
        <f>Elettricità!AD179</f>
        <v>6.51</v>
      </c>
      <c r="V179" s="8">
        <f t="shared" si="39"/>
        <v>2024</v>
      </c>
      <c r="W179" s="8">
        <f>_xlfn.XLOOKUP(A179,Fabbricati!E:E,Fabbricati!D:D)</f>
        <v>382911814</v>
      </c>
      <c r="X179" s="9">
        <f t="shared" si="40"/>
        <v>45604</v>
      </c>
      <c r="Y179" s="9">
        <f t="shared" si="41"/>
        <v>45566</v>
      </c>
      <c r="Z179" s="9">
        <f t="shared" si="42"/>
        <v>45596</v>
      </c>
      <c r="AA179" s="8">
        <f t="shared" si="43"/>
        <v>31</v>
      </c>
      <c r="AB179" s="8">
        <f t="shared" si="44"/>
        <v>51</v>
      </c>
      <c r="AC179" s="12" t="s">
        <v>149</v>
      </c>
      <c r="AD179" s="11" t="str">
        <f t="shared" si="45"/>
        <v>17
13
21</v>
      </c>
      <c r="AE179" s="11" t="str">
        <f t="shared" si="46"/>
        <v>7
2
2</v>
      </c>
      <c r="AF179" s="11"/>
      <c r="AG179" s="11"/>
      <c r="AH179" s="8">
        <f t="shared" si="47"/>
        <v>21.44</v>
      </c>
      <c r="AI179" s="8">
        <f t="shared" si="48"/>
        <v>7.49</v>
      </c>
      <c r="AJ179" s="8">
        <f t="shared" si="49"/>
        <v>6.51</v>
      </c>
      <c r="AK179" s="8"/>
      <c r="AL179" s="8"/>
      <c r="AM179" s="8">
        <f t="shared" si="50"/>
        <v>0</v>
      </c>
      <c r="AN179" s="8">
        <f t="shared" si="51"/>
        <v>36.08</v>
      </c>
    </row>
    <row r="180" spans="1:40" ht="48" customHeight="1" x14ac:dyDescent="0.2">
      <c r="A180" s="8" t="str">
        <f>Elettricità!I180</f>
        <v>IT001E04171021</v>
      </c>
      <c r="B180" s="8" t="str">
        <f>Elettricità!A180</f>
        <v>005093369268.PDF</v>
      </c>
      <c r="C180" s="9">
        <f>Elettricità!E180</f>
        <v>45632</v>
      </c>
      <c r="D180" s="9">
        <f>Elettricità!K180</f>
        <v>45597</v>
      </c>
      <c r="E180" s="9">
        <f>Elettricità!L180</f>
        <v>45626</v>
      </c>
      <c r="F180" s="8">
        <f>Elettricità!M180</f>
        <v>51</v>
      </c>
      <c r="G180" s="8">
        <f>Elettricità!N180</f>
        <v>15</v>
      </c>
      <c r="H180" s="8">
        <f>Elettricità!O180</f>
        <v>12</v>
      </c>
      <c r="I180" s="8">
        <f>Elettricità!P180</f>
        <v>24</v>
      </c>
      <c r="J180" s="8">
        <f>Elettricità!Q180</f>
        <v>10</v>
      </c>
      <c r="K180" s="8">
        <f>Elettricità!R180</f>
        <v>6</v>
      </c>
      <c r="L180" s="8">
        <f>Elettricità!S180</f>
        <v>2</v>
      </c>
      <c r="M180" s="8">
        <f>Elettricità!T180</f>
        <v>2</v>
      </c>
      <c r="N180" s="8">
        <f>Elettricità!W180</f>
        <v>30.32</v>
      </c>
      <c r="O180" s="8">
        <f>Elettricità!X180</f>
        <v>36.99</v>
      </c>
      <c r="P180" s="8">
        <f>Elettricità!Y180</f>
        <v>0</v>
      </c>
      <c r="Q180" s="8">
        <f>Elettricità!Z180</f>
        <v>8.24</v>
      </c>
      <c r="R180" s="8">
        <f>Elettricità!AA180</f>
        <v>10.38</v>
      </c>
      <c r="S180" s="8">
        <f>Elettricità!AB180</f>
        <v>11.06</v>
      </c>
      <c r="T180" s="8">
        <f>Elettricità!AC180</f>
        <v>0</v>
      </c>
      <c r="U180" s="8">
        <f>Elettricità!AD180</f>
        <v>6.67</v>
      </c>
      <c r="V180" s="8">
        <f t="shared" si="39"/>
        <v>2024</v>
      </c>
      <c r="W180" s="8">
        <f>_xlfn.XLOOKUP(A180,Fabbricati!E:E,Fabbricati!D:D)</f>
        <v>382911814</v>
      </c>
      <c r="X180" s="9">
        <f t="shared" si="40"/>
        <v>45632</v>
      </c>
      <c r="Y180" s="9">
        <f t="shared" si="41"/>
        <v>45597</v>
      </c>
      <c r="Z180" s="9">
        <f t="shared" si="42"/>
        <v>45626</v>
      </c>
      <c r="AA180" s="8">
        <f t="shared" si="43"/>
        <v>30</v>
      </c>
      <c r="AB180" s="8">
        <f t="shared" si="44"/>
        <v>51</v>
      </c>
      <c r="AC180" s="12" t="s">
        <v>149</v>
      </c>
      <c r="AD180" s="11" t="str">
        <f t="shared" si="45"/>
        <v>15
12
24</v>
      </c>
      <c r="AE180" s="11" t="str">
        <f t="shared" si="46"/>
        <v>6
2
2</v>
      </c>
      <c r="AF180" s="11"/>
      <c r="AG180" s="11"/>
      <c r="AH180" s="8">
        <f t="shared" si="47"/>
        <v>21.44</v>
      </c>
      <c r="AI180" s="8">
        <f t="shared" si="48"/>
        <v>8.24</v>
      </c>
      <c r="AJ180" s="8">
        <f t="shared" si="49"/>
        <v>6.67</v>
      </c>
      <c r="AK180" s="8"/>
      <c r="AL180" s="8"/>
      <c r="AM180" s="8">
        <f t="shared" si="50"/>
        <v>0</v>
      </c>
      <c r="AN180" s="8">
        <f t="shared" si="51"/>
        <v>36.99</v>
      </c>
    </row>
    <row r="181" spans="1:40" ht="48" customHeight="1" x14ac:dyDescent="0.2">
      <c r="A181" s="8" t="str">
        <f>Elettricità!I181</f>
        <v>IT001E04171021</v>
      </c>
      <c r="B181" s="8" t="str">
        <f>Elettricità!A181</f>
        <v>005200218681.PDF</v>
      </c>
      <c r="C181" s="9">
        <f>Elettricità!E181</f>
        <v>45665</v>
      </c>
      <c r="D181" s="9">
        <f>Elettricità!K181</f>
        <v>45627</v>
      </c>
      <c r="E181" s="9">
        <f>Elettricità!L181</f>
        <v>45657</v>
      </c>
      <c r="F181" s="8">
        <f>Elettricità!M181</f>
        <v>58</v>
      </c>
      <c r="G181" s="8">
        <f>Elettricità!N181</f>
        <v>15</v>
      </c>
      <c r="H181" s="8">
        <f>Elettricità!O181</f>
        <v>13</v>
      </c>
      <c r="I181" s="8">
        <f>Elettricità!P181</f>
        <v>30</v>
      </c>
      <c r="J181" s="8">
        <f>Elettricità!Q181</f>
        <v>10</v>
      </c>
      <c r="K181" s="8">
        <f>Elettricità!R181</f>
        <v>6</v>
      </c>
      <c r="L181" s="8">
        <f>Elettricità!S181</f>
        <v>2</v>
      </c>
      <c r="M181" s="8">
        <f>Elettricità!T181</f>
        <v>2</v>
      </c>
      <c r="N181" s="8">
        <f>Elettricità!W181</f>
        <v>32.520000000000003</v>
      </c>
      <c r="O181" s="8">
        <f>Elettricità!X181</f>
        <v>39.67</v>
      </c>
      <c r="P181" s="8">
        <f>Elettricità!Y181</f>
        <v>0</v>
      </c>
      <c r="Q181" s="8">
        <f>Elettricità!Z181</f>
        <v>9.92</v>
      </c>
      <c r="R181" s="8">
        <f>Elettricità!AA181</f>
        <v>10.47</v>
      </c>
      <c r="S181" s="8">
        <f>Elettricità!AB181</f>
        <v>11.4</v>
      </c>
      <c r="T181" s="8">
        <f>Elettricità!AC181</f>
        <v>0</v>
      </c>
      <c r="U181" s="8">
        <f>Elettricità!AD181</f>
        <v>7.15</v>
      </c>
      <c r="V181" s="8">
        <f t="shared" si="39"/>
        <v>2024</v>
      </c>
      <c r="W181" s="8">
        <f>_xlfn.XLOOKUP(A181,Fabbricati!E:E,Fabbricati!D:D)</f>
        <v>382911814</v>
      </c>
      <c r="X181" s="9">
        <f t="shared" si="40"/>
        <v>45665</v>
      </c>
      <c r="Y181" s="9">
        <f t="shared" si="41"/>
        <v>45627</v>
      </c>
      <c r="Z181" s="9">
        <f t="shared" si="42"/>
        <v>45657</v>
      </c>
      <c r="AA181" s="8">
        <f t="shared" si="43"/>
        <v>31</v>
      </c>
      <c r="AB181" s="8">
        <f t="shared" si="44"/>
        <v>58</v>
      </c>
      <c r="AC181" s="12" t="s">
        <v>149</v>
      </c>
      <c r="AD181" s="11" t="str">
        <f t="shared" si="45"/>
        <v>15
13
30</v>
      </c>
      <c r="AE181" s="11" t="str">
        <f t="shared" si="46"/>
        <v>6
2
2</v>
      </c>
      <c r="AF181" s="11"/>
      <c r="AG181" s="11"/>
      <c r="AH181" s="8">
        <f t="shared" si="47"/>
        <v>21.87</v>
      </c>
      <c r="AI181" s="8">
        <f t="shared" si="48"/>
        <v>9.92</v>
      </c>
      <c r="AJ181" s="8">
        <f t="shared" si="49"/>
        <v>7.15</v>
      </c>
      <c r="AK181" s="8"/>
      <c r="AL181" s="8"/>
      <c r="AM181" s="8">
        <f t="shared" si="50"/>
        <v>0</v>
      </c>
      <c r="AN181" s="8">
        <f t="shared" si="51"/>
        <v>39.67</v>
      </c>
    </row>
    <row r="182" spans="1:40" ht="48" customHeight="1" x14ac:dyDescent="0.2">
      <c r="A182" s="8" t="str">
        <f>Elettricità!I182</f>
        <v>IT001E04171025</v>
      </c>
      <c r="B182" s="8" t="str">
        <f>Elettricità!A182</f>
        <v>824500045442_2024_d.pdf</v>
      </c>
      <c r="C182" s="9">
        <f>Elettricità!E182</f>
        <v>45350</v>
      </c>
      <c r="D182" s="9">
        <f>Elettricità!K182</f>
        <v>45292</v>
      </c>
      <c r="E182" s="9">
        <f>Elettricità!L182</f>
        <v>45322</v>
      </c>
      <c r="F182" s="8">
        <f>Elettricità!M182</f>
        <v>2770</v>
      </c>
      <c r="G182" s="8">
        <f>Elettricità!N182</f>
        <v>903</v>
      </c>
      <c r="H182" s="8">
        <f>Elettricità!O182</f>
        <v>1304</v>
      </c>
      <c r="I182" s="8">
        <f>Elettricità!P182</f>
        <v>563</v>
      </c>
      <c r="J182" s="8">
        <f>Elettricità!Q182</f>
        <v>991</v>
      </c>
      <c r="K182" s="8">
        <f>Elettricità!R182</f>
        <v>365</v>
      </c>
      <c r="L182" s="8">
        <f>Elettricità!S182</f>
        <v>604</v>
      </c>
      <c r="M182" s="8">
        <f>Elettricità!T182</f>
        <v>22</v>
      </c>
      <c r="N182" s="8">
        <f>Elettricità!W182</f>
        <v>825.19</v>
      </c>
      <c r="O182" s="8">
        <f>Elettricità!X182</f>
        <v>1006.73</v>
      </c>
      <c r="P182" s="8">
        <f>Elettricità!Y182</f>
        <v>0</v>
      </c>
      <c r="Q182" s="8">
        <f>Elettricità!Z182</f>
        <v>443.57</v>
      </c>
      <c r="R182" s="8">
        <f>Elettricità!AA182</f>
        <v>141.63</v>
      </c>
      <c r="S182" s="8">
        <f>Elettricità!AB182</f>
        <v>191.51</v>
      </c>
      <c r="T182" s="8">
        <f>Elettricità!AC182</f>
        <v>13.85</v>
      </c>
      <c r="U182" s="8">
        <f>Elettricità!AD182</f>
        <v>34.630000000000003</v>
      </c>
      <c r="V182" s="8">
        <f t="shared" si="39"/>
        <v>2024</v>
      </c>
      <c r="W182" s="8">
        <f>_xlfn.XLOOKUP(A182,Fabbricati!E:E,Fabbricati!D:D)</f>
        <v>382911971</v>
      </c>
      <c r="X182" s="9">
        <f t="shared" si="40"/>
        <v>45350</v>
      </c>
      <c r="Y182" s="9">
        <f t="shared" si="41"/>
        <v>45292</v>
      </c>
      <c r="Z182" s="9">
        <f t="shared" si="42"/>
        <v>45322</v>
      </c>
      <c r="AA182" s="8">
        <f t="shared" si="43"/>
        <v>31</v>
      </c>
      <c r="AB182" s="8">
        <f t="shared" si="44"/>
        <v>2770</v>
      </c>
      <c r="AC182" s="12" t="s">
        <v>149</v>
      </c>
      <c r="AD182" s="11" t="str">
        <f t="shared" si="45"/>
        <v>903
1304
563</v>
      </c>
      <c r="AE182" s="11" t="str">
        <f t="shared" si="46"/>
        <v>365
604
22</v>
      </c>
      <c r="AF182" s="11"/>
      <c r="AG182" s="11"/>
      <c r="AH182" s="8">
        <f t="shared" si="47"/>
        <v>333.14</v>
      </c>
      <c r="AI182" s="8">
        <f t="shared" si="48"/>
        <v>443.57</v>
      </c>
      <c r="AJ182" s="8">
        <f t="shared" si="49"/>
        <v>34.630000000000003</v>
      </c>
      <c r="AK182" s="8"/>
      <c r="AL182" s="8"/>
      <c r="AM182" s="8">
        <f t="shared" si="50"/>
        <v>13.85</v>
      </c>
      <c r="AN182" s="8">
        <f t="shared" si="51"/>
        <v>1006.73</v>
      </c>
    </row>
    <row r="183" spans="1:40" ht="48" customHeight="1" x14ac:dyDescent="0.2">
      <c r="A183" s="8" t="str">
        <f>Elettricità!I183</f>
        <v>IT001E04171025</v>
      </c>
      <c r="B183" s="8" t="str">
        <f>Elettricità!A183</f>
        <v>005018359684.pdf</v>
      </c>
      <c r="C183" s="9">
        <f>Elettricità!E183</f>
        <v>45358</v>
      </c>
      <c r="D183" s="9">
        <f>Elettricità!K183</f>
        <v>45323</v>
      </c>
      <c r="E183" s="9">
        <f>Elettricità!L183</f>
        <v>45351</v>
      </c>
      <c r="F183" s="8">
        <f>Elettricità!M183</f>
        <v>2343</v>
      </c>
      <c r="G183" s="8">
        <f>Elettricità!N183</f>
        <v>696</v>
      </c>
      <c r="H183" s="8">
        <f>Elettricità!O183</f>
        <v>1154</v>
      </c>
      <c r="I183" s="8">
        <f>Elettricità!P183</f>
        <v>493</v>
      </c>
      <c r="J183" s="8">
        <f>Elettricità!Q183</f>
        <v>759</v>
      </c>
      <c r="K183" s="8">
        <f>Elettricità!R183</f>
        <v>214</v>
      </c>
      <c r="L183" s="8">
        <f>Elettricità!S183</f>
        <v>513</v>
      </c>
      <c r="M183" s="8">
        <f>Elettricità!T183</f>
        <v>32</v>
      </c>
      <c r="N183" s="8">
        <f>Elettricità!W183</f>
        <v>623.73</v>
      </c>
      <c r="O183" s="8">
        <f>Elettricità!X183</f>
        <v>760.95</v>
      </c>
      <c r="P183" s="8">
        <f>Elettricità!Y183</f>
        <v>0</v>
      </c>
      <c r="Q183" s="8">
        <f>Elettricità!Z183</f>
        <v>288.7</v>
      </c>
      <c r="R183" s="8">
        <f>Elettricità!AA183</f>
        <v>132.91</v>
      </c>
      <c r="S183" s="8">
        <f>Elettricità!AB183</f>
        <v>172.83</v>
      </c>
      <c r="T183" s="8">
        <f>Elettricità!AC183</f>
        <v>0</v>
      </c>
      <c r="U183" s="8">
        <f>Elettricità!AD183</f>
        <v>137.22</v>
      </c>
      <c r="V183" s="8">
        <f t="shared" si="39"/>
        <v>2024</v>
      </c>
      <c r="W183" s="8">
        <f>_xlfn.XLOOKUP(A183,Fabbricati!E:E,Fabbricati!D:D)</f>
        <v>382911971</v>
      </c>
      <c r="X183" s="9">
        <f t="shared" si="40"/>
        <v>45358</v>
      </c>
      <c r="Y183" s="9">
        <f t="shared" si="41"/>
        <v>45323</v>
      </c>
      <c r="Z183" s="9">
        <f t="shared" si="42"/>
        <v>45351</v>
      </c>
      <c r="AA183" s="8">
        <f t="shared" si="43"/>
        <v>29</v>
      </c>
      <c r="AB183" s="8">
        <f t="shared" si="44"/>
        <v>2343</v>
      </c>
      <c r="AC183" s="12" t="s">
        <v>149</v>
      </c>
      <c r="AD183" s="11" t="str">
        <f t="shared" si="45"/>
        <v>696
1154
493</v>
      </c>
      <c r="AE183" s="11" t="str">
        <f t="shared" si="46"/>
        <v>214
513
32</v>
      </c>
      <c r="AF183" s="11"/>
      <c r="AG183" s="11"/>
      <c r="AH183" s="8">
        <f t="shared" si="47"/>
        <v>305.74</v>
      </c>
      <c r="AI183" s="8">
        <f t="shared" si="48"/>
        <v>288.7</v>
      </c>
      <c r="AJ183" s="8">
        <f t="shared" si="49"/>
        <v>137.22</v>
      </c>
      <c r="AK183" s="8"/>
      <c r="AL183" s="8"/>
      <c r="AM183" s="8">
        <f t="shared" si="50"/>
        <v>0</v>
      </c>
      <c r="AN183" s="8">
        <f t="shared" si="51"/>
        <v>760.95</v>
      </c>
    </row>
    <row r="184" spans="1:40" ht="48" customHeight="1" x14ac:dyDescent="0.2">
      <c r="A184" s="8" t="str">
        <f>Elettricità!I184</f>
        <v>IT001E04171025</v>
      </c>
      <c r="B184" s="8" t="str">
        <f>Elettricità!A184</f>
        <v>005026659967(1).pdf</v>
      </c>
      <c r="C184" s="9">
        <f>Elettricità!E184</f>
        <v>45390</v>
      </c>
      <c r="D184" s="9">
        <f>Elettricità!K184</f>
        <v>45352</v>
      </c>
      <c r="E184" s="9">
        <f>Elettricità!L184</f>
        <v>45382</v>
      </c>
      <c r="F184" s="8">
        <f>Elettricità!M184</f>
        <v>2592</v>
      </c>
      <c r="G184" s="8">
        <f>Elettricità!N184</f>
        <v>595</v>
      </c>
      <c r="H184" s="8">
        <f>Elettricità!O184</f>
        <v>1394</v>
      </c>
      <c r="I184" s="8">
        <f>Elettricità!P184</f>
        <v>603</v>
      </c>
      <c r="J184" s="8">
        <f>Elettricità!Q184</f>
        <v>973</v>
      </c>
      <c r="K184" s="8">
        <f>Elettricità!R184</f>
        <v>198</v>
      </c>
      <c r="L184" s="8">
        <f>Elettricità!S184</f>
        <v>679</v>
      </c>
      <c r="M184" s="8">
        <f>Elettricità!T184</f>
        <v>96</v>
      </c>
      <c r="N184" s="8">
        <f>Elettricità!W184</f>
        <v>679.77</v>
      </c>
      <c r="O184" s="8">
        <f>Elettricità!X184</f>
        <v>829.32</v>
      </c>
      <c r="P184" s="8">
        <f>Elettricità!Y184</f>
        <v>0</v>
      </c>
      <c r="Q184" s="8">
        <f>Elettricità!Z184</f>
        <v>308.06</v>
      </c>
      <c r="R184" s="8">
        <f>Elettricità!AA184</f>
        <v>147.9</v>
      </c>
      <c r="S184" s="8">
        <f>Elettricità!AB184</f>
        <v>191.41</v>
      </c>
      <c r="T184" s="8">
        <f>Elettricità!AC184</f>
        <v>0</v>
      </c>
      <c r="U184" s="8">
        <f>Elettricità!AD184</f>
        <v>149.55000000000001</v>
      </c>
      <c r="V184" s="8">
        <f t="shared" si="39"/>
        <v>2024</v>
      </c>
      <c r="W184" s="8">
        <f>_xlfn.XLOOKUP(A184,Fabbricati!E:E,Fabbricati!D:D)</f>
        <v>382911971</v>
      </c>
      <c r="X184" s="9">
        <f t="shared" si="40"/>
        <v>45390</v>
      </c>
      <c r="Y184" s="9">
        <f t="shared" si="41"/>
        <v>45352</v>
      </c>
      <c r="Z184" s="9">
        <f t="shared" si="42"/>
        <v>45382</v>
      </c>
      <c r="AA184" s="8">
        <f t="shared" si="43"/>
        <v>31</v>
      </c>
      <c r="AB184" s="8">
        <f t="shared" si="44"/>
        <v>2592</v>
      </c>
      <c r="AC184" s="12" t="s">
        <v>149</v>
      </c>
      <c r="AD184" s="11" t="str">
        <f t="shared" si="45"/>
        <v>595
1394
603</v>
      </c>
      <c r="AE184" s="11" t="str">
        <f t="shared" si="46"/>
        <v>198
679
96</v>
      </c>
      <c r="AF184" s="11"/>
      <c r="AG184" s="11"/>
      <c r="AH184" s="8">
        <f t="shared" si="47"/>
        <v>339.31</v>
      </c>
      <c r="AI184" s="8">
        <f t="shared" si="48"/>
        <v>308.06</v>
      </c>
      <c r="AJ184" s="8">
        <f t="shared" si="49"/>
        <v>149.55000000000001</v>
      </c>
      <c r="AK184" s="8"/>
      <c r="AL184" s="8"/>
      <c r="AM184" s="8">
        <f t="shared" si="50"/>
        <v>0</v>
      </c>
      <c r="AN184" s="8">
        <f t="shared" si="51"/>
        <v>829.32</v>
      </c>
    </row>
    <row r="185" spans="1:40" ht="48" customHeight="1" x14ac:dyDescent="0.2">
      <c r="A185" s="8" t="str">
        <f>Elettricità!I185</f>
        <v>IT001E04171025</v>
      </c>
      <c r="B185" s="8" t="str">
        <f>Elettricità!A185</f>
        <v>005034930238.PDF</v>
      </c>
      <c r="C185" s="9">
        <f>Elettricità!E185</f>
        <v>45419</v>
      </c>
      <c r="D185" s="9">
        <f>Elettricità!K185</f>
        <v>45383</v>
      </c>
      <c r="E185" s="9">
        <f>Elettricità!L185</f>
        <v>45412</v>
      </c>
      <c r="F185" s="8">
        <f>Elettricità!M185</f>
        <v>2189</v>
      </c>
      <c r="G185" s="8">
        <f>Elettricità!N185</f>
        <v>436</v>
      </c>
      <c r="H185" s="8">
        <f>Elettricità!O185</f>
        <v>959</v>
      </c>
      <c r="I185" s="8">
        <f>Elettricità!P185</f>
        <v>794</v>
      </c>
      <c r="J185" s="8">
        <f>Elettricità!Q185</f>
        <v>496</v>
      </c>
      <c r="K185" s="8">
        <f>Elettricità!R185</f>
        <v>53</v>
      </c>
      <c r="L185" s="8">
        <f>Elettricità!S185</f>
        <v>366</v>
      </c>
      <c r="M185" s="8">
        <f>Elettricità!T185</f>
        <v>77</v>
      </c>
      <c r="N185" s="8">
        <f>Elettricità!W185</f>
        <v>602.34</v>
      </c>
      <c r="O185" s="8">
        <f>Elettricità!X185</f>
        <v>734.85</v>
      </c>
      <c r="P185" s="8">
        <f>Elettricità!Y185</f>
        <v>0</v>
      </c>
      <c r="Q185" s="8">
        <f>Elettricità!Z185</f>
        <v>254.61</v>
      </c>
      <c r="R185" s="8">
        <f>Elettricità!AA185</f>
        <v>128.02000000000001</v>
      </c>
      <c r="S185" s="8">
        <f>Elettricità!AB185</f>
        <v>192.35</v>
      </c>
      <c r="T185" s="8">
        <f>Elettricità!AC185</f>
        <v>0</v>
      </c>
      <c r="U185" s="8">
        <f>Elettricità!AD185</f>
        <v>132.51</v>
      </c>
      <c r="V185" s="8">
        <f t="shared" si="39"/>
        <v>2024</v>
      </c>
      <c r="W185" s="8">
        <f>_xlfn.XLOOKUP(A185,Fabbricati!E:E,Fabbricati!D:D)</f>
        <v>382911971</v>
      </c>
      <c r="X185" s="9">
        <f t="shared" si="40"/>
        <v>45419</v>
      </c>
      <c r="Y185" s="9">
        <f t="shared" si="41"/>
        <v>45383</v>
      </c>
      <c r="Z185" s="9">
        <f t="shared" si="42"/>
        <v>45412</v>
      </c>
      <c r="AA185" s="8">
        <f t="shared" si="43"/>
        <v>30</v>
      </c>
      <c r="AB185" s="8">
        <f t="shared" si="44"/>
        <v>2189</v>
      </c>
      <c r="AC185" s="12" t="s">
        <v>149</v>
      </c>
      <c r="AD185" s="11" t="str">
        <f t="shared" si="45"/>
        <v>436
959
794</v>
      </c>
      <c r="AE185" s="11" t="str">
        <f t="shared" si="46"/>
        <v>53
366
77</v>
      </c>
      <c r="AF185" s="11"/>
      <c r="AG185" s="11"/>
      <c r="AH185" s="8">
        <f t="shared" si="47"/>
        <v>320.37</v>
      </c>
      <c r="AI185" s="8">
        <f t="shared" si="48"/>
        <v>254.61</v>
      </c>
      <c r="AJ185" s="8">
        <f t="shared" si="49"/>
        <v>132.51</v>
      </c>
      <c r="AK185" s="8"/>
      <c r="AL185" s="8"/>
      <c r="AM185" s="8">
        <f t="shared" si="50"/>
        <v>0</v>
      </c>
      <c r="AN185" s="8">
        <f t="shared" si="51"/>
        <v>734.85</v>
      </c>
    </row>
    <row r="186" spans="1:40" ht="48" customHeight="1" x14ac:dyDescent="0.2">
      <c r="A186" s="8" t="str">
        <f>Elettricità!I186</f>
        <v>IT001E04171025</v>
      </c>
      <c r="B186" s="8" t="str">
        <f>Elettricità!A186</f>
        <v>005043663103.PDF</v>
      </c>
      <c r="C186" s="9">
        <f>Elettricità!E186</f>
        <v>45449</v>
      </c>
      <c r="D186" s="9">
        <f>Elettricità!K186</f>
        <v>45413</v>
      </c>
      <c r="E186" s="9">
        <f>Elettricità!L186</f>
        <v>45443</v>
      </c>
      <c r="F186" s="8">
        <f>Elettricità!M186</f>
        <v>1001</v>
      </c>
      <c r="G186" s="8">
        <f>Elettricità!N186</f>
        <v>267</v>
      </c>
      <c r="H186" s="8">
        <f>Elettricità!O186</f>
        <v>324</v>
      </c>
      <c r="I186" s="8">
        <f>Elettricità!P186</f>
        <v>410</v>
      </c>
      <c r="J186" s="8">
        <f>Elettricità!Q186</f>
        <v>131</v>
      </c>
      <c r="K186" s="8">
        <f>Elettricità!R186</f>
        <v>39</v>
      </c>
      <c r="L186" s="8">
        <f>Elettricità!S186</f>
        <v>62</v>
      </c>
      <c r="M186" s="8">
        <f>Elettricità!T186</f>
        <v>30</v>
      </c>
      <c r="N186" s="8">
        <f>Elettricità!W186</f>
        <v>347.14</v>
      </c>
      <c r="O186" s="8">
        <f>Elettricità!X186</f>
        <v>423.51</v>
      </c>
      <c r="P186" s="8">
        <f>Elettricità!Y186</f>
        <v>0</v>
      </c>
      <c r="Q186" s="8">
        <f>Elettricità!Z186</f>
        <v>123.03</v>
      </c>
      <c r="R186" s="8">
        <f>Elettricità!AA186</f>
        <v>93</v>
      </c>
      <c r="S186" s="8">
        <f>Elettricità!AB186</f>
        <v>118.6</v>
      </c>
      <c r="T186" s="8">
        <f>Elettricità!AC186</f>
        <v>0</v>
      </c>
      <c r="U186" s="8">
        <f>Elettricità!AD186</f>
        <v>76.37</v>
      </c>
      <c r="V186" s="8">
        <f t="shared" si="39"/>
        <v>2024</v>
      </c>
      <c r="W186" s="8">
        <f>_xlfn.XLOOKUP(A186,Fabbricati!E:E,Fabbricati!D:D)</f>
        <v>382911971</v>
      </c>
      <c r="X186" s="9">
        <f t="shared" si="40"/>
        <v>45449</v>
      </c>
      <c r="Y186" s="9">
        <f t="shared" si="41"/>
        <v>45413</v>
      </c>
      <c r="Z186" s="9">
        <f t="shared" si="42"/>
        <v>45443</v>
      </c>
      <c r="AA186" s="8">
        <f t="shared" si="43"/>
        <v>31</v>
      </c>
      <c r="AB186" s="8">
        <f t="shared" si="44"/>
        <v>1001</v>
      </c>
      <c r="AC186" s="12" t="s">
        <v>149</v>
      </c>
      <c r="AD186" s="11" t="str">
        <f t="shared" si="45"/>
        <v>267
324
410</v>
      </c>
      <c r="AE186" s="11" t="str">
        <f t="shared" si="46"/>
        <v>39
62
30</v>
      </c>
      <c r="AF186" s="11"/>
      <c r="AG186" s="11"/>
      <c r="AH186" s="8">
        <f t="shared" si="47"/>
        <v>211.6</v>
      </c>
      <c r="AI186" s="8">
        <f t="shared" si="48"/>
        <v>123.03</v>
      </c>
      <c r="AJ186" s="8">
        <f t="shared" si="49"/>
        <v>76.37</v>
      </c>
      <c r="AK186" s="8"/>
      <c r="AL186" s="8"/>
      <c r="AM186" s="8">
        <f t="shared" si="50"/>
        <v>0</v>
      </c>
      <c r="AN186" s="8">
        <f t="shared" si="51"/>
        <v>423.51</v>
      </c>
    </row>
    <row r="187" spans="1:40" ht="48" customHeight="1" x14ac:dyDescent="0.2">
      <c r="A187" s="8" t="str">
        <f>Elettricità!I187</f>
        <v>IT001E04171025</v>
      </c>
      <c r="B187" s="8" t="str">
        <f>Elettricità!A187</f>
        <v>005051431115.PDF</v>
      </c>
      <c r="C187" s="9">
        <f>Elettricità!E187</f>
        <v>45478</v>
      </c>
      <c r="D187" s="9">
        <f>Elettricità!K187</f>
        <v>45444</v>
      </c>
      <c r="E187" s="9">
        <f>Elettricità!L187</f>
        <v>45473</v>
      </c>
      <c r="F187" s="8">
        <f>Elettricità!M187</f>
        <v>1016</v>
      </c>
      <c r="G187" s="8">
        <f>Elettricità!N187</f>
        <v>238</v>
      </c>
      <c r="H187" s="8">
        <f>Elettricità!O187</f>
        <v>311</v>
      </c>
      <c r="I187" s="8">
        <f>Elettricità!P187</f>
        <v>467</v>
      </c>
      <c r="J187" s="8">
        <f>Elettricità!Q187</f>
        <v>211</v>
      </c>
      <c r="K187" s="8">
        <f>Elettricità!R187</f>
        <v>39</v>
      </c>
      <c r="L187" s="8">
        <f>Elettricità!S187</f>
        <v>73</v>
      </c>
      <c r="M187" s="8">
        <f>Elettricità!T187</f>
        <v>99</v>
      </c>
      <c r="N187" s="8">
        <f>Elettricità!W187</f>
        <v>256.23</v>
      </c>
      <c r="O187" s="8">
        <f>Elettricità!X187</f>
        <v>312.60000000000002</v>
      </c>
      <c r="P187" s="8">
        <f>Elettricità!Y187</f>
        <v>0</v>
      </c>
      <c r="Q187" s="8">
        <f>Elettricità!Z187</f>
        <v>136.19999999999999</v>
      </c>
      <c r="R187" s="8">
        <f>Elettricità!AA187</f>
        <v>37.51</v>
      </c>
      <c r="S187" s="8">
        <f>Elettricità!AB187</f>
        <v>69.819999999999993</v>
      </c>
      <c r="T187" s="8">
        <f>Elettricità!AC187</f>
        <v>0</v>
      </c>
      <c r="U187" s="8">
        <f>Elettricità!AD187</f>
        <v>56.37</v>
      </c>
      <c r="V187" s="8">
        <f t="shared" si="39"/>
        <v>2024</v>
      </c>
      <c r="W187" s="8">
        <f>_xlfn.XLOOKUP(A187,Fabbricati!E:E,Fabbricati!D:D)</f>
        <v>382911971</v>
      </c>
      <c r="X187" s="9">
        <f t="shared" si="40"/>
        <v>45478</v>
      </c>
      <c r="Y187" s="9">
        <f t="shared" si="41"/>
        <v>45444</v>
      </c>
      <c r="Z187" s="9">
        <f t="shared" si="42"/>
        <v>45473</v>
      </c>
      <c r="AA187" s="8">
        <f t="shared" si="43"/>
        <v>30</v>
      </c>
      <c r="AB187" s="8">
        <f t="shared" si="44"/>
        <v>1016</v>
      </c>
      <c r="AC187" s="12" t="s">
        <v>149</v>
      </c>
      <c r="AD187" s="11" t="str">
        <f t="shared" si="45"/>
        <v>238
311
467</v>
      </c>
      <c r="AE187" s="11" t="str">
        <f t="shared" si="46"/>
        <v>39
73
99</v>
      </c>
      <c r="AF187" s="11"/>
      <c r="AG187" s="11"/>
      <c r="AH187" s="8">
        <f t="shared" si="47"/>
        <v>107.32999999999998</v>
      </c>
      <c r="AI187" s="8">
        <f t="shared" si="48"/>
        <v>136.19999999999999</v>
      </c>
      <c r="AJ187" s="8">
        <f t="shared" si="49"/>
        <v>56.37</v>
      </c>
      <c r="AK187" s="8"/>
      <c r="AL187" s="8"/>
      <c r="AM187" s="8">
        <f t="shared" si="50"/>
        <v>0</v>
      </c>
      <c r="AN187" s="8">
        <f t="shared" si="51"/>
        <v>312.60000000000002</v>
      </c>
    </row>
    <row r="188" spans="1:40" ht="48" customHeight="1" x14ac:dyDescent="0.2">
      <c r="A188" s="8" t="str">
        <f>Elettricità!I188</f>
        <v>IT001E04171025</v>
      </c>
      <c r="B188" s="8" t="str">
        <f>Elettricità!A188</f>
        <v>005066074814.PDF</v>
      </c>
      <c r="C188" s="9">
        <f>Elettricità!E188</f>
        <v>45515</v>
      </c>
      <c r="D188" s="9">
        <f>Elettricità!K188</f>
        <v>45474</v>
      </c>
      <c r="E188" s="9">
        <f>Elettricità!L188</f>
        <v>45504</v>
      </c>
      <c r="F188" s="8">
        <f>Elettricità!M188</f>
        <v>1619</v>
      </c>
      <c r="G188" s="8">
        <f>Elettricità!N188</f>
        <v>544</v>
      </c>
      <c r="H188" s="8">
        <f>Elettricità!O188</f>
        <v>438</v>
      </c>
      <c r="I188" s="8">
        <f>Elettricità!P188</f>
        <v>637</v>
      </c>
      <c r="J188" s="8">
        <f>Elettricità!Q188</f>
        <v>678</v>
      </c>
      <c r="K188" s="8">
        <f>Elettricità!R188</f>
        <v>262</v>
      </c>
      <c r="L188" s="8">
        <f>Elettricità!S188</f>
        <v>198</v>
      </c>
      <c r="M188" s="8">
        <f>Elettricità!T188</f>
        <v>218</v>
      </c>
      <c r="N188" s="8">
        <f>Elettricità!W188</f>
        <v>452.39</v>
      </c>
      <c r="O188" s="8">
        <f>Elettricità!X188</f>
        <v>551.91999999999996</v>
      </c>
      <c r="P188" s="8">
        <f>Elettricità!Y188</f>
        <v>0</v>
      </c>
      <c r="Q188" s="8">
        <f>Elettricità!Z188</f>
        <v>250.32</v>
      </c>
      <c r="R188" s="8">
        <f>Elettricità!AA188</f>
        <v>66.08</v>
      </c>
      <c r="S188" s="8">
        <f>Elettricità!AB188</f>
        <v>115.75</v>
      </c>
      <c r="T188" s="8">
        <f>Elettricità!AC188</f>
        <v>0</v>
      </c>
      <c r="U188" s="8">
        <f>Elettricità!AD188</f>
        <v>99.53</v>
      </c>
      <c r="V188" s="8">
        <f t="shared" si="39"/>
        <v>2024</v>
      </c>
      <c r="W188" s="8">
        <f>_xlfn.XLOOKUP(A188,Fabbricati!E:E,Fabbricati!D:D)</f>
        <v>382911971</v>
      </c>
      <c r="X188" s="9">
        <f t="shared" si="40"/>
        <v>45515</v>
      </c>
      <c r="Y188" s="9">
        <f t="shared" si="41"/>
        <v>45474</v>
      </c>
      <c r="Z188" s="9">
        <f t="shared" si="42"/>
        <v>45504</v>
      </c>
      <c r="AA188" s="8">
        <f t="shared" si="43"/>
        <v>31</v>
      </c>
      <c r="AB188" s="8">
        <f t="shared" si="44"/>
        <v>1619</v>
      </c>
      <c r="AC188" s="12" t="s">
        <v>149</v>
      </c>
      <c r="AD188" s="11" t="str">
        <f t="shared" si="45"/>
        <v>544
438
637</v>
      </c>
      <c r="AE188" s="11" t="str">
        <f t="shared" si="46"/>
        <v>262
198
218</v>
      </c>
      <c r="AF188" s="11"/>
      <c r="AG188" s="11"/>
      <c r="AH188" s="8">
        <f t="shared" si="47"/>
        <v>181.82999999999998</v>
      </c>
      <c r="AI188" s="8">
        <f t="shared" si="48"/>
        <v>250.32</v>
      </c>
      <c r="AJ188" s="8">
        <f t="shared" si="49"/>
        <v>99.53</v>
      </c>
      <c r="AK188" s="8"/>
      <c r="AL188" s="8"/>
      <c r="AM188" s="8">
        <f t="shared" si="50"/>
        <v>0</v>
      </c>
      <c r="AN188" s="8">
        <f t="shared" si="51"/>
        <v>551.91999999999996</v>
      </c>
    </row>
    <row r="189" spans="1:40" ht="48" customHeight="1" x14ac:dyDescent="0.2">
      <c r="A189" s="8" t="str">
        <f>Elettricità!I189</f>
        <v>IT001E04171025</v>
      </c>
      <c r="B189" s="8" t="str">
        <f>Elettricità!A189</f>
        <v>005067307614.PDF</v>
      </c>
      <c r="C189" s="9">
        <f>Elettricità!E189</f>
        <v>45541</v>
      </c>
      <c r="D189" s="9">
        <f>Elettricità!K189</f>
        <v>45505</v>
      </c>
      <c r="E189" s="9">
        <f>Elettricità!L189</f>
        <v>45535</v>
      </c>
      <c r="F189" s="8">
        <f>Elettricità!M189</f>
        <v>2037</v>
      </c>
      <c r="G189" s="8">
        <f>Elettricità!N189</f>
        <v>485</v>
      </c>
      <c r="H189" s="8">
        <f>Elettricità!O189</f>
        <v>884</v>
      </c>
      <c r="I189" s="8">
        <f>Elettricità!P189</f>
        <v>668</v>
      </c>
      <c r="J189" s="8">
        <f>Elettricità!Q189</f>
        <v>1078</v>
      </c>
      <c r="K189" s="8">
        <f>Elettricità!R189</f>
        <v>275</v>
      </c>
      <c r="L189" s="8">
        <f>Elettricità!S189</f>
        <v>524</v>
      </c>
      <c r="M189" s="8">
        <f>Elettricità!T189</f>
        <v>279</v>
      </c>
      <c r="N189" s="8">
        <f>Elettricità!W189</f>
        <v>670.58</v>
      </c>
      <c r="O189" s="8">
        <f>Elettricità!X189</f>
        <v>818.11</v>
      </c>
      <c r="P189" s="8">
        <f>Elettricità!Y189</f>
        <v>0</v>
      </c>
      <c r="Q189" s="8">
        <f>Elettricità!Z189</f>
        <v>333.26</v>
      </c>
      <c r="R189" s="8">
        <f>Elettricità!AA189</f>
        <v>127.9</v>
      </c>
      <c r="S189" s="8">
        <f>Elettricità!AB189</f>
        <v>183.96</v>
      </c>
      <c r="T189" s="8">
        <f>Elettricità!AC189</f>
        <v>0</v>
      </c>
      <c r="U189" s="8">
        <f>Elettricità!AD189</f>
        <v>147.53</v>
      </c>
      <c r="V189" s="8">
        <f t="shared" si="39"/>
        <v>2024</v>
      </c>
      <c r="W189" s="8">
        <f>_xlfn.XLOOKUP(A189,Fabbricati!E:E,Fabbricati!D:D)</f>
        <v>382911971</v>
      </c>
      <c r="X189" s="9">
        <f t="shared" si="40"/>
        <v>45541</v>
      </c>
      <c r="Y189" s="9">
        <f t="shared" si="41"/>
        <v>45505</v>
      </c>
      <c r="Z189" s="9">
        <f t="shared" si="42"/>
        <v>45535</v>
      </c>
      <c r="AA189" s="8">
        <f t="shared" si="43"/>
        <v>31</v>
      </c>
      <c r="AB189" s="8">
        <f t="shared" si="44"/>
        <v>2037</v>
      </c>
      <c r="AC189" s="12" t="s">
        <v>149</v>
      </c>
      <c r="AD189" s="11" t="str">
        <f t="shared" si="45"/>
        <v>485
884
668</v>
      </c>
      <c r="AE189" s="11" t="str">
        <f t="shared" si="46"/>
        <v>275
524
279</v>
      </c>
      <c r="AF189" s="11"/>
      <c r="AG189" s="11"/>
      <c r="AH189" s="8">
        <f t="shared" si="47"/>
        <v>311.86</v>
      </c>
      <c r="AI189" s="8">
        <f t="shared" si="48"/>
        <v>333.26</v>
      </c>
      <c r="AJ189" s="8">
        <f t="shared" si="49"/>
        <v>147.53</v>
      </c>
      <c r="AK189" s="8"/>
      <c r="AL189" s="8"/>
      <c r="AM189" s="8">
        <f t="shared" si="50"/>
        <v>0</v>
      </c>
      <c r="AN189" s="8">
        <f t="shared" si="51"/>
        <v>818.11</v>
      </c>
    </row>
    <row r="190" spans="1:40" ht="48" customHeight="1" x14ac:dyDescent="0.2">
      <c r="A190" s="8" t="str">
        <f>Elettricità!I190</f>
        <v>IT001E04171025</v>
      </c>
      <c r="B190" s="8" t="str">
        <f>Elettricità!A190</f>
        <v>005076347793.PDF</v>
      </c>
      <c r="C190" s="9">
        <f>Elettricità!E190</f>
        <v>45571</v>
      </c>
      <c r="D190" s="9">
        <f>Elettricità!K190</f>
        <v>45536</v>
      </c>
      <c r="E190" s="9">
        <f>Elettricità!L190</f>
        <v>45565</v>
      </c>
      <c r="F190" s="8">
        <f>Elettricità!M190</f>
        <v>2041</v>
      </c>
      <c r="G190" s="8">
        <f>Elettricità!N190</f>
        <v>486</v>
      </c>
      <c r="H190" s="8">
        <f>Elettricità!O190</f>
        <v>855</v>
      </c>
      <c r="I190" s="8">
        <f>Elettricità!P190</f>
        <v>700</v>
      </c>
      <c r="J190" s="8">
        <f>Elettricità!Q190</f>
        <v>991</v>
      </c>
      <c r="K190" s="8">
        <f>Elettricità!R190</f>
        <v>249</v>
      </c>
      <c r="L190" s="8">
        <f>Elettricità!S190</f>
        <v>446</v>
      </c>
      <c r="M190" s="8">
        <f>Elettricità!T190</f>
        <v>296</v>
      </c>
      <c r="N190" s="8">
        <f>Elettricità!W190</f>
        <v>638.26</v>
      </c>
      <c r="O190" s="8">
        <f>Elettricità!X190</f>
        <v>778.68</v>
      </c>
      <c r="P190" s="8">
        <f>Elettricità!Y190</f>
        <v>0</v>
      </c>
      <c r="Q190" s="8">
        <f>Elettricità!Z190</f>
        <v>303.76</v>
      </c>
      <c r="R190" s="8">
        <f>Elettricità!AA190</f>
        <v>125.79</v>
      </c>
      <c r="S190" s="8">
        <f>Elettricità!AB190</f>
        <v>183.2</v>
      </c>
      <c r="T190" s="8">
        <f>Elettricità!AC190</f>
        <v>0</v>
      </c>
      <c r="U190" s="8">
        <f>Elettricità!AD190</f>
        <v>140.41999999999999</v>
      </c>
      <c r="V190" s="8">
        <f t="shared" si="39"/>
        <v>2024</v>
      </c>
      <c r="W190" s="8">
        <f>_xlfn.XLOOKUP(A190,Fabbricati!E:E,Fabbricati!D:D)</f>
        <v>382911971</v>
      </c>
      <c r="X190" s="9">
        <f t="shared" si="40"/>
        <v>45571</v>
      </c>
      <c r="Y190" s="9">
        <f t="shared" si="41"/>
        <v>45536</v>
      </c>
      <c r="Z190" s="9">
        <f t="shared" si="42"/>
        <v>45565</v>
      </c>
      <c r="AA190" s="8">
        <f t="shared" si="43"/>
        <v>30</v>
      </c>
      <c r="AB190" s="8">
        <f t="shared" si="44"/>
        <v>2041</v>
      </c>
      <c r="AC190" s="12" t="s">
        <v>149</v>
      </c>
      <c r="AD190" s="11" t="str">
        <f t="shared" si="45"/>
        <v>486
855
700</v>
      </c>
      <c r="AE190" s="11" t="str">
        <f t="shared" si="46"/>
        <v>249
446
296</v>
      </c>
      <c r="AF190" s="11"/>
      <c r="AG190" s="11"/>
      <c r="AH190" s="8">
        <f t="shared" si="47"/>
        <v>308.99</v>
      </c>
      <c r="AI190" s="8">
        <f t="shared" si="48"/>
        <v>303.76</v>
      </c>
      <c r="AJ190" s="8">
        <f t="shared" si="49"/>
        <v>140.41999999999999</v>
      </c>
      <c r="AK190" s="8"/>
      <c r="AL190" s="8"/>
      <c r="AM190" s="8">
        <f t="shared" si="50"/>
        <v>0</v>
      </c>
      <c r="AN190" s="8">
        <f t="shared" si="51"/>
        <v>778.68</v>
      </c>
    </row>
    <row r="191" spans="1:40" ht="48" customHeight="1" x14ac:dyDescent="0.2">
      <c r="A191" s="8" t="str">
        <f>Elettricità!I191</f>
        <v>IT001E04171025</v>
      </c>
      <c r="B191" s="8" t="str">
        <f>Elettricità!A191</f>
        <v>005085485050.PDF</v>
      </c>
      <c r="C191" s="9">
        <f>Elettricità!E191</f>
        <v>45604</v>
      </c>
      <c r="D191" s="9">
        <f>Elettricità!K191</f>
        <v>45566</v>
      </c>
      <c r="E191" s="9">
        <f>Elettricità!L191</f>
        <v>45596</v>
      </c>
      <c r="F191" s="8">
        <f>Elettricità!M191</f>
        <v>2089</v>
      </c>
      <c r="G191" s="8">
        <f>Elettricità!N191</f>
        <v>489</v>
      </c>
      <c r="H191" s="8">
        <f>Elettricità!O191</f>
        <v>943</v>
      </c>
      <c r="I191" s="8">
        <f>Elettricità!P191</f>
        <v>657</v>
      </c>
      <c r="J191" s="8">
        <f>Elettricità!Q191</f>
        <v>829</v>
      </c>
      <c r="K191" s="8">
        <f>Elettricità!R191</f>
        <v>207</v>
      </c>
      <c r="L191" s="8">
        <f>Elettricità!S191</f>
        <v>381</v>
      </c>
      <c r="M191" s="8">
        <f>Elettricità!T191</f>
        <v>241</v>
      </c>
      <c r="N191" s="8">
        <f>Elettricità!W191</f>
        <v>648.79999999999995</v>
      </c>
      <c r="O191" s="8">
        <f>Elettricità!X191</f>
        <v>791.54</v>
      </c>
      <c r="P191" s="8">
        <f>Elettricità!Y191</f>
        <v>0</v>
      </c>
      <c r="Q191" s="8">
        <f>Elettricità!Z191</f>
        <v>312.37</v>
      </c>
      <c r="R191" s="8">
        <f>Elettricità!AA191</f>
        <v>124.84</v>
      </c>
      <c r="S191" s="8">
        <f>Elettricità!AB191</f>
        <v>185.48</v>
      </c>
      <c r="T191" s="8">
        <f>Elettricità!AC191</f>
        <v>0</v>
      </c>
      <c r="U191" s="8">
        <f>Elettricità!AD191</f>
        <v>142.74</v>
      </c>
      <c r="V191" s="8">
        <f t="shared" si="39"/>
        <v>2024</v>
      </c>
      <c r="W191" s="8">
        <f>_xlfn.XLOOKUP(A191,Fabbricati!E:E,Fabbricati!D:D)</f>
        <v>382911971</v>
      </c>
      <c r="X191" s="9">
        <f t="shared" si="40"/>
        <v>45604</v>
      </c>
      <c r="Y191" s="9">
        <f t="shared" si="41"/>
        <v>45566</v>
      </c>
      <c r="Z191" s="9">
        <f t="shared" si="42"/>
        <v>45596</v>
      </c>
      <c r="AA191" s="8">
        <f t="shared" si="43"/>
        <v>31</v>
      </c>
      <c r="AB191" s="8">
        <f t="shared" si="44"/>
        <v>2089</v>
      </c>
      <c r="AC191" s="12" t="s">
        <v>149</v>
      </c>
      <c r="AD191" s="11" t="str">
        <f t="shared" si="45"/>
        <v>489
943
657</v>
      </c>
      <c r="AE191" s="11" t="str">
        <f t="shared" si="46"/>
        <v>207
381
241</v>
      </c>
      <c r="AF191" s="11"/>
      <c r="AG191" s="11"/>
      <c r="AH191" s="8">
        <f t="shared" si="47"/>
        <v>310.32</v>
      </c>
      <c r="AI191" s="8">
        <f t="shared" si="48"/>
        <v>312.37</v>
      </c>
      <c r="AJ191" s="8">
        <f t="shared" si="49"/>
        <v>142.74</v>
      </c>
      <c r="AK191" s="8"/>
      <c r="AL191" s="8"/>
      <c r="AM191" s="8">
        <f t="shared" si="50"/>
        <v>0</v>
      </c>
      <c r="AN191" s="8">
        <f t="shared" si="51"/>
        <v>791.54</v>
      </c>
    </row>
    <row r="192" spans="1:40" ht="48" customHeight="1" x14ac:dyDescent="0.2">
      <c r="A192" s="8" t="str">
        <f>Elettricità!I192</f>
        <v>IT001E04171025</v>
      </c>
      <c r="B192" s="8" t="str">
        <f>Elettricità!A192</f>
        <v>005093369284.PDF</v>
      </c>
      <c r="C192" s="9">
        <f>Elettricità!E192</f>
        <v>45632</v>
      </c>
      <c r="D192" s="9">
        <f>Elettricità!K192</f>
        <v>45597</v>
      </c>
      <c r="E192" s="9">
        <f>Elettricità!L192</f>
        <v>45626</v>
      </c>
      <c r="F192" s="8">
        <f>Elettricità!M192</f>
        <v>1944</v>
      </c>
      <c r="G192" s="8">
        <f>Elettricità!N192</f>
        <v>421</v>
      </c>
      <c r="H192" s="8">
        <f>Elettricità!O192</f>
        <v>922</v>
      </c>
      <c r="I192" s="8">
        <f>Elettricità!P192</f>
        <v>601</v>
      </c>
      <c r="J192" s="8">
        <f>Elettricità!Q192</f>
        <v>820</v>
      </c>
      <c r="K192" s="8">
        <f>Elettricità!R192</f>
        <v>164</v>
      </c>
      <c r="L192" s="8">
        <f>Elettricità!S192</f>
        <v>410</v>
      </c>
      <c r="M192" s="8">
        <f>Elettricità!T192</f>
        <v>246</v>
      </c>
      <c r="N192" s="8">
        <f>Elettricità!W192</f>
        <v>659.24</v>
      </c>
      <c r="O192" s="8">
        <f>Elettricità!X192</f>
        <v>804.27</v>
      </c>
      <c r="P192" s="8">
        <f>Elettricità!Y192</f>
        <v>0</v>
      </c>
      <c r="Q192" s="8">
        <f>Elettricità!Z192</f>
        <v>319.82</v>
      </c>
      <c r="R192" s="8">
        <f>Elettricità!AA192</f>
        <v>130.22</v>
      </c>
      <c r="S192" s="8">
        <f>Elettricità!AB192</f>
        <v>184.9</v>
      </c>
      <c r="T192" s="8">
        <f>Elettricità!AC192</f>
        <v>0</v>
      </c>
      <c r="U192" s="8">
        <f>Elettricità!AD192</f>
        <v>145.03</v>
      </c>
      <c r="V192" s="8">
        <f t="shared" si="39"/>
        <v>2024</v>
      </c>
      <c r="W192" s="8">
        <f>_xlfn.XLOOKUP(A192,Fabbricati!E:E,Fabbricati!D:D)</f>
        <v>382911971</v>
      </c>
      <c r="X192" s="9">
        <f t="shared" si="40"/>
        <v>45632</v>
      </c>
      <c r="Y192" s="9">
        <f t="shared" si="41"/>
        <v>45597</v>
      </c>
      <c r="Z192" s="9">
        <f t="shared" si="42"/>
        <v>45626</v>
      </c>
      <c r="AA192" s="8">
        <f t="shared" si="43"/>
        <v>30</v>
      </c>
      <c r="AB192" s="8">
        <f t="shared" si="44"/>
        <v>1944</v>
      </c>
      <c r="AC192" s="12" t="s">
        <v>149</v>
      </c>
      <c r="AD192" s="11" t="str">
        <f t="shared" si="45"/>
        <v>421
922
601</v>
      </c>
      <c r="AE192" s="11" t="str">
        <f t="shared" si="46"/>
        <v>164
410
246</v>
      </c>
      <c r="AF192" s="11"/>
      <c r="AG192" s="11"/>
      <c r="AH192" s="8">
        <f t="shared" si="47"/>
        <v>315.12</v>
      </c>
      <c r="AI192" s="8">
        <f t="shared" si="48"/>
        <v>319.82</v>
      </c>
      <c r="AJ192" s="8">
        <f t="shared" si="49"/>
        <v>145.03</v>
      </c>
      <c r="AK192" s="8"/>
      <c r="AL192" s="8"/>
      <c r="AM192" s="8">
        <f t="shared" si="50"/>
        <v>0</v>
      </c>
      <c r="AN192" s="8">
        <f t="shared" si="51"/>
        <v>804.27</v>
      </c>
    </row>
    <row r="193" spans="1:40" ht="48" customHeight="1" x14ac:dyDescent="0.2">
      <c r="A193" s="8" t="str">
        <f>Elettricità!I193</f>
        <v>IT001E04171025</v>
      </c>
      <c r="B193" s="8" t="str">
        <f>Elettricità!A193</f>
        <v>005200218697.PDF</v>
      </c>
      <c r="C193" s="9">
        <f>Elettricità!E193</f>
        <v>45665</v>
      </c>
      <c r="D193" s="9">
        <f>Elettricità!K193</f>
        <v>45627</v>
      </c>
      <c r="E193" s="9">
        <f>Elettricità!L193</f>
        <v>45657</v>
      </c>
      <c r="F193" s="8">
        <f>Elettricità!M193</f>
        <v>2094</v>
      </c>
      <c r="G193" s="8">
        <f>Elettricità!N193</f>
        <v>451</v>
      </c>
      <c r="H193" s="8">
        <f>Elettricità!O193</f>
        <v>841</v>
      </c>
      <c r="I193" s="8">
        <f>Elettricità!P193</f>
        <v>802</v>
      </c>
      <c r="J193" s="8">
        <f>Elettricità!Q193</f>
        <v>844</v>
      </c>
      <c r="K193" s="8">
        <f>Elettricità!R193</f>
        <v>172</v>
      </c>
      <c r="L193" s="8">
        <f>Elettricità!S193</f>
        <v>396</v>
      </c>
      <c r="M193" s="8">
        <f>Elettricità!T193</f>
        <v>276</v>
      </c>
      <c r="N193" s="8">
        <f>Elettricità!W193</f>
        <v>726.86</v>
      </c>
      <c r="O193" s="8">
        <f>Elettricità!X193</f>
        <v>886.77</v>
      </c>
      <c r="P193" s="8">
        <f>Elettricità!Y193</f>
        <v>0</v>
      </c>
      <c r="Q193" s="8">
        <f>Elettricità!Z193</f>
        <v>364.9</v>
      </c>
      <c r="R193" s="8">
        <f>Elettricità!AA193</f>
        <v>138.38</v>
      </c>
      <c r="S193" s="8">
        <f>Elettricità!AB193</f>
        <v>197.4</v>
      </c>
      <c r="T193" s="8">
        <f>Elettricità!AC193</f>
        <v>0</v>
      </c>
      <c r="U193" s="8">
        <f>Elettricità!AD193</f>
        <v>159.91</v>
      </c>
      <c r="V193" s="8">
        <f t="shared" si="39"/>
        <v>2024</v>
      </c>
      <c r="W193" s="8">
        <f>_xlfn.XLOOKUP(A193,Fabbricati!E:E,Fabbricati!D:D)</f>
        <v>382911971</v>
      </c>
      <c r="X193" s="9">
        <f t="shared" si="40"/>
        <v>45665</v>
      </c>
      <c r="Y193" s="9">
        <f t="shared" si="41"/>
        <v>45627</v>
      </c>
      <c r="Z193" s="9">
        <f t="shared" si="42"/>
        <v>45657</v>
      </c>
      <c r="AA193" s="8">
        <f t="shared" si="43"/>
        <v>31</v>
      </c>
      <c r="AB193" s="8">
        <f t="shared" si="44"/>
        <v>2094</v>
      </c>
      <c r="AC193" s="12" t="s">
        <v>149</v>
      </c>
      <c r="AD193" s="11" t="str">
        <f t="shared" si="45"/>
        <v>451
841
802</v>
      </c>
      <c r="AE193" s="11" t="str">
        <f t="shared" si="46"/>
        <v>172
396
276</v>
      </c>
      <c r="AF193" s="11"/>
      <c r="AG193" s="11"/>
      <c r="AH193" s="8">
        <f t="shared" si="47"/>
        <v>335.78</v>
      </c>
      <c r="AI193" s="8">
        <f t="shared" si="48"/>
        <v>364.9</v>
      </c>
      <c r="AJ193" s="8">
        <f t="shared" si="49"/>
        <v>159.91</v>
      </c>
      <c r="AK193" s="8"/>
      <c r="AL193" s="8"/>
      <c r="AM193" s="8">
        <f t="shared" si="50"/>
        <v>0</v>
      </c>
      <c r="AN193" s="8">
        <f t="shared" si="51"/>
        <v>886.77</v>
      </c>
    </row>
    <row r="194" spans="1:40" ht="48" customHeight="1" x14ac:dyDescent="0.2">
      <c r="A194" s="8" t="str">
        <f>Elettricità!I194</f>
        <v>IT001E04171031</v>
      </c>
      <c r="B194" s="8" t="str">
        <f>Elettricità!A194</f>
        <v>824500045938_2024_d.pdf</v>
      </c>
      <c r="C194" s="9">
        <f>Elettricità!E194</f>
        <v>45350</v>
      </c>
      <c r="D194" s="9">
        <f>Elettricità!K194</f>
        <v>45292</v>
      </c>
      <c r="E194" s="9">
        <f>Elettricità!L194</f>
        <v>45322</v>
      </c>
      <c r="F194" s="8">
        <f>Elettricità!M194</f>
        <v>223</v>
      </c>
      <c r="G194" s="8">
        <f>Elettricità!N194</f>
        <v>55</v>
      </c>
      <c r="H194" s="8">
        <f>Elettricità!O194</f>
        <v>62</v>
      </c>
      <c r="I194" s="8">
        <f>Elettricità!P194</f>
        <v>106</v>
      </c>
      <c r="J194" s="8">
        <f>Elettricità!Q194</f>
        <v>126</v>
      </c>
      <c r="K194" s="8">
        <f>Elettricità!R194</f>
        <v>36</v>
      </c>
      <c r="L194" s="8">
        <f>Elettricità!S194</f>
        <v>30</v>
      </c>
      <c r="M194" s="8">
        <f>Elettricità!T194</f>
        <v>60</v>
      </c>
      <c r="N194" s="8">
        <f>Elettricità!W194</f>
        <v>67.7</v>
      </c>
      <c r="O194" s="8">
        <f>Elettricità!X194</f>
        <v>82.59</v>
      </c>
      <c r="P194" s="8">
        <f>Elettricità!Y194</f>
        <v>0</v>
      </c>
      <c r="Q194" s="8">
        <f>Elettricità!Z194</f>
        <v>34.56</v>
      </c>
      <c r="R194" s="8">
        <f>Elettricità!AA194</f>
        <v>12.6</v>
      </c>
      <c r="S194" s="8">
        <f>Elettricità!AB194</f>
        <v>16.63</v>
      </c>
      <c r="T194" s="8">
        <f>Elettricità!AC194</f>
        <v>1.1200000000000001</v>
      </c>
      <c r="U194" s="8">
        <f>Elettricità!AD194</f>
        <v>2.79</v>
      </c>
      <c r="V194" s="8">
        <f t="shared" si="39"/>
        <v>2024</v>
      </c>
      <c r="W194" s="8">
        <f>_xlfn.XLOOKUP(A194,Fabbricati!E:E,Fabbricati!D:D)</f>
        <v>1000016205</v>
      </c>
      <c r="X194" s="9">
        <f t="shared" si="40"/>
        <v>45350</v>
      </c>
      <c r="Y194" s="9">
        <f t="shared" si="41"/>
        <v>45292</v>
      </c>
      <c r="Z194" s="9">
        <f t="shared" si="42"/>
        <v>45322</v>
      </c>
      <c r="AA194" s="8">
        <f t="shared" si="43"/>
        <v>31</v>
      </c>
      <c r="AB194" s="8">
        <f t="shared" si="44"/>
        <v>223</v>
      </c>
      <c r="AC194" s="12" t="s">
        <v>149</v>
      </c>
      <c r="AD194" s="11" t="str">
        <f t="shared" si="45"/>
        <v>55
62
106</v>
      </c>
      <c r="AE194" s="11" t="str">
        <f t="shared" si="46"/>
        <v>36
30
60</v>
      </c>
      <c r="AF194" s="11"/>
      <c r="AG194" s="11"/>
      <c r="AH194" s="8">
        <f t="shared" si="47"/>
        <v>29.229999999999997</v>
      </c>
      <c r="AI194" s="8">
        <f t="shared" si="48"/>
        <v>34.56</v>
      </c>
      <c r="AJ194" s="8">
        <f t="shared" si="49"/>
        <v>2.79</v>
      </c>
      <c r="AK194" s="8"/>
      <c r="AL194" s="8"/>
      <c r="AM194" s="8">
        <f t="shared" si="50"/>
        <v>1.1200000000000001</v>
      </c>
      <c r="AN194" s="8">
        <f t="shared" si="51"/>
        <v>82.59</v>
      </c>
    </row>
    <row r="195" spans="1:40" ht="48" customHeight="1" x14ac:dyDescent="0.2">
      <c r="A195" s="8" t="str">
        <f>Elettricità!I195</f>
        <v>IT001E04171031</v>
      </c>
      <c r="B195" s="8" t="str">
        <f>Elettricità!A195</f>
        <v>005018359686.pdf</v>
      </c>
      <c r="C195" s="9">
        <f>Elettricità!E195</f>
        <v>45358</v>
      </c>
      <c r="D195" s="9">
        <f>Elettricità!K195</f>
        <v>45323</v>
      </c>
      <c r="E195" s="9">
        <f>Elettricità!L195</f>
        <v>45351</v>
      </c>
      <c r="F195" s="8">
        <f>Elettricità!M195</f>
        <v>28</v>
      </c>
      <c r="G195" s="8">
        <f>Elettricità!N195</f>
        <v>9</v>
      </c>
      <c r="H195" s="8">
        <f>Elettricità!O195</f>
        <v>8</v>
      </c>
      <c r="I195" s="8">
        <f>Elettricità!P195</f>
        <v>11</v>
      </c>
      <c r="J195" s="8">
        <f>Elettricità!Q195</f>
        <v>35</v>
      </c>
      <c r="K195" s="8">
        <f>Elettricità!R195</f>
        <v>12</v>
      </c>
      <c r="L195" s="8">
        <f>Elettricità!S195</f>
        <v>8</v>
      </c>
      <c r="M195" s="8">
        <f>Elettricità!T195</f>
        <v>15</v>
      </c>
      <c r="N195" s="8">
        <f>Elettricità!W195</f>
        <v>22.36</v>
      </c>
      <c r="O195" s="8">
        <f>Elettricità!X195</f>
        <v>27.28</v>
      </c>
      <c r="P195" s="8">
        <f>Elettricità!Y195</f>
        <v>0</v>
      </c>
      <c r="Q195" s="8">
        <f>Elettricità!Z195</f>
        <v>3.37</v>
      </c>
      <c r="R195" s="8">
        <f>Elettricità!AA195</f>
        <v>10.09</v>
      </c>
      <c r="S195" s="8">
        <f>Elettricità!AB195</f>
        <v>8.5500000000000007</v>
      </c>
      <c r="T195" s="8">
        <f>Elettricità!AC195</f>
        <v>0</v>
      </c>
      <c r="U195" s="8">
        <f>Elettricità!AD195</f>
        <v>4.92</v>
      </c>
      <c r="V195" s="8">
        <f t="shared" ref="V195:V258" si="52">YEAR(Y195)</f>
        <v>2024</v>
      </c>
      <c r="W195" s="8">
        <f>_xlfn.XLOOKUP(A195,Fabbricati!E:E,Fabbricati!D:D)</f>
        <v>1000016205</v>
      </c>
      <c r="X195" s="9">
        <f t="shared" ref="X195:X258" si="53">C195</f>
        <v>45358</v>
      </c>
      <c r="Y195" s="9">
        <f t="shared" ref="Y195:Y258" si="54">D195</f>
        <v>45323</v>
      </c>
      <c r="Z195" s="9">
        <f t="shared" ref="Z195:Z258" si="55">E195</f>
        <v>45351</v>
      </c>
      <c r="AA195" s="8">
        <f t="shared" ref="AA195:AA258" si="56">Z195-Y195+1</f>
        <v>29</v>
      </c>
      <c r="AB195" s="8">
        <f t="shared" ref="AB195:AB258" si="57">F195</f>
        <v>28</v>
      </c>
      <c r="AC195" s="12" t="s">
        <v>149</v>
      </c>
      <c r="AD195" s="11" t="str">
        <f t="shared" ref="AD195:AD258" si="58">G195  &amp; _xlfn.UNICHAR(10) &amp; H195  &amp; _xlfn.UNICHAR(10)  &amp;  I195</f>
        <v>9
8
11</v>
      </c>
      <c r="AE195" s="11" t="str">
        <f t="shared" ref="AE195:AE258" si="59">K195  &amp; _xlfn.UNICHAR(10) &amp; L195  &amp; _xlfn.UNICHAR(10)  &amp;  M195</f>
        <v>12
8
15</v>
      </c>
      <c r="AF195" s="11"/>
      <c r="AG195" s="11"/>
      <c r="AH195" s="8">
        <f t="shared" ref="AH195:AH258" si="60">R195+S195</f>
        <v>18.64</v>
      </c>
      <c r="AI195" s="8">
        <f t="shared" ref="AI195:AI258" si="61">Q195</f>
        <v>3.37</v>
      </c>
      <c r="AJ195" s="8">
        <f t="shared" ref="AJ195:AJ258" si="62">U195</f>
        <v>4.92</v>
      </c>
      <c r="AK195" s="8"/>
      <c r="AL195" s="8"/>
      <c r="AM195" s="8">
        <f t="shared" ref="AM195:AM258" si="63">T195</f>
        <v>0</v>
      </c>
      <c r="AN195" s="8">
        <f t="shared" ref="AN195:AN258" si="64">O195</f>
        <v>27.28</v>
      </c>
    </row>
    <row r="196" spans="1:40" ht="48" customHeight="1" x14ac:dyDescent="0.2">
      <c r="A196" s="8" t="str">
        <f>Elettricità!I196</f>
        <v>IT001E04171031</v>
      </c>
      <c r="B196" s="8" t="str">
        <f>Elettricità!A196</f>
        <v>005026659969.pdf</v>
      </c>
      <c r="C196" s="9">
        <f>Elettricità!E196</f>
        <v>45390</v>
      </c>
      <c r="D196" s="9">
        <f>Elettricità!K196</f>
        <v>45352</v>
      </c>
      <c r="E196" s="9">
        <f>Elettricità!L196</f>
        <v>45382</v>
      </c>
      <c r="F196" s="8">
        <f>Elettricità!M196</f>
        <v>51</v>
      </c>
      <c r="G196" s="8">
        <f>Elettricità!N196</f>
        <v>11</v>
      </c>
      <c r="H196" s="8">
        <f>Elettricità!O196</f>
        <v>18</v>
      </c>
      <c r="I196" s="8">
        <f>Elettricità!P196</f>
        <v>22</v>
      </c>
      <c r="J196" s="8">
        <f>Elettricità!Q196</f>
        <v>51</v>
      </c>
      <c r="K196" s="8">
        <f>Elettricità!R196</f>
        <v>14</v>
      </c>
      <c r="L196" s="8">
        <f>Elettricità!S196</f>
        <v>15</v>
      </c>
      <c r="M196" s="8">
        <f>Elettricità!T196</f>
        <v>22</v>
      </c>
      <c r="N196" s="8">
        <f>Elettricità!W196</f>
        <v>26.42</v>
      </c>
      <c r="O196" s="8">
        <f>Elettricità!X196</f>
        <v>32.229999999999997</v>
      </c>
      <c r="P196" s="8">
        <f>Elettricità!Y196</f>
        <v>0</v>
      </c>
      <c r="Q196" s="8">
        <f>Elettricità!Z196</f>
        <v>5.9</v>
      </c>
      <c r="R196" s="8">
        <f>Elettricità!AA196</f>
        <v>10.38</v>
      </c>
      <c r="S196" s="8">
        <f>Elettricità!AB196</f>
        <v>9.5</v>
      </c>
      <c r="T196" s="8">
        <f>Elettricità!AC196</f>
        <v>0</v>
      </c>
      <c r="U196" s="8">
        <f>Elettricità!AD196</f>
        <v>5.81</v>
      </c>
      <c r="V196" s="8">
        <f t="shared" si="52"/>
        <v>2024</v>
      </c>
      <c r="W196" s="8">
        <f>_xlfn.XLOOKUP(A196,Fabbricati!E:E,Fabbricati!D:D)</f>
        <v>1000016205</v>
      </c>
      <c r="X196" s="9">
        <f t="shared" si="53"/>
        <v>45390</v>
      </c>
      <c r="Y196" s="9">
        <f t="shared" si="54"/>
        <v>45352</v>
      </c>
      <c r="Z196" s="9">
        <f t="shared" si="55"/>
        <v>45382</v>
      </c>
      <c r="AA196" s="8">
        <f t="shared" si="56"/>
        <v>31</v>
      </c>
      <c r="AB196" s="8">
        <f t="shared" si="57"/>
        <v>51</v>
      </c>
      <c r="AC196" s="12" t="s">
        <v>149</v>
      </c>
      <c r="AD196" s="11" t="str">
        <f t="shared" si="58"/>
        <v>11
18
22</v>
      </c>
      <c r="AE196" s="11" t="str">
        <f t="shared" si="59"/>
        <v>14
15
22</v>
      </c>
      <c r="AF196" s="11"/>
      <c r="AG196" s="11"/>
      <c r="AH196" s="8">
        <f t="shared" si="60"/>
        <v>19.880000000000003</v>
      </c>
      <c r="AI196" s="8">
        <f t="shared" si="61"/>
        <v>5.9</v>
      </c>
      <c r="AJ196" s="8">
        <f t="shared" si="62"/>
        <v>5.81</v>
      </c>
      <c r="AK196" s="8"/>
      <c r="AL196" s="8"/>
      <c r="AM196" s="8">
        <f t="shared" si="63"/>
        <v>0</v>
      </c>
      <c r="AN196" s="8">
        <f t="shared" si="64"/>
        <v>32.229999999999997</v>
      </c>
    </row>
    <row r="197" spans="1:40" ht="48" customHeight="1" x14ac:dyDescent="0.2">
      <c r="A197" s="8" t="str">
        <f>Elettricità!I197</f>
        <v>IT001E04171031</v>
      </c>
      <c r="B197" s="8" t="str">
        <f>Elettricità!A197</f>
        <v>005034930239.PDF</v>
      </c>
      <c r="C197" s="9">
        <f>Elettricità!E197</f>
        <v>45419</v>
      </c>
      <c r="D197" s="9">
        <f>Elettricità!K197</f>
        <v>45383</v>
      </c>
      <c r="E197" s="9">
        <f>Elettricità!L197</f>
        <v>45412</v>
      </c>
      <c r="F197" s="8">
        <f>Elettricità!M197</f>
        <v>51</v>
      </c>
      <c r="G197" s="8">
        <f>Elettricità!N197</f>
        <v>14</v>
      </c>
      <c r="H197" s="8">
        <f>Elettricità!O197</f>
        <v>11</v>
      </c>
      <c r="I197" s="8">
        <f>Elettricità!P197</f>
        <v>26</v>
      </c>
      <c r="J197" s="8">
        <f>Elettricità!Q197</f>
        <v>67</v>
      </c>
      <c r="K197" s="8">
        <f>Elettricità!R197</f>
        <v>19</v>
      </c>
      <c r="L197" s="8">
        <f>Elettricità!S197</f>
        <v>15</v>
      </c>
      <c r="M197" s="8">
        <f>Elettricità!T197</f>
        <v>33</v>
      </c>
      <c r="N197" s="8">
        <f>Elettricità!W197</f>
        <v>27.76</v>
      </c>
      <c r="O197" s="8">
        <f>Elettricità!X197</f>
        <v>33.869999999999997</v>
      </c>
      <c r="P197" s="8">
        <f>Elettricità!Y197</f>
        <v>0</v>
      </c>
      <c r="Q197" s="8">
        <f>Elettricità!Z197</f>
        <v>5.68</v>
      </c>
      <c r="R197" s="8">
        <f>Elettricità!AA197</f>
        <v>10.38</v>
      </c>
      <c r="S197" s="8">
        <f>Elettricità!AB197</f>
        <v>11.06</v>
      </c>
      <c r="T197" s="8">
        <f>Elettricità!AC197</f>
        <v>0</v>
      </c>
      <c r="U197" s="8">
        <f>Elettricità!AD197</f>
        <v>6.11</v>
      </c>
      <c r="V197" s="8">
        <f t="shared" si="52"/>
        <v>2024</v>
      </c>
      <c r="W197" s="8">
        <f>_xlfn.XLOOKUP(A197,Fabbricati!E:E,Fabbricati!D:D)</f>
        <v>1000016205</v>
      </c>
      <c r="X197" s="9">
        <f t="shared" si="53"/>
        <v>45419</v>
      </c>
      <c r="Y197" s="9">
        <f t="shared" si="54"/>
        <v>45383</v>
      </c>
      <c r="Z197" s="9">
        <f t="shared" si="55"/>
        <v>45412</v>
      </c>
      <c r="AA197" s="8">
        <f t="shared" si="56"/>
        <v>30</v>
      </c>
      <c r="AB197" s="8">
        <f t="shared" si="57"/>
        <v>51</v>
      </c>
      <c r="AC197" s="12" t="s">
        <v>149</v>
      </c>
      <c r="AD197" s="11" t="str">
        <f t="shared" si="58"/>
        <v>14
11
26</v>
      </c>
      <c r="AE197" s="11" t="str">
        <f t="shared" si="59"/>
        <v>19
15
33</v>
      </c>
      <c r="AF197" s="11"/>
      <c r="AG197" s="11"/>
      <c r="AH197" s="8">
        <f t="shared" si="60"/>
        <v>21.44</v>
      </c>
      <c r="AI197" s="8">
        <f t="shared" si="61"/>
        <v>5.68</v>
      </c>
      <c r="AJ197" s="8">
        <f t="shared" si="62"/>
        <v>6.11</v>
      </c>
      <c r="AK197" s="8"/>
      <c r="AL197" s="8"/>
      <c r="AM197" s="8">
        <f t="shared" si="63"/>
        <v>0</v>
      </c>
      <c r="AN197" s="8">
        <f t="shared" si="64"/>
        <v>33.869999999999997</v>
      </c>
    </row>
    <row r="198" spans="1:40" ht="48" customHeight="1" x14ac:dyDescent="0.2">
      <c r="A198" s="8" t="str">
        <f>Elettricità!I198</f>
        <v>IT001E04171031</v>
      </c>
      <c r="B198" s="8" t="str">
        <f>Elettricità!A198</f>
        <v>005043663105(1).PDF</v>
      </c>
      <c r="C198" s="9">
        <f>Elettricità!E198</f>
        <v>45449</v>
      </c>
      <c r="D198" s="9">
        <f>Elettricità!K198</f>
        <v>45413</v>
      </c>
      <c r="E198" s="9">
        <f>Elettricità!L198</f>
        <v>45443</v>
      </c>
      <c r="F198" s="8">
        <f>Elettricità!M198</f>
        <v>52</v>
      </c>
      <c r="G198" s="8">
        <f>Elettricità!N198</f>
        <v>15</v>
      </c>
      <c r="H198" s="8">
        <f>Elettricità!O198</f>
        <v>12</v>
      </c>
      <c r="I198" s="8">
        <f>Elettricità!P198</f>
        <v>25</v>
      </c>
      <c r="J198" s="8">
        <f>Elettricità!Q198</f>
        <v>71</v>
      </c>
      <c r="K198" s="8">
        <f>Elettricità!R198</f>
        <v>22</v>
      </c>
      <c r="L198" s="8">
        <f>Elettricità!S198</f>
        <v>16</v>
      </c>
      <c r="M198" s="8">
        <f>Elettricità!T198</f>
        <v>33</v>
      </c>
      <c r="N198" s="8">
        <f>Elettricità!W198</f>
        <v>28.5</v>
      </c>
      <c r="O198" s="8">
        <f>Elettricità!X198</f>
        <v>34.770000000000003</v>
      </c>
      <c r="P198" s="8">
        <f>Elettricità!Y198</f>
        <v>0</v>
      </c>
      <c r="Q198" s="8">
        <f>Elettricità!Z198</f>
        <v>6.34</v>
      </c>
      <c r="R198" s="8">
        <f>Elettricità!AA198</f>
        <v>10.39</v>
      </c>
      <c r="S198" s="8">
        <f>Elettricità!AB198</f>
        <v>11.12</v>
      </c>
      <c r="T198" s="8">
        <f>Elettricità!AC198</f>
        <v>0</v>
      </c>
      <c r="U198" s="8">
        <f>Elettricità!AD198</f>
        <v>6.27</v>
      </c>
      <c r="V198" s="8">
        <f t="shared" si="52"/>
        <v>2024</v>
      </c>
      <c r="W198" s="8">
        <f>_xlfn.XLOOKUP(A198,Fabbricati!E:E,Fabbricati!D:D)</f>
        <v>1000016205</v>
      </c>
      <c r="X198" s="9">
        <f t="shared" si="53"/>
        <v>45449</v>
      </c>
      <c r="Y198" s="9">
        <f t="shared" si="54"/>
        <v>45413</v>
      </c>
      <c r="Z198" s="9">
        <f t="shared" si="55"/>
        <v>45443</v>
      </c>
      <c r="AA198" s="8">
        <f t="shared" si="56"/>
        <v>31</v>
      </c>
      <c r="AB198" s="8">
        <f t="shared" si="57"/>
        <v>52</v>
      </c>
      <c r="AC198" s="12" t="s">
        <v>149</v>
      </c>
      <c r="AD198" s="11" t="str">
        <f t="shared" si="58"/>
        <v>15
12
25</v>
      </c>
      <c r="AE198" s="11" t="str">
        <f t="shared" si="59"/>
        <v>22
16
33</v>
      </c>
      <c r="AF198" s="11"/>
      <c r="AG198" s="11"/>
      <c r="AH198" s="8">
        <f t="shared" si="60"/>
        <v>21.509999999999998</v>
      </c>
      <c r="AI198" s="8">
        <f t="shared" si="61"/>
        <v>6.34</v>
      </c>
      <c r="AJ198" s="8">
        <f t="shared" si="62"/>
        <v>6.27</v>
      </c>
      <c r="AK198" s="8"/>
      <c r="AL198" s="8"/>
      <c r="AM198" s="8">
        <f t="shared" si="63"/>
        <v>0</v>
      </c>
      <c r="AN198" s="8">
        <f t="shared" si="64"/>
        <v>34.770000000000003</v>
      </c>
    </row>
    <row r="199" spans="1:40" ht="48" customHeight="1" x14ac:dyDescent="0.2">
      <c r="A199" s="8" t="str">
        <f>Elettricità!I199</f>
        <v>IT001E04171031</v>
      </c>
      <c r="B199" s="8" t="str">
        <f>Elettricità!A199</f>
        <v>005051431117.PDF</v>
      </c>
      <c r="C199" s="9">
        <f>Elettricità!E199</f>
        <v>45478</v>
      </c>
      <c r="D199" s="9">
        <f>Elettricità!K199</f>
        <v>45444</v>
      </c>
      <c r="E199" s="9">
        <f>Elettricità!L199</f>
        <v>45473</v>
      </c>
      <c r="F199" s="8">
        <f>Elettricità!M199</f>
        <v>57</v>
      </c>
      <c r="G199" s="8">
        <f>Elettricità!N199</f>
        <v>16</v>
      </c>
      <c r="H199" s="8">
        <f>Elettricità!O199</f>
        <v>16</v>
      </c>
      <c r="I199" s="8">
        <f>Elettricità!P199</f>
        <v>25</v>
      </c>
      <c r="J199" s="8">
        <f>Elettricità!Q199</f>
        <v>85</v>
      </c>
      <c r="K199" s="8">
        <f>Elettricità!R199</f>
        <v>25</v>
      </c>
      <c r="L199" s="8">
        <f>Elettricità!S199</f>
        <v>23</v>
      </c>
      <c r="M199" s="8">
        <f>Elettricità!T199</f>
        <v>37</v>
      </c>
      <c r="N199" s="8">
        <f>Elettricità!W199</f>
        <v>30.3</v>
      </c>
      <c r="O199" s="8">
        <f>Elettricità!X199</f>
        <v>36.97</v>
      </c>
      <c r="P199" s="8">
        <f>Elettricità!Y199</f>
        <v>0</v>
      </c>
      <c r="Q199" s="8">
        <f>Elettricità!Z199</f>
        <v>7.77</v>
      </c>
      <c r="R199" s="8">
        <f>Elettricità!AA199</f>
        <v>10.46</v>
      </c>
      <c r="S199" s="8">
        <f>Elettricità!AB199</f>
        <v>11.36</v>
      </c>
      <c r="T199" s="8">
        <f>Elettricità!AC199</f>
        <v>0</v>
      </c>
      <c r="U199" s="8">
        <f>Elettricità!AD199</f>
        <v>6.67</v>
      </c>
      <c r="V199" s="8">
        <f t="shared" si="52"/>
        <v>2024</v>
      </c>
      <c r="W199" s="8">
        <f>_xlfn.XLOOKUP(A199,Fabbricati!E:E,Fabbricati!D:D)</f>
        <v>1000016205</v>
      </c>
      <c r="X199" s="9">
        <f t="shared" si="53"/>
        <v>45478</v>
      </c>
      <c r="Y199" s="9">
        <f t="shared" si="54"/>
        <v>45444</v>
      </c>
      <c r="Z199" s="9">
        <f t="shared" si="55"/>
        <v>45473</v>
      </c>
      <c r="AA199" s="8">
        <f t="shared" si="56"/>
        <v>30</v>
      </c>
      <c r="AB199" s="8">
        <f t="shared" si="57"/>
        <v>57</v>
      </c>
      <c r="AC199" s="12" t="s">
        <v>149</v>
      </c>
      <c r="AD199" s="11" t="str">
        <f t="shared" si="58"/>
        <v>16
16
25</v>
      </c>
      <c r="AE199" s="11" t="str">
        <f t="shared" si="59"/>
        <v>25
23
37</v>
      </c>
      <c r="AF199" s="11"/>
      <c r="AG199" s="11"/>
      <c r="AH199" s="8">
        <f t="shared" si="60"/>
        <v>21.82</v>
      </c>
      <c r="AI199" s="8">
        <f t="shared" si="61"/>
        <v>7.77</v>
      </c>
      <c r="AJ199" s="8">
        <f t="shared" si="62"/>
        <v>6.67</v>
      </c>
      <c r="AK199" s="8"/>
      <c r="AL199" s="8"/>
      <c r="AM199" s="8">
        <f t="shared" si="63"/>
        <v>0</v>
      </c>
      <c r="AN199" s="8">
        <f t="shared" si="64"/>
        <v>36.97</v>
      </c>
    </row>
    <row r="200" spans="1:40" ht="48" customHeight="1" x14ac:dyDescent="0.2">
      <c r="A200" s="8" t="str">
        <f>Elettricità!I200</f>
        <v>IT001E04171031</v>
      </c>
      <c r="B200" s="8" t="str">
        <f>Elettricità!A200</f>
        <v>005059958081.PDF</v>
      </c>
      <c r="C200" s="9">
        <f>Elettricità!E200</f>
        <v>45511</v>
      </c>
      <c r="D200" s="9">
        <f>Elettricità!K200</f>
        <v>45474</v>
      </c>
      <c r="E200" s="9">
        <f>Elettricità!L200</f>
        <v>45504</v>
      </c>
      <c r="F200" s="8">
        <f>Elettricità!M200</f>
        <v>58</v>
      </c>
      <c r="G200" s="8">
        <f>Elettricità!N200</f>
        <v>20</v>
      </c>
      <c r="H200" s="8">
        <f>Elettricità!O200</f>
        <v>14</v>
      </c>
      <c r="I200" s="8">
        <f>Elettricità!P200</f>
        <v>24</v>
      </c>
      <c r="J200" s="8">
        <f>Elettricità!Q200</f>
        <v>88</v>
      </c>
      <c r="K200" s="8">
        <f>Elettricità!R200</f>
        <v>30</v>
      </c>
      <c r="L200" s="8">
        <f>Elettricità!S200</f>
        <v>21</v>
      </c>
      <c r="M200" s="8">
        <f>Elettricità!T200</f>
        <v>37</v>
      </c>
      <c r="N200" s="8">
        <f>Elettricità!W200</f>
        <v>31.43</v>
      </c>
      <c r="O200" s="8">
        <f>Elettricità!X200</f>
        <v>38.340000000000003</v>
      </c>
      <c r="P200" s="8">
        <f>Elettricità!Y200</f>
        <v>0</v>
      </c>
      <c r="Q200" s="8">
        <f>Elettricità!Z200</f>
        <v>8.83</v>
      </c>
      <c r="R200" s="8">
        <f>Elettricità!AA200</f>
        <v>10.47</v>
      </c>
      <c r="S200" s="8">
        <f>Elettricità!AB200</f>
        <v>11.4</v>
      </c>
      <c r="T200" s="8">
        <f>Elettricità!AC200</f>
        <v>0</v>
      </c>
      <c r="U200" s="8">
        <f>Elettricità!AD200</f>
        <v>6.91</v>
      </c>
      <c r="V200" s="8">
        <f t="shared" si="52"/>
        <v>2024</v>
      </c>
      <c r="W200" s="8">
        <f>_xlfn.XLOOKUP(A200,Fabbricati!E:E,Fabbricati!D:D)</f>
        <v>1000016205</v>
      </c>
      <c r="X200" s="9">
        <f t="shared" si="53"/>
        <v>45511</v>
      </c>
      <c r="Y200" s="9">
        <f t="shared" si="54"/>
        <v>45474</v>
      </c>
      <c r="Z200" s="9">
        <f t="shared" si="55"/>
        <v>45504</v>
      </c>
      <c r="AA200" s="8">
        <f t="shared" si="56"/>
        <v>31</v>
      </c>
      <c r="AB200" s="8">
        <f t="shared" si="57"/>
        <v>58</v>
      </c>
      <c r="AC200" s="12" t="s">
        <v>149</v>
      </c>
      <c r="AD200" s="11" t="str">
        <f t="shared" si="58"/>
        <v>20
14
24</v>
      </c>
      <c r="AE200" s="11" t="str">
        <f t="shared" si="59"/>
        <v>30
21
37</v>
      </c>
      <c r="AF200" s="11"/>
      <c r="AG200" s="11"/>
      <c r="AH200" s="8">
        <f t="shared" si="60"/>
        <v>21.87</v>
      </c>
      <c r="AI200" s="8">
        <f t="shared" si="61"/>
        <v>8.83</v>
      </c>
      <c r="AJ200" s="8">
        <f t="shared" si="62"/>
        <v>6.91</v>
      </c>
      <c r="AK200" s="8"/>
      <c r="AL200" s="8"/>
      <c r="AM200" s="8">
        <f t="shared" si="63"/>
        <v>0</v>
      </c>
      <c r="AN200" s="8">
        <f t="shared" si="64"/>
        <v>38.340000000000003</v>
      </c>
    </row>
    <row r="201" spans="1:40" ht="48" customHeight="1" x14ac:dyDescent="0.2">
      <c r="A201" s="8" t="str">
        <f>Elettricità!I201</f>
        <v>IT001E04171031</v>
      </c>
      <c r="B201" s="8" t="str">
        <f>Elettricità!A201</f>
        <v>005067307616.PDF</v>
      </c>
      <c r="C201" s="9">
        <f>Elettricità!E201</f>
        <v>45541</v>
      </c>
      <c r="D201" s="9">
        <f>Elettricità!K201</f>
        <v>45505</v>
      </c>
      <c r="E201" s="9">
        <f>Elettricità!L201</f>
        <v>45535</v>
      </c>
      <c r="F201" s="8">
        <f>Elettricità!M201</f>
        <v>31</v>
      </c>
      <c r="G201" s="8">
        <f>Elettricità!N201</f>
        <v>10</v>
      </c>
      <c r="H201" s="8">
        <f>Elettricità!O201</f>
        <v>8</v>
      </c>
      <c r="I201" s="8">
        <f>Elettricità!P201</f>
        <v>13</v>
      </c>
      <c r="J201" s="8">
        <f>Elettricità!Q201</f>
        <v>45</v>
      </c>
      <c r="K201" s="8">
        <f>Elettricità!R201</f>
        <v>15</v>
      </c>
      <c r="L201" s="8">
        <f>Elettricità!S201</f>
        <v>12</v>
      </c>
      <c r="M201" s="8">
        <f>Elettricità!T201</f>
        <v>18</v>
      </c>
      <c r="N201" s="8">
        <f>Elettricità!W201</f>
        <v>25.53</v>
      </c>
      <c r="O201" s="8">
        <f>Elettricità!X201</f>
        <v>31.15</v>
      </c>
      <c r="P201" s="8">
        <f>Elettricità!Y201</f>
        <v>0</v>
      </c>
      <c r="Q201" s="8">
        <f>Elettricità!Z201</f>
        <v>4.91</v>
      </c>
      <c r="R201" s="8">
        <f>Elettricità!AA201</f>
        <v>10.130000000000001</v>
      </c>
      <c r="S201" s="8">
        <f>Elettricità!AB201</f>
        <v>10.1</v>
      </c>
      <c r="T201" s="8">
        <f>Elettricità!AC201</f>
        <v>0</v>
      </c>
      <c r="U201" s="8">
        <f>Elettricità!AD201</f>
        <v>5.62</v>
      </c>
      <c r="V201" s="8">
        <f t="shared" si="52"/>
        <v>2024</v>
      </c>
      <c r="W201" s="8">
        <f>_xlfn.XLOOKUP(A201,Fabbricati!E:E,Fabbricati!D:D)</f>
        <v>1000016205</v>
      </c>
      <c r="X201" s="9">
        <f t="shared" si="53"/>
        <v>45541</v>
      </c>
      <c r="Y201" s="9">
        <f t="shared" si="54"/>
        <v>45505</v>
      </c>
      <c r="Z201" s="9">
        <f t="shared" si="55"/>
        <v>45535</v>
      </c>
      <c r="AA201" s="8">
        <f t="shared" si="56"/>
        <v>31</v>
      </c>
      <c r="AB201" s="8">
        <f t="shared" si="57"/>
        <v>31</v>
      </c>
      <c r="AC201" s="12" t="s">
        <v>149</v>
      </c>
      <c r="AD201" s="11" t="str">
        <f t="shared" si="58"/>
        <v>10
8
13</v>
      </c>
      <c r="AE201" s="11" t="str">
        <f t="shared" si="59"/>
        <v>15
12
18</v>
      </c>
      <c r="AF201" s="11"/>
      <c r="AG201" s="11"/>
      <c r="AH201" s="8">
        <f t="shared" si="60"/>
        <v>20.23</v>
      </c>
      <c r="AI201" s="8">
        <f t="shared" si="61"/>
        <v>4.91</v>
      </c>
      <c r="AJ201" s="8">
        <f t="shared" si="62"/>
        <v>5.62</v>
      </c>
      <c r="AK201" s="8"/>
      <c r="AL201" s="8"/>
      <c r="AM201" s="8">
        <f t="shared" si="63"/>
        <v>0</v>
      </c>
      <c r="AN201" s="8">
        <f t="shared" si="64"/>
        <v>31.15</v>
      </c>
    </row>
    <row r="202" spans="1:40" ht="48" customHeight="1" x14ac:dyDescent="0.2">
      <c r="A202" s="8" t="str">
        <f>Elettricità!I202</f>
        <v>IT001E04171031</v>
      </c>
      <c r="B202" s="8" t="str">
        <f>Elettricità!A202</f>
        <v>005076347795.PDF</v>
      </c>
      <c r="C202" s="9">
        <f>Elettricità!E202</f>
        <v>45571</v>
      </c>
      <c r="D202" s="9">
        <f>Elettricità!K202</f>
        <v>45536</v>
      </c>
      <c r="E202" s="9">
        <f>Elettricità!L202</f>
        <v>45565</v>
      </c>
      <c r="F202" s="8">
        <f>Elettricità!M202</f>
        <v>44</v>
      </c>
      <c r="G202" s="8">
        <f>Elettricità!N202</f>
        <v>14</v>
      </c>
      <c r="H202" s="8">
        <f>Elettricità!O202</f>
        <v>12</v>
      </c>
      <c r="I202" s="8">
        <f>Elettricità!P202</f>
        <v>18</v>
      </c>
      <c r="J202" s="8">
        <f>Elettricità!Q202</f>
        <v>64</v>
      </c>
      <c r="K202" s="8">
        <f>Elettricità!R202</f>
        <v>21</v>
      </c>
      <c r="L202" s="8">
        <f>Elettricità!S202</f>
        <v>15</v>
      </c>
      <c r="M202" s="8">
        <f>Elettricità!T202</f>
        <v>28</v>
      </c>
      <c r="N202" s="8">
        <f>Elettricità!W202</f>
        <v>27.96</v>
      </c>
      <c r="O202" s="8">
        <f>Elettricità!X202</f>
        <v>34.11</v>
      </c>
      <c r="P202" s="8">
        <f>Elettricità!Y202</f>
        <v>0</v>
      </c>
      <c r="Q202" s="8">
        <f>Elettricità!Z202</f>
        <v>6.38</v>
      </c>
      <c r="R202" s="8">
        <f>Elettricità!AA202</f>
        <v>10.29</v>
      </c>
      <c r="S202" s="8">
        <f>Elettricità!AB202</f>
        <v>10.74</v>
      </c>
      <c r="T202" s="8">
        <f>Elettricità!AC202</f>
        <v>0</v>
      </c>
      <c r="U202" s="8">
        <f>Elettricità!AD202</f>
        <v>6.15</v>
      </c>
      <c r="V202" s="8">
        <f t="shared" si="52"/>
        <v>2024</v>
      </c>
      <c r="W202" s="8">
        <f>_xlfn.XLOOKUP(A202,Fabbricati!E:E,Fabbricati!D:D)</f>
        <v>1000016205</v>
      </c>
      <c r="X202" s="9">
        <f t="shared" si="53"/>
        <v>45571</v>
      </c>
      <c r="Y202" s="9">
        <f t="shared" si="54"/>
        <v>45536</v>
      </c>
      <c r="Z202" s="9">
        <f t="shared" si="55"/>
        <v>45565</v>
      </c>
      <c r="AA202" s="8">
        <f t="shared" si="56"/>
        <v>30</v>
      </c>
      <c r="AB202" s="8">
        <f t="shared" si="57"/>
        <v>44</v>
      </c>
      <c r="AC202" s="12" t="s">
        <v>149</v>
      </c>
      <c r="AD202" s="11" t="str">
        <f t="shared" si="58"/>
        <v>14
12
18</v>
      </c>
      <c r="AE202" s="11" t="str">
        <f t="shared" si="59"/>
        <v>21
15
28</v>
      </c>
      <c r="AF202" s="11"/>
      <c r="AG202" s="11"/>
      <c r="AH202" s="8">
        <f t="shared" si="60"/>
        <v>21.03</v>
      </c>
      <c r="AI202" s="8">
        <f t="shared" si="61"/>
        <v>6.38</v>
      </c>
      <c r="AJ202" s="8">
        <f t="shared" si="62"/>
        <v>6.15</v>
      </c>
      <c r="AK202" s="8"/>
      <c r="AL202" s="8"/>
      <c r="AM202" s="8">
        <f t="shared" si="63"/>
        <v>0</v>
      </c>
      <c r="AN202" s="8">
        <f t="shared" si="64"/>
        <v>34.11</v>
      </c>
    </row>
    <row r="203" spans="1:40" ht="48" customHeight="1" x14ac:dyDescent="0.2">
      <c r="A203" s="8" t="str">
        <f>Elettricità!I203</f>
        <v>IT001E04171031</v>
      </c>
      <c r="B203" s="8" t="str">
        <f>Elettricità!A203</f>
        <v>005085485052.PDF</v>
      </c>
      <c r="C203" s="9">
        <f>Elettricità!E203</f>
        <v>45604</v>
      </c>
      <c r="D203" s="9">
        <f>Elettricità!K203</f>
        <v>45566</v>
      </c>
      <c r="E203" s="9">
        <f>Elettricità!L203</f>
        <v>45596</v>
      </c>
      <c r="F203" s="8">
        <f>Elettricità!M203</f>
        <v>13</v>
      </c>
      <c r="G203" s="8">
        <f>Elettricità!N203</f>
        <v>4</v>
      </c>
      <c r="H203" s="8">
        <f>Elettricità!O203</f>
        <v>8</v>
      </c>
      <c r="I203" s="8">
        <f>Elettricità!P203</f>
        <v>1</v>
      </c>
      <c r="J203" s="8">
        <f>Elettricità!Q203</f>
        <v>3</v>
      </c>
      <c r="K203" s="8">
        <f>Elettricità!R203</f>
        <v>1</v>
      </c>
      <c r="L203" s="8">
        <f>Elettricità!S203</f>
        <v>2</v>
      </c>
      <c r="M203" s="8">
        <f>Elettricità!T203</f>
        <v>0</v>
      </c>
      <c r="N203" s="8">
        <f>Elettricità!W203</f>
        <v>21.27</v>
      </c>
      <c r="O203" s="8">
        <f>Elettricità!X203</f>
        <v>25.95</v>
      </c>
      <c r="P203" s="8">
        <f>Elettricità!Y203</f>
        <v>0</v>
      </c>
      <c r="Q203" s="8">
        <f>Elettricità!Z203</f>
        <v>1.98</v>
      </c>
      <c r="R203" s="8">
        <f>Elettricità!AA203</f>
        <v>9.9</v>
      </c>
      <c r="S203" s="8">
        <f>Elettricità!AB203</f>
        <v>9.23</v>
      </c>
      <c r="T203" s="8">
        <f>Elettricità!AC203</f>
        <v>0</v>
      </c>
      <c r="U203" s="8">
        <f>Elettricità!AD203</f>
        <v>4.68</v>
      </c>
      <c r="V203" s="8">
        <f t="shared" si="52"/>
        <v>2024</v>
      </c>
      <c r="W203" s="8">
        <f>_xlfn.XLOOKUP(A203,Fabbricati!E:E,Fabbricati!D:D)</f>
        <v>1000016205</v>
      </c>
      <c r="X203" s="9">
        <f t="shared" si="53"/>
        <v>45604</v>
      </c>
      <c r="Y203" s="9">
        <f t="shared" si="54"/>
        <v>45566</v>
      </c>
      <c r="Z203" s="9">
        <f t="shared" si="55"/>
        <v>45596</v>
      </c>
      <c r="AA203" s="8">
        <f t="shared" si="56"/>
        <v>31</v>
      </c>
      <c r="AB203" s="8">
        <f t="shared" si="57"/>
        <v>13</v>
      </c>
      <c r="AC203" s="12" t="s">
        <v>149</v>
      </c>
      <c r="AD203" s="11" t="str">
        <f t="shared" si="58"/>
        <v>4
8
1</v>
      </c>
      <c r="AE203" s="11" t="str">
        <f t="shared" si="59"/>
        <v>1
2
0</v>
      </c>
      <c r="AF203" s="11"/>
      <c r="AG203" s="11"/>
      <c r="AH203" s="8">
        <f t="shared" si="60"/>
        <v>19.130000000000003</v>
      </c>
      <c r="AI203" s="8">
        <f t="shared" si="61"/>
        <v>1.98</v>
      </c>
      <c r="AJ203" s="8">
        <f t="shared" si="62"/>
        <v>4.68</v>
      </c>
      <c r="AK203" s="8"/>
      <c r="AL203" s="8"/>
      <c r="AM203" s="8">
        <f t="shared" si="63"/>
        <v>0</v>
      </c>
      <c r="AN203" s="8">
        <f t="shared" si="64"/>
        <v>25.95</v>
      </c>
    </row>
    <row r="204" spans="1:40" ht="48" customHeight="1" x14ac:dyDescent="0.2">
      <c r="A204" s="8" t="str">
        <f>Elettricità!I204</f>
        <v>IT001E04171031</v>
      </c>
      <c r="B204" s="8" t="str">
        <f>Elettricità!A204</f>
        <v>005093369286.PDF</v>
      </c>
      <c r="C204" s="9">
        <f>Elettricità!E204</f>
        <v>45632</v>
      </c>
      <c r="D204" s="9">
        <f>Elettricità!K204</f>
        <v>45597</v>
      </c>
      <c r="E204" s="9">
        <f>Elettricità!L204</f>
        <v>45626</v>
      </c>
      <c r="F204" s="8">
        <f>Elettricità!M204</f>
        <v>47</v>
      </c>
      <c r="G204" s="8">
        <f>Elettricità!N204</f>
        <v>11</v>
      </c>
      <c r="H204" s="8">
        <f>Elettricità!O204</f>
        <v>7</v>
      </c>
      <c r="I204" s="8">
        <f>Elettricità!P204</f>
        <v>29</v>
      </c>
      <c r="J204" s="8">
        <f>Elettricità!Q204</f>
        <v>26</v>
      </c>
      <c r="K204" s="8">
        <f>Elettricità!R204</f>
        <v>7</v>
      </c>
      <c r="L204" s="8">
        <f>Elettricità!S204</f>
        <v>5</v>
      </c>
      <c r="M204" s="8">
        <f>Elettricità!T204</f>
        <v>14</v>
      </c>
      <c r="N204" s="8">
        <f>Elettricità!W204</f>
        <v>29.26</v>
      </c>
      <c r="O204" s="8">
        <f>Elettricità!X204</f>
        <v>35.700000000000003</v>
      </c>
      <c r="P204" s="8">
        <f>Elettricità!Y204</f>
        <v>0</v>
      </c>
      <c r="Q204" s="8">
        <f>Elettricità!Z204</f>
        <v>7.46</v>
      </c>
      <c r="R204" s="8">
        <f>Elettricità!AA204</f>
        <v>10.34</v>
      </c>
      <c r="S204" s="8">
        <f>Elettricità!AB204</f>
        <v>10.87</v>
      </c>
      <c r="T204" s="8">
        <f>Elettricità!AC204</f>
        <v>0</v>
      </c>
      <c r="U204" s="8">
        <f>Elettricità!AD204</f>
        <v>6.44</v>
      </c>
      <c r="V204" s="8">
        <f t="shared" si="52"/>
        <v>2024</v>
      </c>
      <c r="W204" s="8">
        <f>_xlfn.XLOOKUP(A204,Fabbricati!E:E,Fabbricati!D:D)</f>
        <v>1000016205</v>
      </c>
      <c r="X204" s="9">
        <f t="shared" si="53"/>
        <v>45632</v>
      </c>
      <c r="Y204" s="9">
        <f t="shared" si="54"/>
        <v>45597</v>
      </c>
      <c r="Z204" s="9">
        <f t="shared" si="55"/>
        <v>45626</v>
      </c>
      <c r="AA204" s="8">
        <f t="shared" si="56"/>
        <v>30</v>
      </c>
      <c r="AB204" s="8">
        <f t="shared" si="57"/>
        <v>47</v>
      </c>
      <c r="AC204" s="12" t="s">
        <v>149</v>
      </c>
      <c r="AD204" s="11" t="str">
        <f t="shared" si="58"/>
        <v>11
7
29</v>
      </c>
      <c r="AE204" s="11" t="str">
        <f t="shared" si="59"/>
        <v>7
5
14</v>
      </c>
      <c r="AF204" s="11"/>
      <c r="AG204" s="11"/>
      <c r="AH204" s="8">
        <f t="shared" si="60"/>
        <v>21.21</v>
      </c>
      <c r="AI204" s="8">
        <f t="shared" si="61"/>
        <v>7.46</v>
      </c>
      <c r="AJ204" s="8">
        <f t="shared" si="62"/>
        <v>6.44</v>
      </c>
      <c r="AK204" s="8"/>
      <c r="AL204" s="8"/>
      <c r="AM204" s="8">
        <f t="shared" si="63"/>
        <v>0</v>
      </c>
      <c r="AN204" s="8">
        <f t="shared" si="64"/>
        <v>35.700000000000003</v>
      </c>
    </row>
    <row r="205" spans="1:40" ht="48" customHeight="1" x14ac:dyDescent="0.2">
      <c r="A205" s="8" t="str">
        <f>Elettricità!I205</f>
        <v>IT001E04171031</v>
      </c>
      <c r="B205" s="8" t="str">
        <f>Elettricità!A205</f>
        <v>005200218699.PDF</v>
      </c>
      <c r="C205" s="9">
        <f>Elettricità!E205</f>
        <v>45665</v>
      </c>
      <c r="D205" s="9">
        <f>Elettricità!K205</f>
        <v>45627</v>
      </c>
      <c r="E205" s="9">
        <f>Elettricità!L205</f>
        <v>45657</v>
      </c>
      <c r="F205" s="8">
        <f>Elettricità!M205</f>
        <v>85</v>
      </c>
      <c r="G205" s="8">
        <f>Elettricità!N205</f>
        <v>20</v>
      </c>
      <c r="H205" s="8">
        <f>Elettricità!O205</f>
        <v>44</v>
      </c>
      <c r="I205" s="8">
        <f>Elettricità!P205</f>
        <v>21</v>
      </c>
      <c r="J205" s="8">
        <f>Elettricità!Q205</f>
        <v>34</v>
      </c>
      <c r="K205" s="8">
        <f>Elettricità!R205</f>
        <v>8</v>
      </c>
      <c r="L205" s="8">
        <f>Elettricità!S205</f>
        <v>15</v>
      </c>
      <c r="M205" s="8">
        <f>Elettricità!T205</f>
        <v>11</v>
      </c>
      <c r="N205" s="8">
        <f>Elettricità!W205</f>
        <v>39.74</v>
      </c>
      <c r="O205" s="8">
        <f>Elettricità!X205</f>
        <v>48.48</v>
      </c>
      <c r="P205" s="8">
        <f>Elettricità!Y205</f>
        <v>0</v>
      </c>
      <c r="Q205" s="8">
        <f>Elettricità!Z205</f>
        <v>15.16</v>
      </c>
      <c r="R205" s="8">
        <f>Elettricità!AA205</f>
        <v>10.82</v>
      </c>
      <c r="S205" s="8">
        <f>Elettricità!AB205</f>
        <v>12.7</v>
      </c>
      <c r="T205" s="8">
        <f>Elettricità!AC205</f>
        <v>0</v>
      </c>
      <c r="U205" s="8">
        <f>Elettricità!AD205</f>
        <v>8.74</v>
      </c>
      <c r="V205" s="8">
        <f t="shared" si="52"/>
        <v>2024</v>
      </c>
      <c r="W205" s="8">
        <f>_xlfn.XLOOKUP(A205,Fabbricati!E:E,Fabbricati!D:D)</f>
        <v>1000016205</v>
      </c>
      <c r="X205" s="9">
        <f t="shared" si="53"/>
        <v>45665</v>
      </c>
      <c r="Y205" s="9">
        <f t="shared" si="54"/>
        <v>45627</v>
      </c>
      <c r="Z205" s="9">
        <f t="shared" si="55"/>
        <v>45657</v>
      </c>
      <c r="AA205" s="8">
        <f t="shared" si="56"/>
        <v>31</v>
      </c>
      <c r="AB205" s="8">
        <f t="shared" si="57"/>
        <v>85</v>
      </c>
      <c r="AC205" s="12" t="s">
        <v>149</v>
      </c>
      <c r="AD205" s="11" t="str">
        <f t="shared" si="58"/>
        <v>20
44
21</v>
      </c>
      <c r="AE205" s="11" t="str">
        <f t="shared" si="59"/>
        <v>8
15
11</v>
      </c>
      <c r="AF205" s="11"/>
      <c r="AG205" s="11"/>
      <c r="AH205" s="8">
        <f t="shared" si="60"/>
        <v>23.52</v>
      </c>
      <c r="AI205" s="8">
        <f t="shared" si="61"/>
        <v>15.16</v>
      </c>
      <c r="AJ205" s="8">
        <f t="shared" si="62"/>
        <v>8.74</v>
      </c>
      <c r="AK205" s="8"/>
      <c r="AL205" s="8"/>
      <c r="AM205" s="8">
        <f t="shared" si="63"/>
        <v>0</v>
      </c>
      <c r="AN205" s="8">
        <f t="shared" si="64"/>
        <v>48.48</v>
      </c>
    </row>
    <row r="206" spans="1:40" ht="48" customHeight="1" x14ac:dyDescent="0.2">
      <c r="A206" s="8" t="str">
        <f>Elettricità!I206</f>
        <v>IT001E04171034</v>
      </c>
      <c r="B206" s="8" t="str">
        <f>Elettricità!A206</f>
        <v>824500045711_2024_d.pdf</v>
      </c>
      <c r="C206" s="9">
        <f>Elettricità!E206</f>
        <v>45350</v>
      </c>
      <c r="D206" s="9">
        <f>Elettricità!K206</f>
        <v>45292</v>
      </c>
      <c r="E206" s="9">
        <f>Elettricità!L206</f>
        <v>45322</v>
      </c>
      <c r="F206" s="8">
        <f>Elettricità!M206</f>
        <v>2373</v>
      </c>
      <c r="G206" s="8">
        <f>Elettricità!N206</f>
        <v>545</v>
      </c>
      <c r="H206" s="8">
        <f>Elettricità!O206</f>
        <v>548</v>
      </c>
      <c r="I206" s="8">
        <f>Elettricità!P206</f>
        <v>1280</v>
      </c>
      <c r="J206" s="8">
        <f>Elettricità!Q206</f>
        <v>0</v>
      </c>
      <c r="K206" s="8">
        <f>Elettricità!R206</f>
        <v>0</v>
      </c>
      <c r="L206" s="8">
        <f>Elettricità!S206</f>
        <v>0</v>
      </c>
      <c r="M206" s="8">
        <f>Elettricità!T206</f>
        <v>0</v>
      </c>
      <c r="N206" s="8">
        <f>Elettricità!W206</f>
        <v>588</v>
      </c>
      <c r="O206" s="8">
        <f>Elettricità!X206</f>
        <v>717.36</v>
      </c>
      <c r="P206" s="8">
        <f>Elettricità!Y206</f>
        <v>0</v>
      </c>
      <c r="Q206" s="8">
        <f>Elettricità!Z206</f>
        <v>364.81</v>
      </c>
      <c r="R206" s="8">
        <f>Elettricità!AA206</f>
        <v>60.35</v>
      </c>
      <c r="S206" s="8">
        <f>Elettricità!AB206</f>
        <v>121.31</v>
      </c>
      <c r="T206" s="8">
        <f>Elettricità!AC206</f>
        <v>11.87</v>
      </c>
      <c r="U206" s="8">
        <f>Elettricità!AD206</f>
        <v>29.66</v>
      </c>
      <c r="V206" s="8">
        <f t="shared" si="52"/>
        <v>2024</v>
      </c>
      <c r="W206" s="8">
        <f>_xlfn.XLOOKUP(A206,Fabbricati!E:E,Fabbricati!D:D)</f>
        <v>382926072</v>
      </c>
      <c r="X206" s="9">
        <f t="shared" si="53"/>
        <v>45350</v>
      </c>
      <c r="Y206" s="9">
        <f t="shared" si="54"/>
        <v>45292</v>
      </c>
      <c r="Z206" s="9">
        <f t="shared" si="55"/>
        <v>45322</v>
      </c>
      <c r="AA206" s="8">
        <f t="shared" si="56"/>
        <v>31</v>
      </c>
      <c r="AB206" s="8">
        <f t="shared" si="57"/>
        <v>2373</v>
      </c>
      <c r="AC206" s="12" t="s">
        <v>149</v>
      </c>
      <c r="AD206" s="11" t="str">
        <f t="shared" si="58"/>
        <v>545
548
1280</v>
      </c>
      <c r="AE206" s="11" t="str">
        <f t="shared" si="59"/>
        <v>0
0
0</v>
      </c>
      <c r="AF206" s="11"/>
      <c r="AG206" s="11"/>
      <c r="AH206" s="8">
        <f t="shared" si="60"/>
        <v>181.66</v>
      </c>
      <c r="AI206" s="8">
        <f t="shared" si="61"/>
        <v>364.81</v>
      </c>
      <c r="AJ206" s="8">
        <f t="shared" si="62"/>
        <v>29.66</v>
      </c>
      <c r="AK206" s="8"/>
      <c r="AL206" s="8"/>
      <c r="AM206" s="8">
        <f t="shared" si="63"/>
        <v>11.87</v>
      </c>
      <c r="AN206" s="8">
        <f t="shared" si="64"/>
        <v>717.36</v>
      </c>
    </row>
    <row r="207" spans="1:40" ht="48" customHeight="1" x14ac:dyDescent="0.2">
      <c r="A207" s="8" t="str">
        <f>Elettricità!I207</f>
        <v>IT001E04171034</v>
      </c>
      <c r="B207" s="8" t="str">
        <f>Elettricità!A207</f>
        <v>005018359693.pdf</v>
      </c>
      <c r="C207" s="9">
        <f>Elettricità!E207</f>
        <v>45358</v>
      </c>
      <c r="D207" s="9">
        <f>Elettricità!K207</f>
        <v>45323</v>
      </c>
      <c r="E207" s="9">
        <f>Elettricità!L207</f>
        <v>45351</v>
      </c>
      <c r="F207" s="8">
        <f>Elettricità!M207</f>
        <v>1383</v>
      </c>
      <c r="G207" s="8">
        <f>Elettricità!N207</f>
        <v>330</v>
      </c>
      <c r="H207" s="8">
        <f>Elettricità!O207</f>
        <v>345</v>
      </c>
      <c r="I207" s="8">
        <f>Elettricità!P207</f>
        <v>708</v>
      </c>
      <c r="J207" s="8">
        <f>Elettricità!Q207</f>
        <v>0</v>
      </c>
      <c r="K207" s="8">
        <f>Elettricità!R207</f>
        <v>0</v>
      </c>
      <c r="L207" s="8">
        <f>Elettricità!S207</f>
        <v>0</v>
      </c>
      <c r="M207" s="8">
        <f>Elettricità!T207</f>
        <v>0</v>
      </c>
      <c r="N207" s="8">
        <f>Elettricità!W207</f>
        <v>307.25</v>
      </c>
      <c r="O207" s="8">
        <f>Elettricità!X207</f>
        <v>374.85</v>
      </c>
      <c r="P207" s="8">
        <f>Elettricità!Y207</f>
        <v>0</v>
      </c>
      <c r="Q207" s="8">
        <f>Elettricità!Z207</f>
        <v>162.06</v>
      </c>
      <c r="R207" s="8">
        <f>Elettricità!AA207</f>
        <v>47.63</v>
      </c>
      <c r="S207" s="8">
        <f>Elettricità!AB207</f>
        <v>80.27</v>
      </c>
      <c r="T207" s="8">
        <f>Elettricità!AC207</f>
        <v>0</v>
      </c>
      <c r="U207" s="8">
        <f>Elettricità!AD207</f>
        <v>67.599999999999994</v>
      </c>
      <c r="V207" s="8">
        <f t="shared" si="52"/>
        <v>2024</v>
      </c>
      <c r="W207" s="8">
        <f>_xlfn.XLOOKUP(A207,Fabbricati!E:E,Fabbricati!D:D)</f>
        <v>382926072</v>
      </c>
      <c r="X207" s="9">
        <f t="shared" si="53"/>
        <v>45358</v>
      </c>
      <c r="Y207" s="9">
        <f t="shared" si="54"/>
        <v>45323</v>
      </c>
      <c r="Z207" s="9">
        <f t="shared" si="55"/>
        <v>45351</v>
      </c>
      <c r="AA207" s="8">
        <f t="shared" si="56"/>
        <v>29</v>
      </c>
      <c r="AB207" s="8">
        <f t="shared" si="57"/>
        <v>1383</v>
      </c>
      <c r="AC207" s="12" t="s">
        <v>149</v>
      </c>
      <c r="AD207" s="11" t="str">
        <f t="shared" si="58"/>
        <v>330
345
708</v>
      </c>
      <c r="AE207" s="11" t="str">
        <f t="shared" si="59"/>
        <v>0
0
0</v>
      </c>
      <c r="AF207" s="11"/>
      <c r="AG207" s="11"/>
      <c r="AH207" s="8">
        <f t="shared" si="60"/>
        <v>127.9</v>
      </c>
      <c r="AI207" s="8">
        <f t="shared" si="61"/>
        <v>162.06</v>
      </c>
      <c r="AJ207" s="8">
        <f t="shared" si="62"/>
        <v>67.599999999999994</v>
      </c>
      <c r="AK207" s="8"/>
      <c r="AL207" s="8"/>
      <c r="AM207" s="8">
        <f t="shared" si="63"/>
        <v>0</v>
      </c>
      <c r="AN207" s="8">
        <f t="shared" si="64"/>
        <v>374.85</v>
      </c>
    </row>
    <row r="208" spans="1:40" ht="48" customHeight="1" x14ac:dyDescent="0.2">
      <c r="A208" s="8" t="str">
        <f>Elettricità!I208</f>
        <v>IT001E04171034</v>
      </c>
      <c r="B208" s="8" t="str">
        <f>Elettricità!A208</f>
        <v>005026659976.pdf</v>
      </c>
      <c r="C208" s="9">
        <f>Elettricità!E208</f>
        <v>45390</v>
      </c>
      <c r="D208" s="9">
        <f>Elettricità!K208</f>
        <v>45352</v>
      </c>
      <c r="E208" s="9">
        <f>Elettricità!L208</f>
        <v>45382</v>
      </c>
      <c r="F208" s="8">
        <f>Elettricità!M208</f>
        <v>936</v>
      </c>
      <c r="G208" s="8">
        <f>Elettricità!N208</f>
        <v>183</v>
      </c>
      <c r="H208" s="8">
        <f>Elettricità!O208</f>
        <v>234</v>
      </c>
      <c r="I208" s="8">
        <f>Elettricità!P208</f>
        <v>519</v>
      </c>
      <c r="J208" s="8">
        <f>Elettricità!Q208</f>
        <v>0</v>
      </c>
      <c r="K208" s="8">
        <f>Elettricità!R208</f>
        <v>0</v>
      </c>
      <c r="L208" s="8">
        <f>Elettricità!S208</f>
        <v>0</v>
      </c>
      <c r="M208" s="8">
        <f>Elettricità!T208</f>
        <v>0</v>
      </c>
      <c r="N208" s="8">
        <f>Elettricità!W208</f>
        <v>222.11</v>
      </c>
      <c r="O208" s="8">
        <f>Elettricità!X208</f>
        <v>270.97000000000003</v>
      </c>
      <c r="P208" s="8">
        <f>Elettricità!Y208</f>
        <v>0</v>
      </c>
      <c r="Q208" s="8">
        <f>Elettricità!Z208</f>
        <v>106.77</v>
      </c>
      <c r="R208" s="8">
        <f>Elettricità!AA208</f>
        <v>41.89</v>
      </c>
      <c r="S208" s="8">
        <f>Elettricità!AB208</f>
        <v>61.75</v>
      </c>
      <c r="T208" s="8">
        <f>Elettricità!AC208</f>
        <v>0</v>
      </c>
      <c r="U208" s="8">
        <f>Elettricità!AD208</f>
        <v>48.86</v>
      </c>
      <c r="V208" s="8">
        <f t="shared" si="52"/>
        <v>2024</v>
      </c>
      <c r="W208" s="8">
        <f>_xlfn.XLOOKUP(A208,Fabbricati!E:E,Fabbricati!D:D)</f>
        <v>382926072</v>
      </c>
      <c r="X208" s="9">
        <f t="shared" si="53"/>
        <v>45390</v>
      </c>
      <c r="Y208" s="9">
        <f t="shared" si="54"/>
        <v>45352</v>
      </c>
      <c r="Z208" s="9">
        <f t="shared" si="55"/>
        <v>45382</v>
      </c>
      <c r="AA208" s="8">
        <f t="shared" si="56"/>
        <v>31</v>
      </c>
      <c r="AB208" s="8">
        <f t="shared" si="57"/>
        <v>936</v>
      </c>
      <c r="AC208" s="12" t="s">
        <v>149</v>
      </c>
      <c r="AD208" s="11" t="str">
        <f t="shared" si="58"/>
        <v>183
234
519</v>
      </c>
      <c r="AE208" s="11" t="str">
        <f t="shared" si="59"/>
        <v>0
0
0</v>
      </c>
      <c r="AF208" s="11"/>
      <c r="AG208" s="11"/>
      <c r="AH208" s="8">
        <f t="shared" si="60"/>
        <v>103.64</v>
      </c>
      <c r="AI208" s="8">
        <f t="shared" si="61"/>
        <v>106.77</v>
      </c>
      <c r="AJ208" s="8">
        <f t="shared" si="62"/>
        <v>48.86</v>
      </c>
      <c r="AK208" s="8"/>
      <c r="AL208" s="8"/>
      <c r="AM208" s="8">
        <f t="shared" si="63"/>
        <v>0</v>
      </c>
      <c r="AN208" s="8">
        <f t="shared" si="64"/>
        <v>270.97000000000003</v>
      </c>
    </row>
    <row r="209" spans="1:40" ht="48" customHeight="1" x14ac:dyDescent="0.2">
      <c r="A209" s="8" t="str">
        <f>Elettricità!I209</f>
        <v>IT001E04171034</v>
      </c>
      <c r="B209" s="8" t="str">
        <f>Elettricità!A209</f>
        <v>005034930246.PDF</v>
      </c>
      <c r="C209" s="9">
        <f>Elettricità!E209</f>
        <v>45419</v>
      </c>
      <c r="D209" s="9">
        <f>Elettricità!K209</f>
        <v>45383</v>
      </c>
      <c r="E209" s="9">
        <f>Elettricità!L209</f>
        <v>45412</v>
      </c>
      <c r="F209" s="8">
        <f>Elettricità!M209</f>
        <v>517</v>
      </c>
      <c r="G209" s="8">
        <f>Elettricità!N209</f>
        <v>49</v>
      </c>
      <c r="H209" s="8">
        <f>Elettricità!O209</f>
        <v>128</v>
      </c>
      <c r="I209" s="8">
        <f>Elettricità!P209</f>
        <v>340</v>
      </c>
      <c r="J209" s="8">
        <f>Elettricità!Q209</f>
        <v>0</v>
      </c>
      <c r="K209" s="8">
        <f>Elettricità!R209</f>
        <v>0</v>
      </c>
      <c r="L209" s="8">
        <f>Elettricità!S209</f>
        <v>0</v>
      </c>
      <c r="M209" s="8">
        <f>Elettricità!T209</f>
        <v>0</v>
      </c>
      <c r="N209" s="8">
        <f>Elettricità!W209</f>
        <v>152.24</v>
      </c>
      <c r="O209" s="8">
        <f>Elettricità!X209</f>
        <v>185.73</v>
      </c>
      <c r="P209" s="8">
        <f>Elettricità!Y209</f>
        <v>0</v>
      </c>
      <c r="Q209" s="8">
        <f>Elettricità!Z209</f>
        <v>57.62</v>
      </c>
      <c r="R209" s="8">
        <f>Elettricità!AA209</f>
        <v>36.5</v>
      </c>
      <c r="S209" s="8">
        <f>Elettricità!AB209</f>
        <v>51.66</v>
      </c>
      <c r="T209" s="8">
        <f>Elettricità!AC209</f>
        <v>0</v>
      </c>
      <c r="U209" s="8">
        <f>Elettricità!AD209</f>
        <v>33.49</v>
      </c>
      <c r="V209" s="8">
        <f t="shared" si="52"/>
        <v>2024</v>
      </c>
      <c r="W209" s="8">
        <f>_xlfn.XLOOKUP(A209,Fabbricati!E:E,Fabbricati!D:D)</f>
        <v>382926072</v>
      </c>
      <c r="X209" s="9">
        <f t="shared" si="53"/>
        <v>45419</v>
      </c>
      <c r="Y209" s="9">
        <f t="shared" si="54"/>
        <v>45383</v>
      </c>
      <c r="Z209" s="9">
        <f t="shared" si="55"/>
        <v>45412</v>
      </c>
      <c r="AA209" s="8">
        <f t="shared" si="56"/>
        <v>30</v>
      </c>
      <c r="AB209" s="8">
        <f t="shared" si="57"/>
        <v>517</v>
      </c>
      <c r="AC209" s="12" t="s">
        <v>149</v>
      </c>
      <c r="AD209" s="11" t="str">
        <f t="shared" si="58"/>
        <v>49
128
340</v>
      </c>
      <c r="AE209" s="11" t="str">
        <f t="shared" si="59"/>
        <v>0
0
0</v>
      </c>
      <c r="AF209" s="11"/>
      <c r="AG209" s="11"/>
      <c r="AH209" s="8">
        <f t="shared" si="60"/>
        <v>88.16</v>
      </c>
      <c r="AI209" s="8">
        <f t="shared" si="61"/>
        <v>57.62</v>
      </c>
      <c r="AJ209" s="8">
        <f t="shared" si="62"/>
        <v>33.49</v>
      </c>
      <c r="AK209" s="8"/>
      <c r="AL209" s="8"/>
      <c r="AM209" s="8">
        <f t="shared" si="63"/>
        <v>0</v>
      </c>
      <c r="AN209" s="8">
        <f t="shared" si="64"/>
        <v>185.73</v>
      </c>
    </row>
    <row r="210" spans="1:40" ht="48" customHeight="1" x14ac:dyDescent="0.2">
      <c r="A210" s="8" t="str">
        <f>Elettricità!I210</f>
        <v>IT001E04171034</v>
      </c>
      <c r="B210" s="8" t="str">
        <f>Elettricità!A210</f>
        <v>005043663112.PDF</v>
      </c>
      <c r="C210" s="9">
        <f>Elettricità!E210</f>
        <v>45449</v>
      </c>
      <c r="D210" s="9">
        <f>Elettricità!K210</f>
        <v>45413</v>
      </c>
      <c r="E210" s="9">
        <f>Elettricità!L210</f>
        <v>45443</v>
      </c>
      <c r="F210" s="8">
        <f>Elettricità!M210</f>
        <v>215</v>
      </c>
      <c r="G210" s="8">
        <f>Elettricità!N210</f>
        <v>39</v>
      </c>
      <c r="H210" s="8">
        <f>Elettricità!O210</f>
        <v>53</v>
      </c>
      <c r="I210" s="8">
        <f>Elettricità!P210</f>
        <v>123</v>
      </c>
      <c r="J210" s="8">
        <f>Elettricità!Q210</f>
        <v>0</v>
      </c>
      <c r="K210" s="8">
        <f>Elettricità!R210</f>
        <v>0</v>
      </c>
      <c r="L210" s="8">
        <f>Elettricità!S210</f>
        <v>0</v>
      </c>
      <c r="M210" s="8">
        <f>Elettricità!T210</f>
        <v>0</v>
      </c>
      <c r="N210" s="8">
        <f>Elettricità!W210</f>
        <v>98.17</v>
      </c>
      <c r="O210" s="8">
        <f>Elettricità!X210</f>
        <v>119.77</v>
      </c>
      <c r="P210" s="8">
        <f>Elettricità!Y210</f>
        <v>0</v>
      </c>
      <c r="Q210" s="8">
        <f>Elettricità!Z210</f>
        <v>25.75</v>
      </c>
      <c r="R210" s="8">
        <f>Elettricità!AA210</f>
        <v>32.619999999999997</v>
      </c>
      <c r="S210" s="8">
        <f>Elettricità!AB210</f>
        <v>37.11</v>
      </c>
      <c r="T210" s="8">
        <f>Elettricità!AC210</f>
        <v>0</v>
      </c>
      <c r="U210" s="8">
        <f>Elettricità!AD210</f>
        <v>21.6</v>
      </c>
      <c r="V210" s="8">
        <f t="shared" si="52"/>
        <v>2024</v>
      </c>
      <c r="W210" s="8">
        <f>_xlfn.XLOOKUP(A210,Fabbricati!E:E,Fabbricati!D:D)</f>
        <v>382926072</v>
      </c>
      <c r="X210" s="9">
        <f t="shared" si="53"/>
        <v>45449</v>
      </c>
      <c r="Y210" s="9">
        <f t="shared" si="54"/>
        <v>45413</v>
      </c>
      <c r="Z210" s="9">
        <f t="shared" si="55"/>
        <v>45443</v>
      </c>
      <c r="AA210" s="8">
        <f t="shared" si="56"/>
        <v>31</v>
      </c>
      <c r="AB210" s="8">
        <f t="shared" si="57"/>
        <v>215</v>
      </c>
      <c r="AC210" s="12" t="s">
        <v>149</v>
      </c>
      <c r="AD210" s="11" t="str">
        <f t="shared" si="58"/>
        <v>39
53
123</v>
      </c>
      <c r="AE210" s="11" t="str">
        <f t="shared" si="59"/>
        <v>0
0
0</v>
      </c>
      <c r="AF210" s="11"/>
      <c r="AG210" s="11"/>
      <c r="AH210" s="8">
        <f t="shared" si="60"/>
        <v>69.72999999999999</v>
      </c>
      <c r="AI210" s="8">
        <f t="shared" si="61"/>
        <v>25.75</v>
      </c>
      <c r="AJ210" s="8">
        <f t="shared" si="62"/>
        <v>21.6</v>
      </c>
      <c r="AK210" s="8"/>
      <c r="AL210" s="8"/>
      <c r="AM210" s="8">
        <f t="shared" si="63"/>
        <v>0</v>
      </c>
      <c r="AN210" s="8">
        <f t="shared" si="64"/>
        <v>119.77</v>
      </c>
    </row>
    <row r="211" spans="1:40" ht="48" customHeight="1" x14ac:dyDescent="0.2">
      <c r="A211" s="8" t="str">
        <f>Elettricità!I211</f>
        <v>IT001E04171034</v>
      </c>
      <c r="B211" s="8" t="str">
        <f>Elettricità!A211</f>
        <v>005051431123.PDF</v>
      </c>
      <c r="C211" s="9">
        <f>Elettricità!E211</f>
        <v>45478</v>
      </c>
      <c r="D211" s="9">
        <f>Elettricità!K211</f>
        <v>45444</v>
      </c>
      <c r="E211" s="9">
        <f>Elettricità!L211</f>
        <v>45473</v>
      </c>
      <c r="F211" s="8">
        <f>Elettricità!M211</f>
        <v>214</v>
      </c>
      <c r="G211" s="8">
        <f>Elettricità!N211</f>
        <v>23</v>
      </c>
      <c r="H211" s="8">
        <f>Elettricità!O211</f>
        <v>51</v>
      </c>
      <c r="I211" s="8">
        <f>Elettricità!P211</f>
        <v>140</v>
      </c>
      <c r="J211" s="8">
        <f>Elettricità!Q211</f>
        <v>0</v>
      </c>
      <c r="K211" s="8">
        <f>Elettricità!R211</f>
        <v>0</v>
      </c>
      <c r="L211" s="8">
        <f>Elettricità!S211</f>
        <v>0</v>
      </c>
      <c r="M211" s="8">
        <f>Elettricità!T211</f>
        <v>0</v>
      </c>
      <c r="N211" s="8">
        <f>Elettricità!W211</f>
        <v>100.39</v>
      </c>
      <c r="O211" s="8">
        <f>Elettricità!X211</f>
        <v>122.48</v>
      </c>
      <c r="P211" s="8">
        <f>Elettricità!Y211</f>
        <v>0</v>
      </c>
      <c r="Q211" s="8">
        <f>Elettricità!Z211</f>
        <v>28.05</v>
      </c>
      <c r="R211" s="8">
        <f>Elettricità!AA211</f>
        <v>32.61</v>
      </c>
      <c r="S211" s="8">
        <f>Elettricità!AB211</f>
        <v>37.049999999999997</v>
      </c>
      <c r="T211" s="8">
        <f>Elettricità!AC211</f>
        <v>0</v>
      </c>
      <c r="U211" s="8">
        <f>Elettricità!AD211</f>
        <v>22.09</v>
      </c>
      <c r="V211" s="8">
        <f t="shared" si="52"/>
        <v>2024</v>
      </c>
      <c r="W211" s="8">
        <f>_xlfn.XLOOKUP(A211,Fabbricati!E:E,Fabbricati!D:D)</f>
        <v>382926072</v>
      </c>
      <c r="X211" s="9">
        <f t="shared" si="53"/>
        <v>45478</v>
      </c>
      <c r="Y211" s="9">
        <f t="shared" si="54"/>
        <v>45444</v>
      </c>
      <c r="Z211" s="9">
        <f t="shared" si="55"/>
        <v>45473</v>
      </c>
      <c r="AA211" s="8">
        <f t="shared" si="56"/>
        <v>30</v>
      </c>
      <c r="AB211" s="8">
        <f t="shared" si="57"/>
        <v>214</v>
      </c>
      <c r="AC211" s="12" t="s">
        <v>149</v>
      </c>
      <c r="AD211" s="11" t="str">
        <f t="shared" si="58"/>
        <v>23
51
140</v>
      </c>
      <c r="AE211" s="11" t="str">
        <f t="shared" si="59"/>
        <v>0
0
0</v>
      </c>
      <c r="AF211" s="11"/>
      <c r="AG211" s="11"/>
      <c r="AH211" s="8">
        <f t="shared" si="60"/>
        <v>69.66</v>
      </c>
      <c r="AI211" s="8">
        <f t="shared" si="61"/>
        <v>28.05</v>
      </c>
      <c r="AJ211" s="8">
        <f t="shared" si="62"/>
        <v>22.09</v>
      </c>
      <c r="AK211" s="8"/>
      <c r="AL211" s="8"/>
      <c r="AM211" s="8">
        <f t="shared" si="63"/>
        <v>0</v>
      </c>
      <c r="AN211" s="8">
        <f t="shared" si="64"/>
        <v>122.48</v>
      </c>
    </row>
    <row r="212" spans="1:40" ht="48" customHeight="1" x14ac:dyDescent="0.2">
      <c r="A212" s="8" t="str">
        <f>Elettricità!I212</f>
        <v>IT001E04171034</v>
      </c>
      <c r="B212" s="8" t="str">
        <f>Elettricità!A212</f>
        <v>005059958086.PDF</v>
      </c>
      <c r="C212" s="9">
        <f>Elettricità!E212</f>
        <v>45511</v>
      </c>
      <c r="D212" s="9">
        <f>Elettricità!K212</f>
        <v>45474</v>
      </c>
      <c r="E212" s="9">
        <f>Elettricità!L212</f>
        <v>45504</v>
      </c>
      <c r="F212" s="8">
        <f>Elettricità!M212</f>
        <v>632</v>
      </c>
      <c r="G212" s="8">
        <f>Elettricità!N212</f>
        <v>90</v>
      </c>
      <c r="H212" s="8">
        <f>Elettricità!O212</f>
        <v>190</v>
      </c>
      <c r="I212" s="8">
        <f>Elettricità!P212</f>
        <v>352</v>
      </c>
      <c r="J212" s="8">
        <f>Elettricità!Q212</f>
        <v>1</v>
      </c>
      <c r="K212" s="8">
        <f>Elettricità!R212</f>
        <v>0</v>
      </c>
      <c r="L212" s="8">
        <f>Elettricità!S212</f>
        <v>1</v>
      </c>
      <c r="M212" s="8">
        <f>Elettricità!T212</f>
        <v>0</v>
      </c>
      <c r="N212" s="8">
        <f>Elettricità!W212</f>
        <v>200.78</v>
      </c>
      <c r="O212" s="8">
        <f>Elettricità!X212</f>
        <v>244.95</v>
      </c>
      <c r="P212" s="8">
        <f>Elettricità!Y212</f>
        <v>0</v>
      </c>
      <c r="Q212" s="8">
        <f>Elettricità!Z212</f>
        <v>97.7</v>
      </c>
      <c r="R212" s="8">
        <f>Elettricità!AA212</f>
        <v>37.979999999999997</v>
      </c>
      <c r="S212" s="8">
        <f>Elettricità!AB212</f>
        <v>57.2</v>
      </c>
      <c r="T212" s="8">
        <f>Elettricità!AC212</f>
        <v>0</v>
      </c>
      <c r="U212" s="8">
        <f>Elettricità!AD212</f>
        <v>44.17</v>
      </c>
      <c r="V212" s="8">
        <f t="shared" si="52"/>
        <v>2024</v>
      </c>
      <c r="W212" s="8">
        <f>_xlfn.XLOOKUP(A212,Fabbricati!E:E,Fabbricati!D:D)</f>
        <v>382926072</v>
      </c>
      <c r="X212" s="9">
        <f t="shared" si="53"/>
        <v>45511</v>
      </c>
      <c r="Y212" s="9">
        <f t="shared" si="54"/>
        <v>45474</v>
      </c>
      <c r="Z212" s="9">
        <f t="shared" si="55"/>
        <v>45504</v>
      </c>
      <c r="AA212" s="8">
        <f t="shared" si="56"/>
        <v>31</v>
      </c>
      <c r="AB212" s="8">
        <f t="shared" si="57"/>
        <v>632</v>
      </c>
      <c r="AC212" s="12" t="s">
        <v>149</v>
      </c>
      <c r="AD212" s="11" t="str">
        <f t="shared" si="58"/>
        <v>90
190
352</v>
      </c>
      <c r="AE212" s="11" t="str">
        <f t="shared" si="59"/>
        <v>0
1
0</v>
      </c>
      <c r="AF212" s="11"/>
      <c r="AG212" s="11"/>
      <c r="AH212" s="8">
        <f t="shared" si="60"/>
        <v>95.18</v>
      </c>
      <c r="AI212" s="8">
        <f t="shared" si="61"/>
        <v>97.7</v>
      </c>
      <c r="AJ212" s="8">
        <f t="shared" si="62"/>
        <v>44.17</v>
      </c>
      <c r="AK212" s="8"/>
      <c r="AL212" s="8"/>
      <c r="AM212" s="8">
        <f t="shared" si="63"/>
        <v>0</v>
      </c>
      <c r="AN212" s="8">
        <f t="shared" si="64"/>
        <v>244.95</v>
      </c>
    </row>
    <row r="213" spans="1:40" ht="48" customHeight="1" x14ac:dyDescent="0.2">
      <c r="A213" s="8" t="str">
        <f>Elettricità!I213</f>
        <v>IT001E04171034</v>
      </c>
      <c r="B213" s="8" t="str">
        <f>Elettricità!A213</f>
        <v>005067307623.PDF</v>
      </c>
      <c r="C213" s="9">
        <f>Elettricità!E213</f>
        <v>45541</v>
      </c>
      <c r="D213" s="9">
        <f>Elettricità!K213</f>
        <v>45505</v>
      </c>
      <c r="E213" s="9">
        <f>Elettricità!L213</f>
        <v>45535</v>
      </c>
      <c r="F213" s="8">
        <f>Elettricità!M213</f>
        <v>590</v>
      </c>
      <c r="G213" s="8">
        <f>Elettricità!N213</f>
        <v>76</v>
      </c>
      <c r="H213" s="8">
        <f>Elettricità!O213</f>
        <v>182</v>
      </c>
      <c r="I213" s="8">
        <f>Elettricità!P213</f>
        <v>332</v>
      </c>
      <c r="J213" s="8">
        <f>Elettricità!Q213</f>
        <v>0</v>
      </c>
      <c r="K213" s="8">
        <f>Elettricità!R213</f>
        <v>0</v>
      </c>
      <c r="L213" s="8">
        <f>Elettricità!S213</f>
        <v>0</v>
      </c>
      <c r="M213" s="8">
        <f>Elettricità!T213</f>
        <v>0</v>
      </c>
      <c r="N213" s="8">
        <f>Elettricità!W213</f>
        <v>194.44</v>
      </c>
      <c r="O213" s="8">
        <f>Elettricità!X213</f>
        <v>237.22</v>
      </c>
      <c r="P213" s="8">
        <f>Elettricità!Y213</f>
        <v>0</v>
      </c>
      <c r="Q213" s="8">
        <f>Elettricità!Z213</f>
        <v>94.44</v>
      </c>
      <c r="R213" s="8">
        <f>Elettricità!AA213</f>
        <v>37.44</v>
      </c>
      <c r="S213" s="8">
        <f>Elettricità!AB213</f>
        <v>55.18</v>
      </c>
      <c r="T213" s="8">
        <f>Elettricità!AC213</f>
        <v>0</v>
      </c>
      <c r="U213" s="8">
        <f>Elettricità!AD213</f>
        <v>42.78</v>
      </c>
      <c r="V213" s="8">
        <f t="shared" si="52"/>
        <v>2024</v>
      </c>
      <c r="W213" s="8">
        <f>_xlfn.XLOOKUP(A213,Fabbricati!E:E,Fabbricati!D:D)</f>
        <v>382926072</v>
      </c>
      <c r="X213" s="9">
        <f t="shared" si="53"/>
        <v>45541</v>
      </c>
      <c r="Y213" s="9">
        <f t="shared" si="54"/>
        <v>45505</v>
      </c>
      <c r="Z213" s="9">
        <f t="shared" si="55"/>
        <v>45535</v>
      </c>
      <c r="AA213" s="8">
        <f t="shared" si="56"/>
        <v>31</v>
      </c>
      <c r="AB213" s="8">
        <f t="shared" si="57"/>
        <v>590</v>
      </c>
      <c r="AC213" s="12" t="s">
        <v>149</v>
      </c>
      <c r="AD213" s="11" t="str">
        <f t="shared" si="58"/>
        <v>76
182
332</v>
      </c>
      <c r="AE213" s="11" t="str">
        <f t="shared" si="59"/>
        <v>0
0
0</v>
      </c>
      <c r="AF213" s="11"/>
      <c r="AG213" s="11"/>
      <c r="AH213" s="8">
        <f t="shared" si="60"/>
        <v>92.62</v>
      </c>
      <c r="AI213" s="8">
        <f t="shared" si="61"/>
        <v>94.44</v>
      </c>
      <c r="AJ213" s="8">
        <f t="shared" si="62"/>
        <v>42.78</v>
      </c>
      <c r="AK213" s="8"/>
      <c r="AL213" s="8"/>
      <c r="AM213" s="8">
        <f t="shared" si="63"/>
        <v>0</v>
      </c>
      <c r="AN213" s="8">
        <f t="shared" si="64"/>
        <v>237.22</v>
      </c>
    </row>
    <row r="214" spans="1:40" ht="48" customHeight="1" x14ac:dyDescent="0.2">
      <c r="A214" s="8" t="str">
        <f>Elettricità!I214</f>
        <v>IT001E04171034</v>
      </c>
      <c r="B214" s="8" t="str">
        <f>Elettricità!A214</f>
        <v>005076347802.PDF</v>
      </c>
      <c r="C214" s="9">
        <f>Elettricità!E214</f>
        <v>45571</v>
      </c>
      <c r="D214" s="9">
        <f>Elettricità!K214</f>
        <v>45536</v>
      </c>
      <c r="E214" s="9">
        <f>Elettricità!L214</f>
        <v>45565</v>
      </c>
      <c r="F214" s="8">
        <f>Elettricità!M214</f>
        <v>342</v>
      </c>
      <c r="G214" s="8">
        <f>Elettricità!N214</f>
        <v>61</v>
      </c>
      <c r="H214" s="8">
        <f>Elettricità!O214</f>
        <v>89</v>
      </c>
      <c r="I214" s="8">
        <f>Elettricità!P214</f>
        <v>192</v>
      </c>
      <c r="J214" s="8">
        <f>Elettricità!Q214</f>
        <v>0</v>
      </c>
      <c r="K214" s="8">
        <f>Elettricità!R214</f>
        <v>0</v>
      </c>
      <c r="L214" s="8">
        <f>Elettricità!S214</f>
        <v>0</v>
      </c>
      <c r="M214" s="8">
        <f>Elettricità!T214</f>
        <v>0</v>
      </c>
      <c r="N214" s="8">
        <f>Elettricità!W214</f>
        <v>130.71</v>
      </c>
      <c r="O214" s="8">
        <f>Elettricità!X214</f>
        <v>159.47</v>
      </c>
      <c r="P214" s="8">
        <f>Elettricità!Y214</f>
        <v>0</v>
      </c>
      <c r="Q214" s="8">
        <f>Elettricità!Z214</f>
        <v>48.94</v>
      </c>
      <c r="R214" s="8">
        <f>Elettricità!AA214</f>
        <v>34.26</v>
      </c>
      <c r="S214" s="8">
        <f>Elettricità!AB214</f>
        <v>43.23</v>
      </c>
      <c r="T214" s="8">
        <f>Elettricità!AC214</f>
        <v>0</v>
      </c>
      <c r="U214" s="8">
        <f>Elettricità!AD214</f>
        <v>28.76</v>
      </c>
      <c r="V214" s="8">
        <f t="shared" si="52"/>
        <v>2024</v>
      </c>
      <c r="W214" s="8">
        <f>_xlfn.XLOOKUP(A214,Fabbricati!E:E,Fabbricati!D:D)</f>
        <v>382926072</v>
      </c>
      <c r="X214" s="9">
        <f t="shared" si="53"/>
        <v>45571</v>
      </c>
      <c r="Y214" s="9">
        <f t="shared" si="54"/>
        <v>45536</v>
      </c>
      <c r="Z214" s="9">
        <f t="shared" si="55"/>
        <v>45565</v>
      </c>
      <c r="AA214" s="8">
        <f t="shared" si="56"/>
        <v>30</v>
      </c>
      <c r="AB214" s="8">
        <f t="shared" si="57"/>
        <v>342</v>
      </c>
      <c r="AC214" s="12" t="s">
        <v>149</v>
      </c>
      <c r="AD214" s="11" t="str">
        <f t="shared" si="58"/>
        <v>61
89
192</v>
      </c>
      <c r="AE214" s="11" t="str">
        <f t="shared" si="59"/>
        <v>0
0
0</v>
      </c>
      <c r="AF214" s="11"/>
      <c r="AG214" s="11"/>
      <c r="AH214" s="8">
        <f t="shared" si="60"/>
        <v>77.489999999999995</v>
      </c>
      <c r="AI214" s="8">
        <f t="shared" si="61"/>
        <v>48.94</v>
      </c>
      <c r="AJ214" s="8">
        <f t="shared" si="62"/>
        <v>28.76</v>
      </c>
      <c r="AK214" s="8"/>
      <c r="AL214" s="8"/>
      <c r="AM214" s="8">
        <f t="shared" si="63"/>
        <v>0</v>
      </c>
      <c r="AN214" s="8">
        <f t="shared" si="64"/>
        <v>159.47</v>
      </c>
    </row>
    <row r="215" spans="1:40" ht="48" customHeight="1" x14ac:dyDescent="0.2">
      <c r="A215" s="8" t="str">
        <f>Elettricità!I215</f>
        <v>IT001E04171034</v>
      </c>
      <c r="B215" s="8" t="str">
        <f>Elettricità!A215</f>
        <v>005085485059.PDF</v>
      </c>
      <c r="C215" s="9">
        <f>Elettricità!E215</f>
        <v>45604</v>
      </c>
      <c r="D215" s="9">
        <f>Elettricità!K215</f>
        <v>45566</v>
      </c>
      <c r="E215" s="9">
        <f>Elettricità!L215</f>
        <v>45596</v>
      </c>
      <c r="F215" s="8">
        <f>Elettricità!M215</f>
        <v>475</v>
      </c>
      <c r="G215" s="8">
        <f>Elettricità!N215</f>
        <v>222</v>
      </c>
      <c r="H215" s="8">
        <f>Elettricità!O215</f>
        <v>102</v>
      </c>
      <c r="I215" s="8">
        <f>Elettricità!P215</f>
        <v>151</v>
      </c>
      <c r="J215" s="8">
        <f>Elettricità!Q215</f>
        <v>0</v>
      </c>
      <c r="K215" s="8">
        <f>Elettricità!R215</f>
        <v>0</v>
      </c>
      <c r="L215" s="8">
        <f>Elettricità!S215</f>
        <v>0</v>
      </c>
      <c r="M215" s="8">
        <f>Elettricità!T215</f>
        <v>0</v>
      </c>
      <c r="N215" s="8">
        <f>Elettricità!W215</f>
        <v>162.1</v>
      </c>
      <c r="O215" s="8">
        <f>Elettricità!X215</f>
        <v>197.76</v>
      </c>
      <c r="P215" s="8">
        <f>Elettricità!Y215</f>
        <v>0</v>
      </c>
      <c r="Q215" s="8">
        <f>Elettricità!Z215</f>
        <v>70.56</v>
      </c>
      <c r="R215" s="8">
        <f>Elettricità!AA215</f>
        <v>35.96</v>
      </c>
      <c r="S215" s="8">
        <f>Elettricità!AB215</f>
        <v>49.64</v>
      </c>
      <c r="T215" s="8">
        <f>Elettricità!AC215</f>
        <v>0</v>
      </c>
      <c r="U215" s="8">
        <f>Elettricità!AD215</f>
        <v>35.659999999999997</v>
      </c>
      <c r="V215" s="8">
        <f t="shared" si="52"/>
        <v>2024</v>
      </c>
      <c r="W215" s="8">
        <f>_xlfn.XLOOKUP(A215,Fabbricati!E:E,Fabbricati!D:D)</f>
        <v>382926072</v>
      </c>
      <c r="X215" s="9">
        <f t="shared" si="53"/>
        <v>45604</v>
      </c>
      <c r="Y215" s="9">
        <f t="shared" si="54"/>
        <v>45566</v>
      </c>
      <c r="Z215" s="9">
        <f t="shared" si="55"/>
        <v>45596</v>
      </c>
      <c r="AA215" s="8">
        <f t="shared" si="56"/>
        <v>31</v>
      </c>
      <c r="AB215" s="8">
        <f t="shared" si="57"/>
        <v>475</v>
      </c>
      <c r="AC215" s="12" t="s">
        <v>149</v>
      </c>
      <c r="AD215" s="11" t="str">
        <f t="shared" si="58"/>
        <v>222
102
151</v>
      </c>
      <c r="AE215" s="11" t="str">
        <f t="shared" si="59"/>
        <v>0
0
0</v>
      </c>
      <c r="AF215" s="11"/>
      <c r="AG215" s="11"/>
      <c r="AH215" s="8">
        <f t="shared" si="60"/>
        <v>85.6</v>
      </c>
      <c r="AI215" s="8">
        <f t="shared" si="61"/>
        <v>70.56</v>
      </c>
      <c r="AJ215" s="8">
        <f t="shared" si="62"/>
        <v>35.659999999999997</v>
      </c>
      <c r="AK215" s="8"/>
      <c r="AL215" s="8"/>
      <c r="AM215" s="8">
        <f t="shared" si="63"/>
        <v>0</v>
      </c>
      <c r="AN215" s="8">
        <f t="shared" si="64"/>
        <v>197.76</v>
      </c>
    </row>
    <row r="216" spans="1:40" ht="48" customHeight="1" x14ac:dyDescent="0.2">
      <c r="A216" s="8" t="str">
        <f>Elettricità!I216</f>
        <v>IT001E04171034</v>
      </c>
      <c r="B216" s="8" t="str">
        <f>Elettricità!A216</f>
        <v>005093369293(1).PDF</v>
      </c>
      <c r="C216" s="9">
        <f>Elettricità!E216</f>
        <v>45632</v>
      </c>
      <c r="D216" s="9">
        <f>Elettricità!K216</f>
        <v>45597</v>
      </c>
      <c r="E216" s="9">
        <f>Elettricità!L216</f>
        <v>45626</v>
      </c>
      <c r="F216" s="8">
        <f>Elettricità!M216</f>
        <v>1108</v>
      </c>
      <c r="G216" s="8">
        <f>Elettricità!N216</f>
        <v>523</v>
      </c>
      <c r="H216" s="8">
        <f>Elettricità!O216</f>
        <v>281</v>
      </c>
      <c r="I216" s="8">
        <f>Elettricità!P216</f>
        <v>304</v>
      </c>
      <c r="J216" s="8">
        <f>Elettricità!Q216</f>
        <v>0</v>
      </c>
      <c r="K216" s="8">
        <f>Elettricità!R216</f>
        <v>0</v>
      </c>
      <c r="L216" s="8">
        <f>Elettricità!S216</f>
        <v>0</v>
      </c>
      <c r="M216" s="8">
        <f>Elettricità!T216</f>
        <v>0</v>
      </c>
      <c r="N216" s="8">
        <f>Elettricità!W216</f>
        <v>323.72000000000003</v>
      </c>
      <c r="O216" s="8">
        <f>Elettricità!X216</f>
        <v>394.94</v>
      </c>
      <c r="P216" s="8">
        <f>Elettricità!Y216</f>
        <v>0</v>
      </c>
      <c r="Q216" s="8">
        <f>Elettricità!Z216</f>
        <v>185.62</v>
      </c>
      <c r="R216" s="8">
        <f>Elettricità!AA216</f>
        <v>44.1</v>
      </c>
      <c r="S216" s="8">
        <f>Elettricità!AB216</f>
        <v>80.150000000000006</v>
      </c>
      <c r="T216" s="8">
        <f>Elettricità!AC216</f>
        <v>0</v>
      </c>
      <c r="U216" s="8">
        <f>Elettricità!AD216</f>
        <v>71.22</v>
      </c>
      <c r="V216" s="8">
        <f t="shared" si="52"/>
        <v>2024</v>
      </c>
      <c r="W216" s="8">
        <f>_xlfn.XLOOKUP(A216,Fabbricati!E:E,Fabbricati!D:D)</f>
        <v>382926072</v>
      </c>
      <c r="X216" s="9">
        <f t="shared" si="53"/>
        <v>45632</v>
      </c>
      <c r="Y216" s="9">
        <f t="shared" si="54"/>
        <v>45597</v>
      </c>
      <c r="Z216" s="9">
        <f t="shared" si="55"/>
        <v>45626</v>
      </c>
      <c r="AA216" s="8">
        <f t="shared" si="56"/>
        <v>30</v>
      </c>
      <c r="AB216" s="8">
        <f t="shared" si="57"/>
        <v>1108</v>
      </c>
      <c r="AC216" s="12" t="s">
        <v>149</v>
      </c>
      <c r="AD216" s="11" t="str">
        <f t="shared" si="58"/>
        <v>523
281
304</v>
      </c>
      <c r="AE216" s="11" t="str">
        <f t="shared" si="59"/>
        <v>0
0
0</v>
      </c>
      <c r="AF216" s="11"/>
      <c r="AG216" s="11"/>
      <c r="AH216" s="8">
        <f t="shared" si="60"/>
        <v>124.25</v>
      </c>
      <c r="AI216" s="8">
        <f t="shared" si="61"/>
        <v>185.62</v>
      </c>
      <c r="AJ216" s="8">
        <f t="shared" si="62"/>
        <v>71.22</v>
      </c>
      <c r="AK216" s="8"/>
      <c r="AL216" s="8"/>
      <c r="AM216" s="8">
        <f t="shared" si="63"/>
        <v>0</v>
      </c>
      <c r="AN216" s="8">
        <f t="shared" si="64"/>
        <v>394.94</v>
      </c>
    </row>
    <row r="217" spans="1:40" ht="48" customHeight="1" x14ac:dyDescent="0.2">
      <c r="A217" s="8" t="str">
        <f>Elettricità!I217</f>
        <v>IT001E04171034</v>
      </c>
      <c r="B217" s="8" t="str">
        <f>Elettricità!A217</f>
        <v>005200218706.PDF</v>
      </c>
      <c r="C217" s="9">
        <f>Elettricità!E217</f>
        <v>45665</v>
      </c>
      <c r="D217" s="9">
        <f>Elettricità!K217</f>
        <v>45627</v>
      </c>
      <c r="E217" s="9">
        <f>Elettricità!L217</f>
        <v>45657</v>
      </c>
      <c r="F217" s="8">
        <f>Elettricità!M217</f>
        <v>2134</v>
      </c>
      <c r="G217" s="8">
        <f>Elettricità!N217</f>
        <v>749</v>
      </c>
      <c r="H217" s="8">
        <f>Elettricità!O217</f>
        <v>388</v>
      </c>
      <c r="I217" s="8">
        <f>Elettricità!P217</f>
        <v>997</v>
      </c>
      <c r="J217" s="8">
        <f>Elettricità!Q217</f>
        <v>1</v>
      </c>
      <c r="K217" s="8">
        <f>Elettricità!R217</f>
        <v>1</v>
      </c>
      <c r="L217" s="8">
        <f>Elettricità!S217</f>
        <v>0</v>
      </c>
      <c r="M217" s="8">
        <f>Elettricità!T217</f>
        <v>0</v>
      </c>
      <c r="N217" s="8">
        <f>Elettricità!W217</f>
        <v>583.6</v>
      </c>
      <c r="O217" s="8">
        <f>Elettricità!X217</f>
        <v>711.99</v>
      </c>
      <c r="P217" s="8">
        <f>Elettricità!Y217</f>
        <v>0</v>
      </c>
      <c r="Q217" s="8">
        <f>Elettricità!Z217</f>
        <v>370.03</v>
      </c>
      <c r="R217" s="8">
        <f>Elettricità!AA217</f>
        <v>57.28</v>
      </c>
      <c r="S217" s="8">
        <f>Elettricità!AB217</f>
        <v>129.61000000000001</v>
      </c>
      <c r="T217" s="8">
        <f>Elettricità!AC217</f>
        <v>0</v>
      </c>
      <c r="U217" s="8">
        <f>Elettricità!AD217</f>
        <v>128.38999999999999</v>
      </c>
      <c r="V217" s="8">
        <f t="shared" si="52"/>
        <v>2024</v>
      </c>
      <c r="W217" s="8">
        <f>_xlfn.XLOOKUP(A217,Fabbricati!E:E,Fabbricati!D:D)</f>
        <v>382926072</v>
      </c>
      <c r="X217" s="9">
        <f t="shared" si="53"/>
        <v>45665</v>
      </c>
      <c r="Y217" s="9">
        <f t="shared" si="54"/>
        <v>45627</v>
      </c>
      <c r="Z217" s="9">
        <f t="shared" si="55"/>
        <v>45657</v>
      </c>
      <c r="AA217" s="8">
        <f t="shared" si="56"/>
        <v>31</v>
      </c>
      <c r="AB217" s="8">
        <f t="shared" si="57"/>
        <v>2134</v>
      </c>
      <c r="AC217" s="12" t="s">
        <v>149</v>
      </c>
      <c r="AD217" s="11" t="str">
        <f t="shared" si="58"/>
        <v>749
388
997</v>
      </c>
      <c r="AE217" s="11" t="str">
        <f t="shared" si="59"/>
        <v>1
0
0</v>
      </c>
      <c r="AF217" s="11"/>
      <c r="AG217" s="11"/>
      <c r="AH217" s="8">
        <f t="shared" si="60"/>
        <v>186.89000000000001</v>
      </c>
      <c r="AI217" s="8">
        <f t="shared" si="61"/>
        <v>370.03</v>
      </c>
      <c r="AJ217" s="8">
        <f t="shared" si="62"/>
        <v>128.38999999999999</v>
      </c>
      <c r="AK217" s="8"/>
      <c r="AL217" s="8"/>
      <c r="AM217" s="8">
        <f t="shared" si="63"/>
        <v>0</v>
      </c>
      <c r="AN217" s="8">
        <f t="shared" si="64"/>
        <v>711.99</v>
      </c>
    </row>
    <row r="218" spans="1:40" ht="48" customHeight="1" x14ac:dyDescent="0.2">
      <c r="A218" s="8" t="str">
        <f>Elettricità!I218</f>
        <v>IT001E04171039</v>
      </c>
      <c r="B218" s="8" t="str">
        <f>Elettricità!A218</f>
        <v>824500045369_2024_d.pdf</v>
      </c>
      <c r="C218" s="9">
        <f>Elettricità!E218</f>
        <v>45350</v>
      </c>
      <c r="D218" s="9">
        <f>Elettricità!K218</f>
        <v>45292</v>
      </c>
      <c r="E218" s="9">
        <f>Elettricità!L218</f>
        <v>45322</v>
      </c>
      <c r="F218" s="8">
        <f>Elettricità!M218</f>
        <v>703</v>
      </c>
      <c r="G218" s="8">
        <f>Elettricità!N218</f>
        <v>215</v>
      </c>
      <c r="H218" s="8">
        <f>Elettricità!O218</f>
        <v>192</v>
      </c>
      <c r="I218" s="8">
        <f>Elettricità!P218</f>
        <v>296</v>
      </c>
      <c r="J218" s="8">
        <f>Elettricità!Q218</f>
        <v>18</v>
      </c>
      <c r="K218" s="8">
        <f>Elettricità!R218</f>
        <v>11</v>
      </c>
      <c r="L218" s="8">
        <f>Elettricità!S218</f>
        <v>4</v>
      </c>
      <c r="M218" s="8">
        <f>Elettricità!T218</f>
        <v>3</v>
      </c>
      <c r="N218" s="8">
        <f>Elettricità!W218</f>
        <v>237.52</v>
      </c>
      <c r="O218" s="8">
        <f>Elettricità!X218</f>
        <v>289.77</v>
      </c>
      <c r="P218" s="8">
        <f>Elettricità!Y218</f>
        <v>0</v>
      </c>
      <c r="Q218" s="8">
        <f>Elettricità!Z218</f>
        <v>109.82</v>
      </c>
      <c r="R218" s="8">
        <f>Elettricità!AA218</f>
        <v>52.65</v>
      </c>
      <c r="S218" s="8">
        <f>Elettricità!AB218</f>
        <v>62.74</v>
      </c>
      <c r="T218" s="8">
        <f>Elettricità!AC218</f>
        <v>3.52</v>
      </c>
      <c r="U218" s="8">
        <f>Elettricità!AD218</f>
        <v>8.7899999999999991</v>
      </c>
      <c r="V218" s="8">
        <f t="shared" si="52"/>
        <v>2024</v>
      </c>
      <c r="W218" s="8">
        <f>_xlfn.XLOOKUP(A218,Fabbricati!E:E,Fabbricati!D:D)</f>
        <v>302479003</v>
      </c>
      <c r="X218" s="9">
        <f t="shared" si="53"/>
        <v>45350</v>
      </c>
      <c r="Y218" s="9">
        <f t="shared" si="54"/>
        <v>45292</v>
      </c>
      <c r="Z218" s="9">
        <f t="shared" si="55"/>
        <v>45322</v>
      </c>
      <c r="AA218" s="8">
        <f t="shared" si="56"/>
        <v>31</v>
      </c>
      <c r="AB218" s="8">
        <f t="shared" si="57"/>
        <v>703</v>
      </c>
      <c r="AC218" s="12" t="s">
        <v>149</v>
      </c>
      <c r="AD218" s="11" t="str">
        <f t="shared" si="58"/>
        <v>215
192
296</v>
      </c>
      <c r="AE218" s="11" t="str">
        <f t="shared" si="59"/>
        <v>11
4
3</v>
      </c>
      <c r="AF218" s="11"/>
      <c r="AG218" s="11"/>
      <c r="AH218" s="8">
        <f t="shared" si="60"/>
        <v>115.39</v>
      </c>
      <c r="AI218" s="8">
        <f t="shared" si="61"/>
        <v>109.82</v>
      </c>
      <c r="AJ218" s="8">
        <f t="shared" si="62"/>
        <v>8.7899999999999991</v>
      </c>
      <c r="AK218" s="8"/>
      <c r="AL218" s="8"/>
      <c r="AM218" s="8">
        <f t="shared" si="63"/>
        <v>3.52</v>
      </c>
      <c r="AN218" s="8">
        <f t="shared" si="64"/>
        <v>289.77</v>
      </c>
    </row>
    <row r="219" spans="1:40" ht="48" customHeight="1" x14ac:dyDescent="0.2">
      <c r="A219" s="8" t="str">
        <f>Elettricità!I219</f>
        <v>IT001E04171039</v>
      </c>
      <c r="B219" s="8" t="str">
        <f>Elettricità!A219</f>
        <v>005018359670.pdf</v>
      </c>
      <c r="C219" s="9">
        <f>Elettricità!E219</f>
        <v>45358</v>
      </c>
      <c r="D219" s="9">
        <f>Elettricità!K219</f>
        <v>45323</v>
      </c>
      <c r="E219" s="9">
        <f>Elettricità!L219</f>
        <v>45351</v>
      </c>
      <c r="F219" s="8">
        <f>Elettricità!M219</f>
        <v>685</v>
      </c>
      <c r="G219" s="8">
        <f>Elettricità!N219</f>
        <v>223</v>
      </c>
      <c r="H219" s="8">
        <f>Elettricità!O219</f>
        <v>193</v>
      </c>
      <c r="I219" s="8">
        <f>Elettricità!P219</f>
        <v>269</v>
      </c>
      <c r="J219" s="8">
        <f>Elettricità!Q219</f>
        <v>31</v>
      </c>
      <c r="K219" s="8">
        <f>Elettricità!R219</f>
        <v>22</v>
      </c>
      <c r="L219" s="8">
        <f>Elettricità!S219</f>
        <v>5</v>
      </c>
      <c r="M219" s="8">
        <f>Elettricità!T219</f>
        <v>4</v>
      </c>
      <c r="N219" s="8">
        <f>Elettricità!W219</f>
        <v>204.89</v>
      </c>
      <c r="O219" s="8">
        <f>Elettricità!X219</f>
        <v>249.97</v>
      </c>
      <c r="P219" s="8">
        <f>Elettricità!Y219</f>
        <v>0</v>
      </c>
      <c r="Q219" s="8">
        <f>Elettricità!Z219</f>
        <v>81.91</v>
      </c>
      <c r="R219" s="8">
        <f>Elettricità!AA219</f>
        <v>52.43</v>
      </c>
      <c r="S219" s="8">
        <f>Elettricità!AB219</f>
        <v>61.99</v>
      </c>
      <c r="T219" s="8">
        <f>Elettricità!AC219</f>
        <v>0</v>
      </c>
      <c r="U219" s="8">
        <f>Elettricità!AD219</f>
        <v>45.08</v>
      </c>
      <c r="V219" s="8">
        <f t="shared" si="52"/>
        <v>2024</v>
      </c>
      <c r="W219" s="8">
        <f>_xlfn.XLOOKUP(A219,Fabbricati!E:E,Fabbricati!D:D)</f>
        <v>302479003</v>
      </c>
      <c r="X219" s="9">
        <f t="shared" si="53"/>
        <v>45358</v>
      </c>
      <c r="Y219" s="9">
        <f t="shared" si="54"/>
        <v>45323</v>
      </c>
      <c r="Z219" s="9">
        <f t="shared" si="55"/>
        <v>45351</v>
      </c>
      <c r="AA219" s="8">
        <f t="shared" si="56"/>
        <v>29</v>
      </c>
      <c r="AB219" s="8">
        <f t="shared" si="57"/>
        <v>685</v>
      </c>
      <c r="AC219" s="12" t="s">
        <v>149</v>
      </c>
      <c r="AD219" s="11" t="str">
        <f t="shared" si="58"/>
        <v>223
193
269</v>
      </c>
      <c r="AE219" s="11" t="str">
        <f t="shared" si="59"/>
        <v>22
5
4</v>
      </c>
      <c r="AF219" s="11"/>
      <c r="AG219" s="11"/>
      <c r="AH219" s="8">
        <f t="shared" si="60"/>
        <v>114.42</v>
      </c>
      <c r="AI219" s="8">
        <f t="shared" si="61"/>
        <v>81.91</v>
      </c>
      <c r="AJ219" s="8">
        <f t="shared" si="62"/>
        <v>45.08</v>
      </c>
      <c r="AK219" s="8"/>
      <c r="AL219" s="8"/>
      <c r="AM219" s="8">
        <f t="shared" si="63"/>
        <v>0</v>
      </c>
      <c r="AN219" s="8">
        <f t="shared" si="64"/>
        <v>249.97</v>
      </c>
    </row>
    <row r="220" spans="1:40" ht="48" customHeight="1" x14ac:dyDescent="0.2">
      <c r="A220" s="8" t="str">
        <f>Elettricità!I220</f>
        <v>IT001E04171039</v>
      </c>
      <c r="B220" s="8" t="str">
        <f>Elettricità!A220</f>
        <v>005026659957.pdf</v>
      </c>
      <c r="C220" s="9">
        <f>Elettricità!E220</f>
        <v>45390</v>
      </c>
      <c r="D220" s="9">
        <f>Elettricità!K220</f>
        <v>45352</v>
      </c>
      <c r="E220" s="9">
        <f>Elettricità!L220</f>
        <v>45382</v>
      </c>
      <c r="F220" s="8">
        <f>Elettricità!M220</f>
        <v>640</v>
      </c>
      <c r="G220" s="8">
        <f>Elettricità!N220</f>
        <v>208</v>
      </c>
      <c r="H220" s="8">
        <f>Elettricità!O220</f>
        <v>163</v>
      </c>
      <c r="I220" s="8">
        <f>Elettricità!P220</f>
        <v>269</v>
      </c>
      <c r="J220" s="8">
        <f>Elettricità!Q220</f>
        <v>38</v>
      </c>
      <c r="K220" s="8">
        <f>Elettricità!R220</f>
        <v>29</v>
      </c>
      <c r="L220" s="8">
        <f>Elettricità!S220</f>
        <v>5</v>
      </c>
      <c r="M220" s="8">
        <f>Elettricità!T220</f>
        <v>4</v>
      </c>
      <c r="N220" s="8">
        <f>Elettricità!W220</f>
        <v>194.29</v>
      </c>
      <c r="O220" s="8">
        <f>Elettricità!X220</f>
        <v>237.03</v>
      </c>
      <c r="P220" s="8">
        <f>Elettricità!Y220</f>
        <v>0</v>
      </c>
      <c r="Q220" s="8">
        <f>Elettricità!Z220</f>
        <v>74.33</v>
      </c>
      <c r="R220" s="8">
        <f>Elettricità!AA220</f>
        <v>51.84</v>
      </c>
      <c r="S220" s="8">
        <f>Elettricità!AB220</f>
        <v>60.12</v>
      </c>
      <c r="T220" s="8">
        <f>Elettricità!AC220</f>
        <v>0</v>
      </c>
      <c r="U220" s="8">
        <f>Elettricità!AD220</f>
        <v>42.74</v>
      </c>
      <c r="V220" s="8">
        <f t="shared" si="52"/>
        <v>2024</v>
      </c>
      <c r="W220" s="8">
        <f>_xlfn.XLOOKUP(A220,Fabbricati!E:E,Fabbricati!D:D)</f>
        <v>302479003</v>
      </c>
      <c r="X220" s="9">
        <f t="shared" si="53"/>
        <v>45390</v>
      </c>
      <c r="Y220" s="9">
        <f t="shared" si="54"/>
        <v>45352</v>
      </c>
      <c r="Z220" s="9">
        <f t="shared" si="55"/>
        <v>45382</v>
      </c>
      <c r="AA220" s="8">
        <f t="shared" si="56"/>
        <v>31</v>
      </c>
      <c r="AB220" s="8">
        <f t="shared" si="57"/>
        <v>640</v>
      </c>
      <c r="AC220" s="12" t="s">
        <v>149</v>
      </c>
      <c r="AD220" s="11" t="str">
        <f t="shared" si="58"/>
        <v>208
163
269</v>
      </c>
      <c r="AE220" s="11" t="str">
        <f t="shared" si="59"/>
        <v>29
5
4</v>
      </c>
      <c r="AF220" s="11"/>
      <c r="AG220" s="11"/>
      <c r="AH220" s="8">
        <f t="shared" si="60"/>
        <v>111.96000000000001</v>
      </c>
      <c r="AI220" s="8">
        <f t="shared" si="61"/>
        <v>74.33</v>
      </c>
      <c r="AJ220" s="8">
        <f t="shared" si="62"/>
        <v>42.74</v>
      </c>
      <c r="AK220" s="8"/>
      <c r="AL220" s="8"/>
      <c r="AM220" s="8">
        <f t="shared" si="63"/>
        <v>0</v>
      </c>
      <c r="AN220" s="8">
        <f t="shared" si="64"/>
        <v>237.03</v>
      </c>
    </row>
    <row r="221" spans="1:40" ht="48" customHeight="1" x14ac:dyDescent="0.2">
      <c r="A221" s="8" t="str">
        <f>Elettricità!I221</f>
        <v>IT001E04171039</v>
      </c>
      <c r="B221" s="8" t="str">
        <f>Elettricità!A221</f>
        <v>005034930225.PDF</v>
      </c>
      <c r="C221" s="9">
        <f>Elettricità!E221</f>
        <v>45419</v>
      </c>
      <c r="D221" s="9">
        <f>Elettricità!K221</f>
        <v>45383</v>
      </c>
      <c r="E221" s="9">
        <f>Elettricità!L221</f>
        <v>45412</v>
      </c>
      <c r="F221" s="8">
        <f>Elettricità!M221</f>
        <v>574</v>
      </c>
      <c r="G221" s="8">
        <f>Elettricità!N221</f>
        <v>144</v>
      </c>
      <c r="H221" s="8">
        <f>Elettricità!O221</f>
        <v>159</v>
      </c>
      <c r="I221" s="8">
        <f>Elettricità!P221</f>
        <v>271</v>
      </c>
      <c r="J221" s="8">
        <f>Elettricità!Q221</f>
        <v>22</v>
      </c>
      <c r="K221" s="8">
        <f>Elettricità!R221</f>
        <v>11</v>
      </c>
      <c r="L221" s="8">
        <f>Elettricità!S221</f>
        <v>9</v>
      </c>
      <c r="M221" s="8">
        <f>Elettricità!T221</f>
        <v>2</v>
      </c>
      <c r="N221" s="8">
        <f>Elettricità!W221</f>
        <v>189.77</v>
      </c>
      <c r="O221" s="8">
        <f>Elettricità!X221</f>
        <v>231.52</v>
      </c>
      <c r="P221" s="8">
        <f>Elettricità!Y221</f>
        <v>0</v>
      </c>
      <c r="Q221" s="8">
        <f>Elettricità!Z221</f>
        <v>64.78</v>
      </c>
      <c r="R221" s="8">
        <f>Elettricità!AA221</f>
        <v>51</v>
      </c>
      <c r="S221" s="8">
        <f>Elettricità!AB221</f>
        <v>66.81</v>
      </c>
      <c r="T221" s="8">
        <f>Elettricità!AC221</f>
        <v>0</v>
      </c>
      <c r="U221" s="8">
        <f>Elettricità!AD221</f>
        <v>41.75</v>
      </c>
      <c r="V221" s="8">
        <f t="shared" si="52"/>
        <v>2024</v>
      </c>
      <c r="W221" s="8">
        <f>_xlfn.XLOOKUP(A221,Fabbricati!E:E,Fabbricati!D:D)</f>
        <v>302479003</v>
      </c>
      <c r="X221" s="9">
        <f t="shared" si="53"/>
        <v>45419</v>
      </c>
      <c r="Y221" s="9">
        <f t="shared" si="54"/>
        <v>45383</v>
      </c>
      <c r="Z221" s="9">
        <f t="shared" si="55"/>
        <v>45412</v>
      </c>
      <c r="AA221" s="8">
        <f t="shared" si="56"/>
        <v>30</v>
      </c>
      <c r="AB221" s="8">
        <f t="shared" si="57"/>
        <v>574</v>
      </c>
      <c r="AC221" s="12" t="s">
        <v>149</v>
      </c>
      <c r="AD221" s="11" t="str">
        <f t="shared" si="58"/>
        <v>144
159
271</v>
      </c>
      <c r="AE221" s="11" t="str">
        <f t="shared" si="59"/>
        <v>11
9
2</v>
      </c>
      <c r="AF221" s="11"/>
      <c r="AG221" s="11"/>
      <c r="AH221" s="8">
        <f t="shared" si="60"/>
        <v>117.81</v>
      </c>
      <c r="AI221" s="8">
        <f t="shared" si="61"/>
        <v>64.78</v>
      </c>
      <c r="AJ221" s="8">
        <f t="shared" si="62"/>
        <v>41.75</v>
      </c>
      <c r="AK221" s="8"/>
      <c r="AL221" s="8"/>
      <c r="AM221" s="8">
        <f t="shared" si="63"/>
        <v>0</v>
      </c>
      <c r="AN221" s="8">
        <f t="shared" si="64"/>
        <v>231.52</v>
      </c>
    </row>
    <row r="222" spans="1:40" ht="48" customHeight="1" x14ac:dyDescent="0.2">
      <c r="A222" s="8" t="str">
        <f>Elettricità!I222</f>
        <v>IT001E04171039</v>
      </c>
      <c r="B222" s="8" t="str">
        <f>Elettricità!A222</f>
        <v>005043663089.PDF</v>
      </c>
      <c r="C222" s="9">
        <f>Elettricità!E222</f>
        <v>45449</v>
      </c>
      <c r="D222" s="9">
        <f>Elettricità!K222</f>
        <v>45413</v>
      </c>
      <c r="E222" s="9">
        <f>Elettricità!L222</f>
        <v>45417</v>
      </c>
      <c r="F222" s="8">
        <f>Elettricità!M222</f>
        <v>592</v>
      </c>
      <c r="G222" s="8">
        <f>Elettricità!N222</f>
        <v>190</v>
      </c>
      <c r="H222" s="8">
        <f>Elettricità!O222</f>
        <v>147</v>
      </c>
      <c r="I222" s="8">
        <f>Elettricità!P222</f>
        <v>255</v>
      </c>
      <c r="J222" s="8">
        <f>Elettricità!Q222</f>
        <v>45</v>
      </c>
      <c r="K222" s="8">
        <f>Elettricità!R222</f>
        <v>33</v>
      </c>
      <c r="L222" s="8">
        <f>Elettricità!S222</f>
        <v>9</v>
      </c>
      <c r="M222" s="8">
        <f>Elettricità!T222</f>
        <v>3</v>
      </c>
      <c r="N222" s="8">
        <f>Elettricità!W222</f>
        <v>197.37</v>
      </c>
      <c r="O222" s="8">
        <f>Elettricità!X222</f>
        <v>240.79</v>
      </c>
      <c r="P222" s="8">
        <f>Elettricità!Y222</f>
        <v>0</v>
      </c>
      <c r="Q222" s="8">
        <f>Elettricità!Z222</f>
        <v>71.05</v>
      </c>
      <c r="R222" s="8">
        <f>Elettricità!AA222</f>
        <v>51.24</v>
      </c>
      <c r="S222" s="8">
        <f>Elettricità!AB222</f>
        <v>67.67</v>
      </c>
      <c r="T222" s="8">
        <f>Elettricità!AC222</f>
        <v>0</v>
      </c>
      <c r="U222" s="8">
        <f>Elettricità!AD222</f>
        <v>43.42</v>
      </c>
      <c r="V222" s="8">
        <f t="shared" si="52"/>
        <v>2024</v>
      </c>
      <c r="W222" s="8">
        <f>_xlfn.XLOOKUP(A222,Fabbricati!E:E,Fabbricati!D:D)</f>
        <v>302479003</v>
      </c>
      <c r="X222" s="9">
        <f t="shared" si="53"/>
        <v>45449</v>
      </c>
      <c r="Y222" s="9">
        <f t="shared" si="54"/>
        <v>45413</v>
      </c>
      <c r="Z222" s="9">
        <f t="shared" si="55"/>
        <v>45417</v>
      </c>
      <c r="AA222" s="8">
        <f t="shared" si="56"/>
        <v>5</v>
      </c>
      <c r="AB222" s="8">
        <f t="shared" si="57"/>
        <v>592</v>
      </c>
      <c r="AC222" s="12" t="s">
        <v>149</v>
      </c>
      <c r="AD222" s="11" t="str">
        <f t="shared" si="58"/>
        <v>190
147
255</v>
      </c>
      <c r="AE222" s="11" t="str">
        <f t="shared" si="59"/>
        <v>33
9
3</v>
      </c>
      <c r="AF222" s="11"/>
      <c r="AG222" s="11"/>
      <c r="AH222" s="8">
        <f t="shared" si="60"/>
        <v>118.91</v>
      </c>
      <c r="AI222" s="8">
        <f t="shared" si="61"/>
        <v>71.05</v>
      </c>
      <c r="AJ222" s="8">
        <f t="shared" si="62"/>
        <v>43.42</v>
      </c>
      <c r="AK222" s="8"/>
      <c r="AL222" s="8"/>
      <c r="AM222" s="8">
        <f t="shared" si="63"/>
        <v>0</v>
      </c>
      <c r="AN222" s="8">
        <f t="shared" si="64"/>
        <v>240.79</v>
      </c>
    </row>
    <row r="223" spans="1:40" ht="48" customHeight="1" x14ac:dyDescent="0.2">
      <c r="A223" s="8" t="str">
        <f>Elettricità!I223</f>
        <v>IT001E04171039</v>
      </c>
      <c r="B223" s="8" t="str">
        <f>Elettricità!A223</f>
        <v>005051431104.PDF</v>
      </c>
      <c r="C223" s="9">
        <f>Elettricità!E223</f>
        <v>45478</v>
      </c>
      <c r="D223" s="9">
        <f>Elettricità!K223</f>
        <v>45444</v>
      </c>
      <c r="E223" s="9">
        <f>Elettricità!L223</f>
        <v>45473</v>
      </c>
      <c r="F223" s="8">
        <f>Elettricità!M223</f>
        <v>621</v>
      </c>
      <c r="G223" s="8">
        <f>Elettricità!N223</f>
        <v>171</v>
      </c>
      <c r="H223" s="8">
        <f>Elettricità!O223</f>
        <v>163</v>
      </c>
      <c r="I223" s="8">
        <f>Elettricità!P223</f>
        <v>287</v>
      </c>
      <c r="J223" s="8">
        <f>Elettricità!Q223</f>
        <v>31</v>
      </c>
      <c r="K223" s="8">
        <f>Elettricità!R223</f>
        <v>17</v>
      </c>
      <c r="L223" s="8">
        <f>Elettricità!S223</f>
        <v>10</v>
      </c>
      <c r="M223" s="8">
        <f>Elettricità!T223</f>
        <v>4</v>
      </c>
      <c r="N223" s="8">
        <f>Elettricità!W223</f>
        <v>211.28</v>
      </c>
      <c r="O223" s="8">
        <f>Elettricità!X223</f>
        <v>257.76</v>
      </c>
      <c r="P223" s="8">
        <f>Elettricità!Y223</f>
        <v>0</v>
      </c>
      <c r="Q223" s="8">
        <f>Elettricità!Z223</f>
        <v>82.85</v>
      </c>
      <c r="R223" s="8">
        <f>Elettricità!AA223</f>
        <v>51.6</v>
      </c>
      <c r="S223" s="8">
        <f>Elettricità!AB223</f>
        <v>69.069999999999993</v>
      </c>
      <c r="T223" s="8">
        <f>Elettricità!AC223</f>
        <v>0</v>
      </c>
      <c r="U223" s="8">
        <f>Elettricità!AD223</f>
        <v>46.48</v>
      </c>
      <c r="V223" s="8">
        <f t="shared" si="52"/>
        <v>2024</v>
      </c>
      <c r="W223" s="8">
        <f>_xlfn.XLOOKUP(A223,Fabbricati!E:E,Fabbricati!D:D)</f>
        <v>302479003</v>
      </c>
      <c r="X223" s="9">
        <f t="shared" si="53"/>
        <v>45478</v>
      </c>
      <c r="Y223" s="9">
        <f t="shared" si="54"/>
        <v>45444</v>
      </c>
      <c r="Z223" s="9">
        <f t="shared" si="55"/>
        <v>45473</v>
      </c>
      <c r="AA223" s="8">
        <f t="shared" si="56"/>
        <v>30</v>
      </c>
      <c r="AB223" s="8">
        <f t="shared" si="57"/>
        <v>621</v>
      </c>
      <c r="AC223" s="12" t="s">
        <v>149</v>
      </c>
      <c r="AD223" s="11" t="str">
        <f t="shared" si="58"/>
        <v>171
163
287</v>
      </c>
      <c r="AE223" s="11" t="str">
        <f t="shared" si="59"/>
        <v>17
10
4</v>
      </c>
      <c r="AF223" s="11"/>
      <c r="AG223" s="11"/>
      <c r="AH223" s="8">
        <f t="shared" si="60"/>
        <v>120.66999999999999</v>
      </c>
      <c r="AI223" s="8">
        <f t="shared" si="61"/>
        <v>82.85</v>
      </c>
      <c r="AJ223" s="8">
        <f t="shared" si="62"/>
        <v>46.48</v>
      </c>
      <c r="AK223" s="8"/>
      <c r="AL223" s="8"/>
      <c r="AM223" s="8">
        <f t="shared" si="63"/>
        <v>0</v>
      </c>
      <c r="AN223" s="8">
        <f t="shared" si="64"/>
        <v>257.76</v>
      </c>
    </row>
    <row r="224" spans="1:40" ht="48" customHeight="1" x14ac:dyDescent="0.2">
      <c r="A224" s="8" t="str">
        <f>Elettricità!I224</f>
        <v>IT001E04171039</v>
      </c>
      <c r="B224" s="8" t="str">
        <f>Elettricità!A224</f>
        <v>005059958069.PDF</v>
      </c>
      <c r="C224" s="9">
        <f>Elettricità!E224</f>
        <v>45511</v>
      </c>
      <c r="D224" s="9">
        <f>Elettricità!K224</f>
        <v>45474</v>
      </c>
      <c r="E224" s="9">
        <f>Elettricità!L224</f>
        <v>45504</v>
      </c>
      <c r="F224" s="8">
        <f>Elettricità!M224</f>
        <v>771</v>
      </c>
      <c r="G224" s="8">
        <f>Elettricità!N224</f>
        <v>330</v>
      </c>
      <c r="H224" s="8">
        <f>Elettricità!O224</f>
        <v>186</v>
      </c>
      <c r="I224" s="8">
        <f>Elettricità!P224</f>
        <v>255</v>
      </c>
      <c r="J224" s="8">
        <f>Elettricità!Q224</f>
        <v>225</v>
      </c>
      <c r="K224" s="8">
        <f>Elettricità!R224</f>
        <v>159</v>
      </c>
      <c r="L224" s="8">
        <f>Elettricità!S224</f>
        <v>53</v>
      </c>
      <c r="M224" s="8">
        <f>Elettricità!T224</f>
        <v>13</v>
      </c>
      <c r="N224" s="8">
        <f>Elettricità!W224</f>
        <v>258.45999999999998</v>
      </c>
      <c r="O224" s="8">
        <f>Elettricità!X224</f>
        <v>315.32</v>
      </c>
      <c r="P224" s="8">
        <f>Elettricità!Y224</f>
        <v>0</v>
      </c>
      <c r="Q224" s="8">
        <f>Elettricità!Z224</f>
        <v>118.98</v>
      </c>
      <c r="R224" s="8">
        <f>Elettricità!AA224</f>
        <v>53.53</v>
      </c>
      <c r="S224" s="8">
        <f>Elettricità!AB224</f>
        <v>76.31</v>
      </c>
      <c r="T224" s="8">
        <f>Elettricità!AC224</f>
        <v>0</v>
      </c>
      <c r="U224" s="8">
        <f>Elettricità!AD224</f>
        <v>56.86</v>
      </c>
      <c r="V224" s="8">
        <f t="shared" si="52"/>
        <v>2024</v>
      </c>
      <c r="W224" s="8">
        <f>_xlfn.XLOOKUP(A224,Fabbricati!E:E,Fabbricati!D:D)</f>
        <v>302479003</v>
      </c>
      <c r="X224" s="9">
        <f t="shared" si="53"/>
        <v>45511</v>
      </c>
      <c r="Y224" s="9">
        <f t="shared" si="54"/>
        <v>45474</v>
      </c>
      <c r="Z224" s="9">
        <f t="shared" si="55"/>
        <v>45504</v>
      </c>
      <c r="AA224" s="8">
        <f t="shared" si="56"/>
        <v>31</v>
      </c>
      <c r="AB224" s="8">
        <f t="shared" si="57"/>
        <v>771</v>
      </c>
      <c r="AC224" s="12" t="s">
        <v>149</v>
      </c>
      <c r="AD224" s="11" t="str">
        <f t="shared" si="58"/>
        <v>330
186
255</v>
      </c>
      <c r="AE224" s="11" t="str">
        <f t="shared" si="59"/>
        <v>159
53
13</v>
      </c>
      <c r="AF224" s="11"/>
      <c r="AG224" s="11"/>
      <c r="AH224" s="8">
        <f t="shared" si="60"/>
        <v>129.84</v>
      </c>
      <c r="AI224" s="8">
        <f t="shared" si="61"/>
        <v>118.98</v>
      </c>
      <c r="AJ224" s="8">
        <f t="shared" si="62"/>
        <v>56.86</v>
      </c>
      <c r="AK224" s="8"/>
      <c r="AL224" s="8"/>
      <c r="AM224" s="8">
        <f t="shared" si="63"/>
        <v>0</v>
      </c>
      <c r="AN224" s="8">
        <f t="shared" si="64"/>
        <v>315.32</v>
      </c>
    </row>
    <row r="225" spans="1:40" ht="48" customHeight="1" x14ac:dyDescent="0.2">
      <c r="A225" s="8" t="str">
        <f>Elettricità!I225</f>
        <v>IT001E04171039</v>
      </c>
      <c r="B225" s="8" t="str">
        <f>Elettricità!A225</f>
        <v>005067307601.PDF</v>
      </c>
      <c r="C225" s="9">
        <f>Elettricità!E225</f>
        <v>45541</v>
      </c>
      <c r="D225" s="9">
        <f>Elettricità!K225</f>
        <v>45505</v>
      </c>
      <c r="E225" s="9">
        <f>Elettricità!L225</f>
        <v>45535</v>
      </c>
      <c r="F225" s="8">
        <f>Elettricità!M225</f>
        <v>2933</v>
      </c>
      <c r="G225" s="8">
        <f>Elettricità!N225</f>
        <v>1096</v>
      </c>
      <c r="H225" s="8">
        <f>Elettricità!O225</f>
        <v>710</v>
      </c>
      <c r="I225" s="8">
        <f>Elettricità!P225</f>
        <v>1127</v>
      </c>
      <c r="J225" s="8">
        <f>Elettricità!Q225</f>
        <v>669</v>
      </c>
      <c r="K225" s="8">
        <f>Elettricità!R225</f>
        <v>442</v>
      </c>
      <c r="L225" s="8">
        <f>Elettricità!S225</f>
        <v>145</v>
      </c>
      <c r="M225" s="8">
        <f>Elettricità!T225</f>
        <v>82</v>
      </c>
      <c r="N225" s="8">
        <f>Elettricità!W225</f>
        <v>302.86</v>
      </c>
      <c r="O225" s="8">
        <f>Elettricità!X225</f>
        <v>369.49</v>
      </c>
      <c r="P225" s="8">
        <f>Elettricità!Y225</f>
        <v>0</v>
      </c>
      <c r="Q225" s="8">
        <f>Elettricità!Z225</f>
        <v>149.53</v>
      </c>
      <c r="R225" s="8">
        <f>Elettricità!AA225</f>
        <v>55.82</v>
      </c>
      <c r="S225" s="8">
        <f>Elettricità!AB225</f>
        <v>84.89</v>
      </c>
      <c r="T225" s="8">
        <f>Elettricità!AC225</f>
        <v>0</v>
      </c>
      <c r="U225" s="8">
        <f>Elettricità!AD225</f>
        <v>66.63</v>
      </c>
      <c r="V225" s="8">
        <f t="shared" si="52"/>
        <v>2024</v>
      </c>
      <c r="W225" s="8">
        <f>_xlfn.XLOOKUP(A225,Fabbricati!E:E,Fabbricati!D:D)</f>
        <v>302479003</v>
      </c>
      <c r="X225" s="9">
        <f t="shared" si="53"/>
        <v>45541</v>
      </c>
      <c r="Y225" s="9">
        <f t="shared" si="54"/>
        <v>45505</v>
      </c>
      <c r="Z225" s="9">
        <f t="shared" si="55"/>
        <v>45535</v>
      </c>
      <c r="AA225" s="8">
        <f t="shared" si="56"/>
        <v>31</v>
      </c>
      <c r="AB225" s="8">
        <f t="shared" si="57"/>
        <v>2933</v>
      </c>
      <c r="AC225" s="12" t="s">
        <v>149</v>
      </c>
      <c r="AD225" s="11" t="str">
        <f t="shared" si="58"/>
        <v>1096
710
1127</v>
      </c>
      <c r="AE225" s="11" t="str">
        <f t="shared" si="59"/>
        <v>442
145
82</v>
      </c>
      <c r="AF225" s="11"/>
      <c r="AG225" s="11"/>
      <c r="AH225" s="8">
        <f t="shared" si="60"/>
        <v>140.71</v>
      </c>
      <c r="AI225" s="8">
        <f t="shared" si="61"/>
        <v>149.53</v>
      </c>
      <c r="AJ225" s="8">
        <f t="shared" si="62"/>
        <v>66.63</v>
      </c>
      <c r="AK225" s="8"/>
      <c r="AL225" s="8"/>
      <c r="AM225" s="8">
        <f t="shared" si="63"/>
        <v>0</v>
      </c>
      <c r="AN225" s="8">
        <f t="shared" si="64"/>
        <v>369.49</v>
      </c>
    </row>
    <row r="226" spans="1:40" ht="48" customHeight="1" x14ac:dyDescent="0.2">
      <c r="A226" s="8" t="str">
        <f>Elettricità!I226</f>
        <v>IT001E04171039</v>
      </c>
      <c r="B226" s="8" t="str">
        <f>Elettricità!A226</f>
        <v>005076347780.PDF</v>
      </c>
      <c r="C226" s="9">
        <f>Elettricità!E226</f>
        <v>45571</v>
      </c>
      <c r="D226" s="9">
        <f>Elettricità!K226</f>
        <v>45536</v>
      </c>
      <c r="E226" s="9">
        <f>Elettricità!L226</f>
        <v>45565</v>
      </c>
      <c r="F226" s="8">
        <f>Elettricità!M226</f>
        <v>705</v>
      </c>
      <c r="G226" s="8">
        <f>Elettricità!N226</f>
        <v>252</v>
      </c>
      <c r="H226" s="8">
        <f>Elettricità!O226</f>
        <v>190</v>
      </c>
      <c r="I226" s="8">
        <f>Elettricità!P226</f>
        <v>263</v>
      </c>
      <c r="J226" s="8">
        <f>Elettricità!Q226</f>
        <v>143</v>
      </c>
      <c r="K226" s="8">
        <f>Elettricità!R226</f>
        <v>106</v>
      </c>
      <c r="L226" s="8">
        <f>Elettricità!S226</f>
        <v>34</v>
      </c>
      <c r="M226" s="8">
        <f>Elettricità!T226</f>
        <v>3</v>
      </c>
      <c r="N226" s="8">
        <f>Elettricità!W226</f>
        <v>237.97</v>
      </c>
      <c r="O226" s="8">
        <f>Elettricità!X226</f>
        <v>290.32</v>
      </c>
      <c r="P226" s="8">
        <f>Elettricità!Y226</f>
        <v>0</v>
      </c>
      <c r="Q226" s="8">
        <f>Elettricità!Z226</f>
        <v>103.35</v>
      </c>
      <c r="R226" s="8">
        <f>Elettricità!AA226</f>
        <v>52.68</v>
      </c>
      <c r="S226" s="8">
        <f>Elettricità!AB226</f>
        <v>73.13</v>
      </c>
      <c r="T226" s="8">
        <f>Elettricità!AC226</f>
        <v>0</v>
      </c>
      <c r="U226" s="8">
        <f>Elettricità!AD226</f>
        <v>52.35</v>
      </c>
      <c r="V226" s="8">
        <f t="shared" si="52"/>
        <v>2024</v>
      </c>
      <c r="W226" s="8">
        <f>_xlfn.XLOOKUP(A226,Fabbricati!E:E,Fabbricati!D:D)</f>
        <v>302479003</v>
      </c>
      <c r="X226" s="9">
        <f t="shared" si="53"/>
        <v>45571</v>
      </c>
      <c r="Y226" s="9">
        <f t="shared" si="54"/>
        <v>45536</v>
      </c>
      <c r="Z226" s="9">
        <f t="shared" si="55"/>
        <v>45565</v>
      </c>
      <c r="AA226" s="8">
        <f t="shared" si="56"/>
        <v>30</v>
      </c>
      <c r="AB226" s="8">
        <f t="shared" si="57"/>
        <v>705</v>
      </c>
      <c r="AC226" s="12" t="s">
        <v>149</v>
      </c>
      <c r="AD226" s="11" t="str">
        <f t="shared" si="58"/>
        <v>252
190
263</v>
      </c>
      <c r="AE226" s="11" t="str">
        <f t="shared" si="59"/>
        <v>106
34
3</v>
      </c>
      <c r="AF226" s="11"/>
      <c r="AG226" s="11"/>
      <c r="AH226" s="8">
        <f t="shared" si="60"/>
        <v>125.81</v>
      </c>
      <c r="AI226" s="8">
        <f t="shared" si="61"/>
        <v>103.35</v>
      </c>
      <c r="AJ226" s="8">
        <f t="shared" si="62"/>
        <v>52.35</v>
      </c>
      <c r="AK226" s="8"/>
      <c r="AL226" s="8"/>
      <c r="AM226" s="8">
        <f t="shared" si="63"/>
        <v>0</v>
      </c>
      <c r="AN226" s="8">
        <f t="shared" si="64"/>
        <v>290.32</v>
      </c>
    </row>
    <row r="227" spans="1:40" ht="48" customHeight="1" x14ac:dyDescent="0.2">
      <c r="A227" s="8" t="str">
        <f>Elettricità!I227</f>
        <v>IT001E04171039</v>
      </c>
      <c r="B227" s="8" t="str">
        <f>Elettricità!A227</f>
        <v>005085485036.PDF</v>
      </c>
      <c r="C227" s="9">
        <f>Elettricità!E227</f>
        <v>45604</v>
      </c>
      <c r="D227" s="9">
        <f>Elettricità!K227</f>
        <v>45566</v>
      </c>
      <c r="E227" s="9">
        <f>Elettricità!L227</f>
        <v>45596</v>
      </c>
      <c r="F227" s="8">
        <f>Elettricità!M227</f>
        <v>756</v>
      </c>
      <c r="G227" s="8">
        <f>Elettricità!N227</f>
        <v>269</v>
      </c>
      <c r="H227" s="8">
        <f>Elettricità!O227</f>
        <v>212</v>
      </c>
      <c r="I227" s="8">
        <f>Elettricità!P227</f>
        <v>275</v>
      </c>
      <c r="J227" s="8">
        <f>Elettricità!Q227</f>
        <v>69</v>
      </c>
      <c r="K227" s="8">
        <f>Elettricità!R227</f>
        <v>60</v>
      </c>
      <c r="L227" s="8">
        <f>Elettricità!S227</f>
        <v>7</v>
      </c>
      <c r="M227" s="8">
        <f>Elettricità!T227</f>
        <v>2</v>
      </c>
      <c r="N227" s="8">
        <f>Elettricità!W227</f>
        <v>250.28</v>
      </c>
      <c r="O227" s="8">
        <f>Elettricità!X227</f>
        <v>305.33999999999997</v>
      </c>
      <c r="P227" s="8">
        <f>Elettricità!Y227</f>
        <v>0</v>
      </c>
      <c r="Q227" s="8">
        <f>Elettricità!Z227</f>
        <v>111.92</v>
      </c>
      <c r="R227" s="8">
        <f>Elettricità!AA227</f>
        <v>53.33</v>
      </c>
      <c r="S227" s="8">
        <f>Elettricità!AB227</f>
        <v>75.58</v>
      </c>
      <c r="T227" s="8">
        <f>Elettricità!AC227</f>
        <v>0</v>
      </c>
      <c r="U227" s="8">
        <f>Elettricità!AD227</f>
        <v>55.06</v>
      </c>
      <c r="V227" s="8">
        <f t="shared" si="52"/>
        <v>2024</v>
      </c>
      <c r="W227" s="8">
        <f>_xlfn.XLOOKUP(A227,Fabbricati!E:E,Fabbricati!D:D)</f>
        <v>302479003</v>
      </c>
      <c r="X227" s="9">
        <f t="shared" si="53"/>
        <v>45604</v>
      </c>
      <c r="Y227" s="9">
        <f t="shared" si="54"/>
        <v>45566</v>
      </c>
      <c r="Z227" s="9">
        <f t="shared" si="55"/>
        <v>45596</v>
      </c>
      <c r="AA227" s="8">
        <f t="shared" si="56"/>
        <v>31</v>
      </c>
      <c r="AB227" s="8">
        <f t="shared" si="57"/>
        <v>756</v>
      </c>
      <c r="AC227" s="12" t="s">
        <v>149</v>
      </c>
      <c r="AD227" s="11" t="str">
        <f t="shared" si="58"/>
        <v>269
212
275</v>
      </c>
      <c r="AE227" s="11" t="str">
        <f t="shared" si="59"/>
        <v>60
7
2</v>
      </c>
      <c r="AF227" s="11"/>
      <c r="AG227" s="11"/>
      <c r="AH227" s="8">
        <f t="shared" si="60"/>
        <v>128.91</v>
      </c>
      <c r="AI227" s="8">
        <f t="shared" si="61"/>
        <v>111.92</v>
      </c>
      <c r="AJ227" s="8">
        <f t="shared" si="62"/>
        <v>55.06</v>
      </c>
      <c r="AK227" s="8"/>
      <c r="AL227" s="8"/>
      <c r="AM227" s="8">
        <f t="shared" si="63"/>
        <v>0</v>
      </c>
      <c r="AN227" s="8">
        <f t="shared" si="64"/>
        <v>305.33999999999997</v>
      </c>
    </row>
    <row r="228" spans="1:40" ht="48" customHeight="1" x14ac:dyDescent="0.2">
      <c r="A228" s="8" t="str">
        <f>Elettricità!I228</f>
        <v>IT001E04171039</v>
      </c>
      <c r="B228" s="8" t="str">
        <f>Elettricità!A228</f>
        <v>005093369270(1).PDF</v>
      </c>
      <c r="C228" s="9">
        <f>Elettricità!E228</f>
        <v>45632</v>
      </c>
      <c r="D228" s="9">
        <f>Elettricità!K228</f>
        <v>45597</v>
      </c>
      <c r="E228" s="9">
        <f>Elettricità!L228</f>
        <v>45626</v>
      </c>
      <c r="F228" s="8">
        <f>Elettricità!M228</f>
        <v>798</v>
      </c>
      <c r="G228" s="8">
        <f>Elettricità!N228</f>
        <v>231</v>
      </c>
      <c r="H228" s="8">
        <f>Elettricità!O228</f>
        <v>251</v>
      </c>
      <c r="I228" s="8">
        <f>Elettricità!P228</f>
        <v>316</v>
      </c>
      <c r="J228" s="8">
        <f>Elettricità!Q228</f>
        <v>28</v>
      </c>
      <c r="K228" s="8">
        <f>Elettricità!R228</f>
        <v>18</v>
      </c>
      <c r="L228" s="8">
        <f>Elettricità!S228</f>
        <v>8</v>
      </c>
      <c r="M228" s="8">
        <f>Elettricità!T228</f>
        <v>2</v>
      </c>
      <c r="N228" s="8">
        <f>Elettricità!W228</f>
        <v>271.76</v>
      </c>
      <c r="O228" s="8">
        <f>Elettricità!X228</f>
        <v>331.55</v>
      </c>
      <c r="P228" s="8">
        <f>Elettricità!Y228</f>
        <v>0</v>
      </c>
      <c r="Q228" s="8">
        <f>Elettricità!Z228</f>
        <v>130.30000000000001</v>
      </c>
      <c r="R228" s="8">
        <f>Elettricità!AA228</f>
        <v>53.87</v>
      </c>
      <c r="S228" s="8">
        <f>Elettricità!AB228</f>
        <v>77.61</v>
      </c>
      <c r="T228" s="8">
        <f>Elettricità!AC228</f>
        <v>0</v>
      </c>
      <c r="U228" s="8">
        <f>Elettricità!AD228</f>
        <v>59.79</v>
      </c>
      <c r="V228" s="8">
        <f t="shared" si="52"/>
        <v>2024</v>
      </c>
      <c r="W228" s="8">
        <f>_xlfn.XLOOKUP(A228,Fabbricati!E:E,Fabbricati!D:D)</f>
        <v>302479003</v>
      </c>
      <c r="X228" s="9">
        <f t="shared" si="53"/>
        <v>45632</v>
      </c>
      <c r="Y228" s="9">
        <f t="shared" si="54"/>
        <v>45597</v>
      </c>
      <c r="Z228" s="9">
        <f t="shared" si="55"/>
        <v>45626</v>
      </c>
      <c r="AA228" s="8">
        <f t="shared" si="56"/>
        <v>30</v>
      </c>
      <c r="AB228" s="8">
        <f t="shared" si="57"/>
        <v>798</v>
      </c>
      <c r="AC228" s="12" t="s">
        <v>149</v>
      </c>
      <c r="AD228" s="11" t="str">
        <f t="shared" si="58"/>
        <v>231
251
316</v>
      </c>
      <c r="AE228" s="11" t="str">
        <f t="shared" si="59"/>
        <v>18
8
2</v>
      </c>
      <c r="AF228" s="11"/>
      <c r="AG228" s="11"/>
      <c r="AH228" s="8">
        <f t="shared" si="60"/>
        <v>131.47999999999999</v>
      </c>
      <c r="AI228" s="8">
        <f t="shared" si="61"/>
        <v>130.30000000000001</v>
      </c>
      <c r="AJ228" s="8">
        <f t="shared" si="62"/>
        <v>59.79</v>
      </c>
      <c r="AK228" s="8"/>
      <c r="AL228" s="8"/>
      <c r="AM228" s="8">
        <f t="shared" si="63"/>
        <v>0</v>
      </c>
      <c r="AN228" s="8">
        <f t="shared" si="64"/>
        <v>331.55</v>
      </c>
    </row>
    <row r="229" spans="1:40" ht="48" customHeight="1" x14ac:dyDescent="0.2">
      <c r="A229" s="8" t="str">
        <f>Elettricità!I229</f>
        <v>IT001E04171039</v>
      </c>
      <c r="B229" s="8" t="str">
        <f>Elettricità!A229</f>
        <v>005200218683.PDF</v>
      </c>
      <c r="C229" s="9">
        <f>Elettricità!E229</f>
        <v>45665</v>
      </c>
      <c r="D229" s="9">
        <f>Elettricità!K229</f>
        <v>45627</v>
      </c>
      <c r="E229" s="9">
        <f>Elettricità!L229</f>
        <v>45657</v>
      </c>
      <c r="F229" s="8">
        <f>Elettricità!M229</f>
        <v>828</v>
      </c>
      <c r="G229" s="8">
        <f>Elettricità!N229</f>
        <v>245</v>
      </c>
      <c r="H229" s="8">
        <f>Elettricità!O229</f>
        <v>238</v>
      </c>
      <c r="I229" s="8">
        <f>Elettricità!P229</f>
        <v>345</v>
      </c>
      <c r="J229" s="8">
        <f>Elettricità!Q229</f>
        <v>38</v>
      </c>
      <c r="K229" s="8">
        <f>Elettricità!R229</f>
        <v>28</v>
      </c>
      <c r="L229" s="8">
        <f>Elettricità!S229</f>
        <v>8</v>
      </c>
      <c r="M229" s="8">
        <f>Elettricità!T229</f>
        <v>2</v>
      </c>
      <c r="N229" s="8">
        <f>Elettricità!W229</f>
        <v>288.12</v>
      </c>
      <c r="O229" s="8">
        <f>Elettricità!X229</f>
        <v>351.51</v>
      </c>
      <c r="P229" s="8">
        <f>Elettricità!Y229</f>
        <v>0</v>
      </c>
      <c r="Q229" s="8">
        <f>Elettricità!Z229</f>
        <v>144.46</v>
      </c>
      <c r="R229" s="8">
        <f>Elettricità!AA229</f>
        <v>54.26</v>
      </c>
      <c r="S229" s="8">
        <f>Elettricità!AB229</f>
        <v>79.05</v>
      </c>
      <c r="T229" s="8">
        <f>Elettricità!AC229</f>
        <v>0</v>
      </c>
      <c r="U229" s="8">
        <f>Elettricità!AD229</f>
        <v>63.39</v>
      </c>
      <c r="V229" s="8">
        <f t="shared" si="52"/>
        <v>2024</v>
      </c>
      <c r="W229" s="8">
        <f>_xlfn.XLOOKUP(A229,Fabbricati!E:E,Fabbricati!D:D)</f>
        <v>302479003</v>
      </c>
      <c r="X229" s="9">
        <f t="shared" si="53"/>
        <v>45665</v>
      </c>
      <c r="Y229" s="9">
        <f t="shared" si="54"/>
        <v>45627</v>
      </c>
      <c r="Z229" s="9">
        <f t="shared" si="55"/>
        <v>45657</v>
      </c>
      <c r="AA229" s="8">
        <f t="shared" si="56"/>
        <v>31</v>
      </c>
      <c r="AB229" s="8">
        <f t="shared" si="57"/>
        <v>828</v>
      </c>
      <c r="AC229" s="12" t="s">
        <v>149</v>
      </c>
      <c r="AD229" s="11" t="str">
        <f t="shared" si="58"/>
        <v>245
238
345</v>
      </c>
      <c r="AE229" s="11" t="str">
        <f t="shared" si="59"/>
        <v>28
8
2</v>
      </c>
      <c r="AF229" s="11"/>
      <c r="AG229" s="11"/>
      <c r="AH229" s="8">
        <f t="shared" si="60"/>
        <v>133.31</v>
      </c>
      <c r="AI229" s="8">
        <f t="shared" si="61"/>
        <v>144.46</v>
      </c>
      <c r="AJ229" s="8">
        <f t="shared" si="62"/>
        <v>63.39</v>
      </c>
      <c r="AK229" s="8"/>
      <c r="AL229" s="8"/>
      <c r="AM229" s="8">
        <f t="shared" si="63"/>
        <v>0</v>
      </c>
      <c r="AN229" s="8">
        <f t="shared" si="64"/>
        <v>351.51</v>
      </c>
    </row>
    <row r="230" spans="1:40" ht="48" customHeight="1" x14ac:dyDescent="0.2">
      <c r="A230" s="8" t="str">
        <f>Elettricità!I230</f>
        <v>IT001E04171043</v>
      </c>
      <c r="B230" s="8" t="str">
        <f>Elettricità!A230</f>
        <v>824500037184_2024_d(1).pdf</v>
      </c>
      <c r="C230" s="9">
        <f>Elettricità!E230</f>
        <v>45349</v>
      </c>
      <c r="D230" s="9">
        <f>Elettricità!K230</f>
        <v>45292</v>
      </c>
      <c r="E230" s="9">
        <f>Elettricità!L230</f>
        <v>45322</v>
      </c>
      <c r="F230" s="8">
        <f>Elettricità!M230</f>
        <v>446</v>
      </c>
      <c r="G230" s="8">
        <f>Elettricità!N230</f>
        <v>123</v>
      </c>
      <c r="H230" s="8">
        <f>Elettricità!O230</f>
        <v>122</v>
      </c>
      <c r="I230" s="8">
        <f>Elettricità!P230</f>
        <v>201</v>
      </c>
      <c r="J230" s="8">
        <f>Elettricità!Q230</f>
        <v>228</v>
      </c>
      <c r="K230" s="8">
        <f>Elettricità!R230</f>
        <v>73</v>
      </c>
      <c r="L230" s="8">
        <f>Elettricità!S230</f>
        <v>46</v>
      </c>
      <c r="M230" s="8">
        <f>Elettricità!T230</f>
        <v>109</v>
      </c>
      <c r="N230" s="8">
        <f>Elettricità!W230</f>
        <v>127.32</v>
      </c>
      <c r="O230" s="8">
        <f>Elettricità!X230</f>
        <v>155.33000000000001</v>
      </c>
      <c r="P230" s="8">
        <f>Elettricità!Y230</f>
        <v>0</v>
      </c>
      <c r="Q230" s="8">
        <f>Elettricità!Z230</f>
        <v>69.38</v>
      </c>
      <c r="R230" s="8">
        <f>Elettricità!AA230</f>
        <v>20.420000000000002</v>
      </c>
      <c r="S230" s="8">
        <f>Elettricità!AB230</f>
        <v>29.71</v>
      </c>
      <c r="T230" s="8">
        <f>Elettricità!AC230</f>
        <v>2.23</v>
      </c>
      <c r="U230" s="8">
        <f>Elettricità!AD230</f>
        <v>5.58</v>
      </c>
      <c r="V230" s="8">
        <f t="shared" si="52"/>
        <v>2024</v>
      </c>
      <c r="W230" s="8">
        <f>_xlfn.XLOOKUP(A230,Fabbricati!E:E,Fabbricati!D:D)</f>
        <v>382926102</v>
      </c>
      <c r="X230" s="9">
        <f t="shared" si="53"/>
        <v>45349</v>
      </c>
      <c r="Y230" s="9">
        <f t="shared" si="54"/>
        <v>45292</v>
      </c>
      <c r="Z230" s="9">
        <f t="shared" si="55"/>
        <v>45322</v>
      </c>
      <c r="AA230" s="8">
        <f t="shared" si="56"/>
        <v>31</v>
      </c>
      <c r="AB230" s="8">
        <f t="shared" si="57"/>
        <v>446</v>
      </c>
      <c r="AC230" s="12" t="s">
        <v>149</v>
      </c>
      <c r="AD230" s="11" t="str">
        <f t="shared" si="58"/>
        <v>123
122
201</v>
      </c>
      <c r="AE230" s="11" t="str">
        <f t="shared" si="59"/>
        <v>73
46
109</v>
      </c>
      <c r="AF230" s="11"/>
      <c r="AG230" s="11"/>
      <c r="AH230" s="8">
        <f t="shared" si="60"/>
        <v>50.13</v>
      </c>
      <c r="AI230" s="8">
        <f t="shared" si="61"/>
        <v>69.38</v>
      </c>
      <c r="AJ230" s="8">
        <f t="shared" si="62"/>
        <v>5.58</v>
      </c>
      <c r="AK230" s="8"/>
      <c r="AL230" s="8"/>
      <c r="AM230" s="8">
        <f t="shared" si="63"/>
        <v>2.23</v>
      </c>
      <c r="AN230" s="8">
        <f t="shared" si="64"/>
        <v>155.33000000000001</v>
      </c>
    </row>
    <row r="231" spans="1:40" ht="48" customHeight="1" x14ac:dyDescent="0.2">
      <c r="A231" s="8" t="str">
        <f>Elettricità!I231</f>
        <v>IT001E04171043</v>
      </c>
      <c r="B231" s="8" t="str">
        <f>Elettricità!A231</f>
        <v>005018359667.pdf</v>
      </c>
      <c r="C231" s="9">
        <f>Elettricità!E231</f>
        <v>45358</v>
      </c>
      <c r="D231" s="9">
        <f>Elettricità!K231</f>
        <v>45323</v>
      </c>
      <c r="E231" s="9">
        <f>Elettricità!L231</f>
        <v>45351</v>
      </c>
      <c r="F231" s="8">
        <f>Elettricità!M231</f>
        <v>260</v>
      </c>
      <c r="G231" s="8">
        <f>Elettricità!N231</f>
        <v>78</v>
      </c>
      <c r="H231" s="8">
        <f>Elettricità!O231</f>
        <v>86</v>
      </c>
      <c r="I231" s="8">
        <f>Elettricità!P231</f>
        <v>96</v>
      </c>
      <c r="J231" s="8">
        <f>Elettricità!Q231</f>
        <v>207</v>
      </c>
      <c r="K231" s="8">
        <f>Elettricità!R231</f>
        <v>69</v>
      </c>
      <c r="L231" s="8">
        <f>Elettricità!S231</f>
        <v>48</v>
      </c>
      <c r="M231" s="8">
        <f>Elettricità!T231</f>
        <v>90</v>
      </c>
      <c r="N231" s="8">
        <f>Elettricità!W231</f>
        <v>74.59</v>
      </c>
      <c r="O231" s="8">
        <f>Elettricità!X231</f>
        <v>91</v>
      </c>
      <c r="P231" s="8">
        <f>Elettricità!Y231</f>
        <v>0</v>
      </c>
      <c r="Q231" s="8">
        <f>Elettricità!Z231</f>
        <v>31.31</v>
      </c>
      <c r="R231" s="8">
        <f>Elettricità!AA231</f>
        <v>18.03</v>
      </c>
      <c r="S231" s="8">
        <f>Elettricità!AB231</f>
        <v>22</v>
      </c>
      <c r="T231" s="8">
        <f>Elettricità!AC231</f>
        <v>0</v>
      </c>
      <c r="U231" s="8">
        <f>Elettricità!AD231</f>
        <v>16.41</v>
      </c>
      <c r="V231" s="8">
        <f t="shared" si="52"/>
        <v>2024</v>
      </c>
      <c r="W231" s="8">
        <f>_xlfn.XLOOKUP(A231,Fabbricati!E:E,Fabbricati!D:D)</f>
        <v>382926102</v>
      </c>
      <c r="X231" s="9">
        <f t="shared" si="53"/>
        <v>45358</v>
      </c>
      <c r="Y231" s="9">
        <f t="shared" si="54"/>
        <v>45323</v>
      </c>
      <c r="Z231" s="9">
        <f t="shared" si="55"/>
        <v>45351</v>
      </c>
      <c r="AA231" s="8">
        <f t="shared" si="56"/>
        <v>29</v>
      </c>
      <c r="AB231" s="8">
        <f t="shared" si="57"/>
        <v>260</v>
      </c>
      <c r="AC231" s="12" t="s">
        <v>149</v>
      </c>
      <c r="AD231" s="11" t="str">
        <f t="shared" si="58"/>
        <v>78
86
96</v>
      </c>
      <c r="AE231" s="11" t="str">
        <f t="shared" si="59"/>
        <v>69
48
90</v>
      </c>
      <c r="AF231" s="11"/>
      <c r="AG231" s="11"/>
      <c r="AH231" s="8">
        <f t="shared" si="60"/>
        <v>40.03</v>
      </c>
      <c r="AI231" s="8">
        <f t="shared" si="61"/>
        <v>31.31</v>
      </c>
      <c r="AJ231" s="8">
        <f t="shared" si="62"/>
        <v>16.41</v>
      </c>
      <c r="AK231" s="8"/>
      <c r="AL231" s="8"/>
      <c r="AM231" s="8">
        <f t="shared" si="63"/>
        <v>0</v>
      </c>
      <c r="AN231" s="8">
        <f t="shared" si="64"/>
        <v>91</v>
      </c>
    </row>
    <row r="232" spans="1:40" ht="48" customHeight="1" x14ac:dyDescent="0.2">
      <c r="A232" s="8" t="str">
        <f>Elettricità!I232</f>
        <v>IT001E04171043</v>
      </c>
      <c r="B232" s="8" t="str">
        <f>Elettricità!A232</f>
        <v>005030508092.pdf</v>
      </c>
      <c r="C232" s="9">
        <f>Elettricità!E232</f>
        <v>45393</v>
      </c>
      <c r="D232" s="9">
        <f>Elettricità!K232</f>
        <v>45352</v>
      </c>
      <c r="E232" s="9">
        <f>Elettricità!L232</f>
        <v>45382</v>
      </c>
      <c r="F232" s="8">
        <f>Elettricità!M232</f>
        <v>271</v>
      </c>
      <c r="G232" s="8">
        <f>Elettricità!N232</f>
        <v>71</v>
      </c>
      <c r="H232" s="8">
        <f>Elettricità!O232</f>
        <v>94</v>
      </c>
      <c r="I232" s="8">
        <f>Elettricità!P232</f>
        <v>106</v>
      </c>
      <c r="J232" s="8">
        <f>Elettricità!Q232</f>
        <v>217</v>
      </c>
      <c r="K232" s="8">
        <f>Elettricità!R232</f>
        <v>67</v>
      </c>
      <c r="L232" s="8">
        <f>Elettricità!S232</f>
        <v>51</v>
      </c>
      <c r="M232" s="8">
        <f>Elettricità!T232</f>
        <v>99</v>
      </c>
      <c r="N232" s="8">
        <f>Elettricità!W232</f>
        <v>75.59</v>
      </c>
      <c r="O232" s="8">
        <f>Elettricità!X232</f>
        <v>92.22</v>
      </c>
      <c r="P232" s="8">
        <f>Elettricità!Y232</f>
        <v>0</v>
      </c>
      <c r="Q232" s="8">
        <f>Elettricità!Z232</f>
        <v>31.57</v>
      </c>
      <c r="R232" s="8">
        <f>Elettricità!AA232</f>
        <v>18.170000000000002</v>
      </c>
      <c r="S232" s="8">
        <f>Elettricità!AB232</f>
        <v>22.46</v>
      </c>
      <c r="T232" s="8">
        <f>Elettricità!AC232</f>
        <v>0</v>
      </c>
      <c r="U232" s="8">
        <f>Elettricità!AD232</f>
        <v>16.63</v>
      </c>
      <c r="V232" s="8">
        <f t="shared" si="52"/>
        <v>2024</v>
      </c>
      <c r="W232" s="8">
        <f>_xlfn.XLOOKUP(A232,Fabbricati!E:E,Fabbricati!D:D)</f>
        <v>382926102</v>
      </c>
      <c r="X232" s="9">
        <f t="shared" si="53"/>
        <v>45393</v>
      </c>
      <c r="Y232" s="9">
        <f t="shared" si="54"/>
        <v>45352</v>
      </c>
      <c r="Z232" s="9">
        <f t="shared" si="55"/>
        <v>45382</v>
      </c>
      <c r="AA232" s="8">
        <f t="shared" si="56"/>
        <v>31</v>
      </c>
      <c r="AB232" s="8">
        <f t="shared" si="57"/>
        <v>271</v>
      </c>
      <c r="AC232" s="12" t="s">
        <v>149</v>
      </c>
      <c r="AD232" s="11" t="str">
        <f t="shared" si="58"/>
        <v>71
94
106</v>
      </c>
      <c r="AE232" s="11" t="str">
        <f t="shared" si="59"/>
        <v>67
51
99</v>
      </c>
      <c r="AF232" s="11"/>
      <c r="AG232" s="11"/>
      <c r="AH232" s="8">
        <f t="shared" si="60"/>
        <v>40.630000000000003</v>
      </c>
      <c r="AI232" s="8">
        <f t="shared" si="61"/>
        <v>31.57</v>
      </c>
      <c r="AJ232" s="8">
        <f t="shared" si="62"/>
        <v>16.63</v>
      </c>
      <c r="AK232" s="8"/>
      <c r="AL232" s="8"/>
      <c r="AM232" s="8">
        <f t="shared" si="63"/>
        <v>0</v>
      </c>
      <c r="AN232" s="8">
        <f t="shared" si="64"/>
        <v>92.22</v>
      </c>
    </row>
    <row r="233" spans="1:40" ht="48" customHeight="1" x14ac:dyDescent="0.2">
      <c r="A233" s="8" t="str">
        <f>Elettricità!I233</f>
        <v>IT001E04171043</v>
      </c>
      <c r="B233" s="8" t="str">
        <f>Elettricità!A233</f>
        <v>005041953252(1).pdf</v>
      </c>
      <c r="C233" s="9">
        <f>Elettricità!E233</f>
        <v>45424</v>
      </c>
      <c r="D233" s="9">
        <f>Elettricità!K233</f>
        <v>45383</v>
      </c>
      <c r="E233" s="9">
        <f>Elettricità!L233</f>
        <v>45412</v>
      </c>
      <c r="F233" s="8">
        <f>Elettricità!M233</f>
        <v>259</v>
      </c>
      <c r="G233" s="8">
        <f>Elettricità!N233</f>
        <v>73</v>
      </c>
      <c r="H233" s="8">
        <f>Elettricità!O233</f>
        <v>78</v>
      </c>
      <c r="I233" s="8">
        <f>Elettricità!P233</f>
        <v>108</v>
      </c>
      <c r="J233" s="8">
        <f>Elettricità!Q233</f>
        <v>0</v>
      </c>
      <c r="K233" s="8">
        <f>Elettricità!R233</f>
        <v>0</v>
      </c>
      <c r="L233" s="8">
        <f>Elettricità!S233</f>
        <v>0</v>
      </c>
      <c r="M233" s="8">
        <f>Elettricità!T233</f>
        <v>0</v>
      </c>
      <c r="N233" s="8">
        <f>Elettricità!W233</f>
        <v>76.27</v>
      </c>
      <c r="O233" s="8">
        <f>Elettricità!X233</f>
        <v>93.05</v>
      </c>
      <c r="P233" s="8">
        <f>Elettricità!Y233</f>
        <v>0</v>
      </c>
      <c r="Q233" s="8">
        <f>Elettricità!Z233</f>
        <v>29.46</v>
      </c>
      <c r="R233" s="8">
        <f>Elettricità!AA233</f>
        <v>18.02</v>
      </c>
      <c r="S233" s="8">
        <f>Elettricità!AB233</f>
        <v>25.55</v>
      </c>
      <c r="T233" s="8">
        <f>Elettricità!AC233</f>
        <v>0</v>
      </c>
      <c r="U233" s="8">
        <f>Elettricità!AD233</f>
        <v>16.78</v>
      </c>
      <c r="V233" s="8">
        <f t="shared" si="52"/>
        <v>2024</v>
      </c>
      <c r="W233" s="8">
        <f>_xlfn.XLOOKUP(A233,Fabbricati!E:E,Fabbricati!D:D)</f>
        <v>382926102</v>
      </c>
      <c r="X233" s="9">
        <f t="shared" si="53"/>
        <v>45424</v>
      </c>
      <c r="Y233" s="9">
        <f t="shared" si="54"/>
        <v>45383</v>
      </c>
      <c r="Z233" s="9">
        <f t="shared" si="55"/>
        <v>45412</v>
      </c>
      <c r="AA233" s="8">
        <f t="shared" si="56"/>
        <v>30</v>
      </c>
      <c r="AB233" s="8">
        <f t="shared" si="57"/>
        <v>259</v>
      </c>
      <c r="AC233" s="12" t="s">
        <v>149</v>
      </c>
      <c r="AD233" s="11" t="str">
        <f t="shared" si="58"/>
        <v>73
78
108</v>
      </c>
      <c r="AE233" s="11" t="str">
        <f t="shared" si="59"/>
        <v>0
0
0</v>
      </c>
      <c r="AF233" s="11"/>
      <c r="AG233" s="11"/>
      <c r="AH233" s="8">
        <f t="shared" si="60"/>
        <v>43.57</v>
      </c>
      <c r="AI233" s="8">
        <f t="shared" si="61"/>
        <v>29.46</v>
      </c>
      <c r="AJ233" s="8">
        <f t="shared" si="62"/>
        <v>16.78</v>
      </c>
      <c r="AK233" s="8"/>
      <c r="AL233" s="8"/>
      <c r="AM233" s="8">
        <f t="shared" si="63"/>
        <v>0</v>
      </c>
      <c r="AN233" s="8">
        <f t="shared" si="64"/>
        <v>93.05</v>
      </c>
    </row>
    <row r="234" spans="1:40" ht="48" customHeight="1" x14ac:dyDescent="0.2">
      <c r="A234" s="8" t="str">
        <f>Elettricità!I234</f>
        <v>IT001E04171043</v>
      </c>
      <c r="B234" s="8" t="str">
        <f>Elettricità!A234</f>
        <v>005043663086.PDF</v>
      </c>
      <c r="C234" s="9">
        <f>Elettricità!E234</f>
        <v>45449</v>
      </c>
      <c r="D234" s="9">
        <f>Elettricità!K234</f>
        <v>45383</v>
      </c>
      <c r="E234" s="9">
        <f>Elettricità!L234</f>
        <v>45414</v>
      </c>
      <c r="F234" s="8">
        <f>Elettricità!M234</f>
        <v>519</v>
      </c>
      <c r="G234" s="8">
        <f>Elettricità!N234</f>
        <v>161</v>
      </c>
      <c r="H234" s="8">
        <f>Elettricità!O234</f>
        <v>149</v>
      </c>
      <c r="I234" s="8">
        <f>Elettricità!P234</f>
        <v>209</v>
      </c>
      <c r="J234" s="8">
        <f>Elettricità!Q234</f>
        <v>439</v>
      </c>
      <c r="K234" s="8">
        <f>Elettricità!R234</f>
        <v>141</v>
      </c>
      <c r="L234" s="8">
        <f>Elettricità!S234</f>
        <v>96</v>
      </c>
      <c r="M234" s="8">
        <f>Elettricità!T234</f>
        <v>202</v>
      </c>
      <c r="N234" s="8">
        <f>Elettricità!W234</f>
        <v>78.5</v>
      </c>
      <c r="O234" s="8">
        <f>Elettricità!X234</f>
        <v>95.77</v>
      </c>
      <c r="P234" s="8">
        <f>Elettricità!Y234</f>
        <v>0</v>
      </c>
      <c r="Q234" s="8">
        <f>Elettricità!Z234</f>
        <v>31.62</v>
      </c>
      <c r="R234" s="8">
        <f>Elettricità!AA234</f>
        <v>18.03</v>
      </c>
      <c r="S234" s="8">
        <f>Elettricità!AB234</f>
        <v>25.6</v>
      </c>
      <c r="T234" s="8">
        <f>Elettricità!AC234</f>
        <v>0</v>
      </c>
      <c r="U234" s="8">
        <f>Elettricità!AD234</f>
        <v>17.27</v>
      </c>
      <c r="V234" s="8">
        <f t="shared" si="52"/>
        <v>2024</v>
      </c>
      <c r="W234" s="8">
        <f>_xlfn.XLOOKUP(A234,Fabbricati!E:E,Fabbricati!D:D)</f>
        <v>382926102</v>
      </c>
      <c r="X234" s="9">
        <f t="shared" si="53"/>
        <v>45449</v>
      </c>
      <c r="Y234" s="9">
        <f t="shared" si="54"/>
        <v>45383</v>
      </c>
      <c r="Z234" s="9">
        <f t="shared" si="55"/>
        <v>45414</v>
      </c>
      <c r="AA234" s="8">
        <f t="shared" si="56"/>
        <v>32</v>
      </c>
      <c r="AB234" s="8">
        <f t="shared" si="57"/>
        <v>519</v>
      </c>
      <c r="AC234" s="12" t="s">
        <v>149</v>
      </c>
      <c r="AD234" s="11" t="str">
        <f t="shared" si="58"/>
        <v>161
149
209</v>
      </c>
      <c r="AE234" s="11" t="str">
        <f t="shared" si="59"/>
        <v>141
96
202</v>
      </c>
      <c r="AF234" s="11"/>
      <c r="AG234" s="11"/>
      <c r="AH234" s="8">
        <f t="shared" si="60"/>
        <v>43.63</v>
      </c>
      <c r="AI234" s="8">
        <f t="shared" si="61"/>
        <v>31.62</v>
      </c>
      <c r="AJ234" s="8">
        <f t="shared" si="62"/>
        <v>17.27</v>
      </c>
      <c r="AK234" s="8"/>
      <c r="AL234" s="8"/>
      <c r="AM234" s="8">
        <f t="shared" si="63"/>
        <v>0</v>
      </c>
      <c r="AN234" s="8">
        <f t="shared" si="64"/>
        <v>95.77</v>
      </c>
    </row>
    <row r="235" spans="1:40" ht="48" customHeight="1" x14ac:dyDescent="0.2">
      <c r="A235" s="8" t="str">
        <f>Elettricità!I235</f>
        <v>IT001E04171043</v>
      </c>
      <c r="B235" s="8" t="str">
        <f>Elettricità!A235</f>
        <v>005051431102.PDF</v>
      </c>
      <c r="C235" s="9">
        <f>Elettricità!E235</f>
        <v>45478</v>
      </c>
      <c r="D235" s="9">
        <f>Elettricità!K235</f>
        <v>45444</v>
      </c>
      <c r="E235" s="9">
        <f>Elettricità!L235</f>
        <v>45473</v>
      </c>
      <c r="F235" s="8">
        <f>Elettricità!M235</f>
        <v>227</v>
      </c>
      <c r="G235" s="8">
        <f>Elettricità!N235</f>
        <v>62</v>
      </c>
      <c r="H235" s="8">
        <f>Elettricità!O235</f>
        <v>64</v>
      </c>
      <c r="I235" s="8">
        <f>Elettricità!P235</f>
        <v>101</v>
      </c>
      <c r="J235" s="8">
        <f>Elettricità!Q235</f>
        <v>213</v>
      </c>
      <c r="K235" s="8">
        <f>Elettricità!R235</f>
        <v>66</v>
      </c>
      <c r="L235" s="8">
        <f>Elettricità!S235</f>
        <v>52</v>
      </c>
      <c r="M235" s="8">
        <f>Elettricità!T235</f>
        <v>95</v>
      </c>
      <c r="N235" s="8">
        <f>Elettricità!W235</f>
        <v>74.760000000000005</v>
      </c>
      <c r="O235" s="8">
        <f>Elettricità!X235</f>
        <v>91.21</v>
      </c>
      <c r="P235" s="8">
        <f>Elettricità!Y235</f>
        <v>0</v>
      </c>
      <c r="Q235" s="8">
        <f>Elettricità!Z235</f>
        <v>30.3</v>
      </c>
      <c r="R235" s="8">
        <f>Elettricità!AA235</f>
        <v>17.61</v>
      </c>
      <c r="S235" s="8">
        <f>Elettricità!AB235</f>
        <v>24.01</v>
      </c>
      <c r="T235" s="8">
        <f>Elettricità!AC235</f>
        <v>0</v>
      </c>
      <c r="U235" s="8">
        <f>Elettricità!AD235</f>
        <v>16.45</v>
      </c>
      <c r="V235" s="8">
        <f t="shared" si="52"/>
        <v>2024</v>
      </c>
      <c r="W235" s="8">
        <f>_xlfn.XLOOKUP(A235,Fabbricati!E:E,Fabbricati!D:D)</f>
        <v>382926102</v>
      </c>
      <c r="X235" s="9">
        <f t="shared" si="53"/>
        <v>45478</v>
      </c>
      <c r="Y235" s="9">
        <f t="shared" si="54"/>
        <v>45444</v>
      </c>
      <c r="Z235" s="9">
        <f t="shared" si="55"/>
        <v>45473</v>
      </c>
      <c r="AA235" s="8">
        <f t="shared" si="56"/>
        <v>30</v>
      </c>
      <c r="AB235" s="8">
        <f t="shared" si="57"/>
        <v>227</v>
      </c>
      <c r="AC235" s="12" t="s">
        <v>149</v>
      </c>
      <c r="AD235" s="11" t="str">
        <f t="shared" si="58"/>
        <v>62
64
101</v>
      </c>
      <c r="AE235" s="11" t="str">
        <f t="shared" si="59"/>
        <v>66
52
95</v>
      </c>
      <c r="AF235" s="11"/>
      <c r="AG235" s="11"/>
      <c r="AH235" s="8">
        <f t="shared" si="60"/>
        <v>41.620000000000005</v>
      </c>
      <c r="AI235" s="8">
        <f t="shared" si="61"/>
        <v>30.3</v>
      </c>
      <c r="AJ235" s="8">
        <f t="shared" si="62"/>
        <v>16.45</v>
      </c>
      <c r="AK235" s="8"/>
      <c r="AL235" s="8"/>
      <c r="AM235" s="8">
        <f t="shared" si="63"/>
        <v>0</v>
      </c>
      <c r="AN235" s="8">
        <f t="shared" si="64"/>
        <v>91.21</v>
      </c>
    </row>
    <row r="236" spans="1:40" ht="48" customHeight="1" x14ac:dyDescent="0.2">
      <c r="A236" s="8" t="str">
        <f>Elettricità!I236</f>
        <v>IT001E04171043</v>
      </c>
      <c r="B236" s="8" t="str">
        <f>Elettricità!A236</f>
        <v>005062825961.PDF</v>
      </c>
      <c r="C236" s="9">
        <f>Elettricità!E236</f>
        <v>45513</v>
      </c>
      <c r="D236" s="9">
        <f>Elettricità!K236</f>
        <v>45474</v>
      </c>
      <c r="E236" s="9">
        <f>Elettricità!L236</f>
        <v>45504</v>
      </c>
      <c r="F236" s="8">
        <f>Elettricità!M236</f>
        <v>218</v>
      </c>
      <c r="G236" s="8">
        <f>Elettricità!N236</f>
        <v>67</v>
      </c>
      <c r="H236" s="8">
        <f>Elettricità!O236</f>
        <v>59</v>
      </c>
      <c r="I236" s="8">
        <f>Elettricità!P236</f>
        <v>92</v>
      </c>
      <c r="J236" s="8">
        <f>Elettricità!Q236</f>
        <v>216</v>
      </c>
      <c r="K236" s="8">
        <f>Elettricità!R236</f>
        <v>74</v>
      </c>
      <c r="L236" s="8">
        <f>Elettricità!S236</f>
        <v>50</v>
      </c>
      <c r="M236" s="8">
        <f>Elettricità!T236</f>
        <v>92</v>
      </c>
      <c r="N236" s="8">
        <f>Elettricità!W236</f>
        <v>77.5</v>
      </c>
      <c r="O236" s="8">
        <f>Elettricità!X236</f>
        <v>94.55</v>
      </c>
      <c r="P236" s="8">
        <f>Elettricità!Y236</f>
        <v>0</v>
      </c>
      <c r="Q236" s="8">
        <f>Elettricità!Z236</f>
        <v>33.700000000000003</v>
      </c>
      <c r="R236" s="8">
        <f>Elettricità!AA236</f>
        <v>17.5</v>
      </c>
      <c r="S236" s="8">
        <f>Elettricità!AB236</f>
        <v>23.57</v>
      </c>
      <c r="T236" s="8">
        <f>Elettricità!AC236</f>
        <v>0</v>
      </c>
      <c r="U236" s="8">
        <f>Elettricità!AD236</f>
        <v>17.05</v>
      </c>
      <c r="V236" s="8">
        <f t="shared" si="52"/>
        <v>2024</v>
      </c>
      <c r="W236" s="8">
        <f>_xlfn.XLOOKUP(A236,Fabbricati!E:E,Fabbricati!D:D)</f>
        <v>382926102</v>
      </c>
      <c r="X236" s="9">
        <f t="shared" si="53"/>
        <v>45513</v>
      </c>
      <c r="Y236" s="9">
        <f t="shared" si="54"/>
        <v>45474</v>
      </c>
      <c r="Z236" s="9">
        <f t="shared" si="55"/>
        <v>45504</v>
      </c>
      <c r="AA236" s="8">
        <f t="shared" si="56"/>
        <v>31</v>
      </c>
      <c r="AB236" s="8">
        <f t="shared" si="57"/>
        <v>218</v>
      </c>
      <c r="AC236" s="12" t="s">
        <v>149</v>
      </c>
      <c r="AD236" s="11" t="str">
        <f t="shared" si="58"/>
        <v>67
59
92</v>
      </c>
      <c r="AE236" s="11" t="str">
        <f t="shared" si="59"/>
        <v>74
50
92</v>
      </c>
      <c r="AF236" s="11"/>
      <c r="AG236" s="11"/>
      <c r="AH236" s="8">
        <f t="shared" si="60"/>
        <v>41.07</v>
      </c>
      <c r="AI236" s="8">
        <f t="shared" si="61"/>
        <v>33.700000000000003</v>
      </c>
      <c r="AJ236" s="8">
        <f t="shared" si="62"/>
        <v>17.05</v>
      </c>
      <c r="AK236" s="8"/>
      <c r="AL236" s="8"/>
      <c r="AM236" s="8">
        <f t="shared" si="63"/>
        <v>0</v>
      </c>
      <c r="AN236" s="8">
        <f t="shared" si="64"/>
        <v>94.55</v>
      </c>
    </row>
    <row r="237" spans="1:40" ht="48" customHeight="1" x14ac:dyDescent="0.2">
      <c r="A237" s="8" t="str">
        <f>Elettricità!I237</f>
        <v>IT001E04171043</v>
      </c>
      <c r="B237" s="8" t="str">
        <f>Elettricità!A237</f>
        <v>005067307598.PDF</v>
      </c>
      <c r="C237" s="9">
        <f>Elettricità!E237</f>
        <v>45541</v>
      </c>
      <c r="D237" s="9">
        <f>Elettricità!K237</f>
        <v>45505</v>
      </c>
      <c r="E237" s="9">
        <f>Elettricità!L237</f>
        <v>45535</v>
      </c>
      <c r="F237" s="8">
        <f>Elettricità!M237</f>
        <v>1177</v>
      </c>
      <c r="G237" s="8">
        <f>Elettricità!N237</f>
        <v>351</v>
      </c>
      <c r="H237" s="8">
        <f>Elettricità!O237</f>
        <v>332</v>
      </c>
      <c r="I237" s="8">
        <f>Elettricità!P237</f>
        <v>494</v>
      </c>
      <c r="J237" s="8">
        <f>Elettricità!Q237</f>
        <v>1081</v>
      </c>
      <c r="K237" s="8">
        <f>Elettricità!R237</f>
        <v>347</v>
      </c>
      <c r="L237" s="8">
        <f>Elettricità!S237</f>
        <v>249</v>
      </c>
      <c r="M237" s="8">
        <f>Elettricità!T237</f>
        <v>485</v>
      </c>
      <c r="N237" s="8">
        <f>Elettricità!W237</f>
        <v>77.489999999999995</v>
      </c>
      <c r="O237" s="8">
        <f>Elettricità!X237</f>
        <v>94.54</v>
      </c>
      <c r="P237" s="8">
        <f>Elettricità!Y237</f>
        <v>0</v>
      </c>
      <c r="Q237" s="8">
        <f>Elettricità!Z237</f>
        <v>33.880000000000003</v>
      </c>
      <c r="R237" s="8">
        <f>Elettricità!AA237</f>
        <v>17.43</v>
      </c>
      <c r="S237" s="8">
        <f>Elettricità!AB237</f>
        <v>23.34</v>
      </c>
      <c r="T237" s="8">
        <f>Elettricità!AC237</f>
        <v>0</v>
      </c>
      <c r="U237" s="8">
        <f>Elettricità!AD237</f>
        <v>17.05</v>
      </c>
      <c r="V237" s="8">
        <f t="shared" si="52"/>
        <v>2024</v>
      </c>
      <c r="W237" s="8">
        <f>_xlfn.XLOOKUP(A237,Fabbricati!E:E,Fabbricati!D:D)</f>
        <v>382926102</v>
      </c>
      <c r="X237" s="9">
        <f t="shared" si="53"/>
        <v>45541</v>
      </c>
      <c r="Y237" s="9">
        <f t="shared" si="54"/>
        <v>45505</v>
      </c>
      <c r="Z237" s="9">
        <f t="shared" si="55"/>
        <v>45535</v>
      </c>
      <c r="AA237" s="8">
        <f t="shared" si="56"/>
        <v>31</v>
      </c>
      <c r="AB237" s="8">
        <f t="shared" si="57"/>
        <v>1177</v>
      </c>
      <c r="AC237" s="12" t="s">
        <v>149</v>
      </c>
      <c r="AD237" s="11" t="str">
        <f t="shared" si="58"/>
        <v>351
332
494</v>
      </c>
      <c r="AE237" s="11" t="str">
        <f t="shared" si="59"/>
        <v>347
249
485</v>
      </c>
      <c r="AF237" s="11"/>
      <c r="AG237" s="11"/>
      <c r="AH237" s="8">
        <f t="shared" si="60"/>
        <v>40.769999999999996</v>
      </c>
      <c r="AI237" s="8">
        <f t="shared" si="61"/>
        <v>33.880000000000003</v>
      </c>
      <c r="AJ237" s="8">
        <f t="shared" si="62"/>
        <v>17.05</v>
      </c>
      <c r="AK237" s="8"/>
      <c r="AL237" s="8"/>
      <c r="AM237" s="8">
        <f t="shared" si="63"/>
        <v>0</v>
      </c>
      <c r="AN237" s="8">
        <f t="shared" si="64"/>
        <v>94.54</v>
      </c>
    </row>
    <row r="238" spans="1:40" ht="48" customHeight="1" x14ac:dyDescent="0.2">
      <c r="A238" s="8" t="str">
        <f>Elettricità!I238</f>
        <v>IT001E04171043</v>
      </c>
      <c r="B238" s="8" t="str">
        <f>Elettricità!A238</f>
        <v>005076347777.PDF</v>
      </c>
      <c r="C238" s="9">
        <f>Elettricità!E238</f>
        <v>45571</v>
      </c>
      <c r="D238" s="9">
        <f>Elettricità!K238</f>
        <v>45536</v>
      </c>
      <c r="E238" s="9">
        <f>Elettricità!L238</f>
        <v>45565</v>
      </c>
      <c r="F238" s="8">
        <f>Elettricità!M238</f>
        <v>229</v>
      </c>
      <c r="G238" s="8">
        <f>Elettricità!N238</f>
        <v>67</v>
      </c>
      <c r="H238" s="8">
        <f>Elettricità!O238</f>
        <v>65</v>
      </c>
      <c r="I238" s="8">
        <f>Elettricità!P238</f>
        <v>97</v>
      </c>
      <c r="J238" s="8">
        <f>Elettricità!Q238</f>
        <v>216</v>
      </c>
      <c r="K238" s="8">
        <f>Elettricità!R238</f>
        <v>69</v>
      </c>
      <c r="L238" s="8">
        <f>Elettricità!S238</f>
        <v>49</v>
      </c>
      <c r="M238" s="8">
        <f>Elettricità!T238</f>
        <v>98</v>
      </c>
      <c r="N238" s="8">
        <f>Elettricità!W238</f>
        <v>78.14</v>
      </c>
      <c r="O238" s="8">
        <f>Elettricità!X238</f>
        <v>95.33</v>
      </c>
      <c r="P238" s="8">
        <f>Elettricità!Y238</f>
        <v>0</v>
      </c>
      <c r="Q238" s="8">
        <f>Elettricità!Z238</f>
        <v>33.54</v>
      </c>
      <c r="R238" s="8">
        <f>Elettricità!AA238</f>
        <v>17.63</v>
      </c>
      <c r="S238" s="8">
        <f>Elettricità!AB238</f>
        <v>24.11</v>
      </c>
      <c r="T238" s="8">
        <f>Elettricità!AC238</f>
        <v>0</v>
      </c>
      <c r="U238" s="8">
        <f>Elettricità!AD238</f>
        <v>17.190000000000001</v>
      </c>
      <c r="V238" s="8">
        <f t="shared" si="52"/>
        <v>2024</v>
      </c>
      <c r="W238" s="8">
        <f>_xlfn.XLOOKUP(A238,Fabbricati!E:E,Fabbricati!D:D)</f>
        <v>382926102</v>
      </c>
      <c r="X238" s="9">
        <f t="shared" si="53"/>
        <v>45571</v>
      </c>
      <c r="Y238" s="9">
        <f t="shared" si="54"/>
        <v>45536</v>
      </c>
      <c r="Z238" s="9">
        <f t="shared" si="55"/>
        <v>45565</v>
      </c>
      <c r="AA238" s="8">
        <f t="shared" si="56"/>
        <v>30</v>
      </c>
      <c r="AB238" s="8">
        <f t="shared" si="57"/>
        <v>229</v>
      </c>
      <c r="AC238" s="12" t="s">
        <v>149</v>
      </c>
      <c r="AD238" s="11" t="str">
        <f t="shared" si="58"/>
        <v>67
65
97</v>
      </c>
      <c r="AE238" s="11" t="str">
        <f t="shared" si="59"/>
        <v>69
49
98</v>
      </c>
      <c r="AF238" s="11"/>
      <c r="AG238" s="11"/>
      <c r="AH238" s="8">
        <f t="shared" si="60"/>
        <v>41.739999999999995</v>
      </c>
      <c r="AI238" s="8">
        <f t="shared" si="61"/>
        <v>33.54</v>
      </c>
      <c r="AJ238" s="8">
        <f t="shared" si="62"/>
        <v>17.190000000000001</v>
      </c>
      <c r="AK238" s="8"/>
      <c r="AL238" s="8"/>
      <c r="AM238" s="8">
        <f t="shared" si="63"/>
        <v>0</v>
      </c>
      <c r="AN238" s="8">
        <f t="shared" si="64"/>
        <v>95.33</v>
      </c>
    </row>
    <row r="239" spans="1:40" ht="48" customHeight="1" x14ac:dyDescent="0.2">
      <c r="A239" s="8" t="str">
        <f>Elettricità!I239</f>
        <v>IT001E04171043</v>
      </c>
      <c r="B239" s="8" t="str">
        <f>Elettricità!A239</f>
        <v>005085485033.PDF</v>
      </c>
      <c r="C239" s="9">
        <f>Elettricità!E239</f>
        <v>45604</v>
      </c>
      <c r="D239" s="9">
        <f>Elettricità!K239</f>
        <v>45566</v>
      </c>
      <c r="E239" s="9">
        <f>Elettricità!L239</f>
        <v>45596</v>
      </c>
      <c r="F239" s="8">
        <f>Elettricità!M239</f>
        <v>264</v>
      </c>
      <c r="G239" s="8">
        <f>Elettricità!N239</f>
        <v>77</v>
      </c>
      <c r="H239" s="8">
        <f>Elettricità!O239</f>
        <v>90</v>
      </c>
      <c r="I239" s="8">
        <f>Elettricità!P239</f>
        <v>97</v>
      </c>
      <c r="J239" s="8">
        <f>Elettricità!Q239</f>
        <v>220</v>
      </c>
      <c r="K239" s="8">
        <f>Elettricità!R239</f>
        <v>74</v>
      </c>
      <c r="L239" s="8">
        <f>Elettricità!S239</f>
        <v>50</v>
      </c>
      <c r="M239" s="8">
        <f>Elettricità!T239</f>
        <v>96</v>
      </c>
      <c r="N239" s="8">
        <f>Elettricità!W239</f>
        <v>86.34</v>
      </c>
      <c r="O239" s="8">
        <f>Elettricità!X239</f>
        <v>105.33</v>
      </c>
      <c r="P239" s="8">
        <f>Elettricità!Y239</f>
        <v>0</v>
      </c>
      <c r="Q239" s="8">
        <f>Elettricità!Z239</f>
        <v>39.17</v>
      </c>
      <c r="R239" s="8">
        <f>Elettricità!AA239</f>
        <v>18.079999999999998</v>
      </c>
      <c r="S239" s="8">
        <f>Elettricità!AB239</f>
        <v>25.79</v>
      </c>
      <c r="T239" s="8">
        <f>Elettricità!AC239</f>
        <v>0</v>
      </c>
      <c r="U239" s="8">
        <f>Elettricità!AD239</f>
        <v>18.989999999999998</v>
      </c>
      <c r="V239" s="8">
        <f t="shared" si="52"/>
        <v>2024</v>
      </c>
      <c r="W239" s="8">
        <f>_xlfn.XLOOKUP(A239,Fabbricati!E:E,Fabbricati!D:D)</f>
        <v>382926102</v>
      </c>
      <c r="X239" s="9">
        <f t="shared" si="53"/>
        <v>45604</v>
      </c>
      <c r="Y239" s="9">
        <f t="shared" si="54"/>
        <v>45566</v>
      </c>
      <c r="Z239" s="9">
        <f t="shared" si="55"/>
        <v>45596</v>
      </c>
      <c r="AA239" s="8">
        <f t="shared" si="56"/>
        <v>31</v>
      </c>
      <c r="AB239" s="8">
        <f t="shared" si="57"/>
        <v>264</v>
      </c>
      <c r="AC239" s="12" t="s">
        <v>149</v>
      </c>
      <c r="AD239" s="11" t="str">
        <f t="shared" si="58"/>
        <v>77
90
97</v>
      </c>
      <c r="AE239" s="11" t="str">
        <f t="shared" si="59"/>
        <v>74
50
96</v>
      </c>
      <c r="AF239" s="11"/>
      <c r="AG239" s="11"/>
      <c r="AH239" s="8">
        <f t="shared" si="60"/>
        <v>43.87</v>
      </c>
      <c r="AI239" s="8">
        <f t="shared" si="61"/>
        <v>39.17</v>
      </c>
      <c r="AJ239" s="8">
        <f t="shared" si="62"/>
        <v>18.989999999999998</v>
      </c>
      <c r="AK239" s="8"/>
      <c r="AL239" s="8"/>
      <c r="AM239" s="8">
        <f t="shared" si="63"/>
        <v>0</v>
      </c>
      <c r="AN239" s="8">
        <f t="shared" si="64"/>
        <v>105.33</v>
      </c>
    </row>
    <row r="240" spans="1:40" ht="48" customHeight="1" x14ac:dyDescent="0.2">
      <c r="A240" s="8" t="str">
        <f>Elettricità!I240</f>
        <v>IT001E04171043</v>
      </c>
      <c r="B240" s="8" t="str">
        <f>Elettricità!A240</f>
        <v>005093369267.PDF</v>
      </c>
      <c r="C240" s="9">
        <f>Elettricità!E240</f>
        <v>45632</v>
      </c>
      <c r="D240" s="9">
        <f>Elettricità!K240</f>
        <v>45597</v>
      </c>
      <c r="E240" s="9">
        <f>Elettricità!L240</f>
        <v>45626</v>
      </c>
      <c r="F240" s="8">
        <f>Elettricità!M240</f>
        <v>465</v>
      </c>
      <c r="G240" s="8">
        <f>Elettricità!N240</f>
        <v>132</v>
      </c>
      <c r="H240" s="8">
        <f>Elettricità!O240</f>
        <v>133</v>
      </c>
      <c r="I240" s="8">
        <f>Elettricità!P240</f>
        <v>200</v>
      </c>
      <c r="J240" s="8">
        <f>Elettricità!Q240</f>
        <v>232</v>
      </c>
      <c r="K240" s="8">
        <f>Elettricità!R240</f>
        <v>69</v>
      </c>
      <c r="L240" s="8">
        <f>Elettricità!S240</f>
        <v>56</v>
      </c>
      <c r="M240" s="8">
        <f>Elettricità!T240</f>
        <v>107</v>
      </c>
      <c r="N240" s="8">
        <f>Elettricità!W240</f>
        <v>137.43</v>
      </c>
      <c r="O240" s="8">
        <f>Elettricità!X240</f>
        <v>167.66</v>
      </c>
      <c r="P240" s="8">
        <f>Elettricità!Y240</f>
        <v>0</v>
      </c>
      <c r="Q240" s="8">
        <f>Elettricità!Z240</f>
        <v>75.47</v>
      </c>
      <c r="R240" s="8">
        <f>Elettricità!AA240</f>
        <v>20.67</v>
      </c>
      <c r="S240" s="8">
        <f>Elettricità!AB240</f>
        <v>35.479999999999997</v>
      </c>
      <c r="T240" s="8">
        <f>Elettricità!AC240</f>
        <v>0</v>
      </c>
      <c r="U240" s="8">
        <f>Elettricità!AD240</f>
        <v>30.23</v>
      </c>
      <c r="V240" s="8">
        <f t="shared" si="52"/>
        <v>2024</v>
      </c>
      <c r="W240" s="8">
        <f>_xlfn.XLOOKUP(A240,Fabbricati!E:E,Fabbricati!D:D)</f>
        <v>382926102</v>
      </c>
      <c r="X240" s="9">
        <f t="shared" si="53"/>
        <v>45632</v>
      </c>
      <c r="Y240" s="9">
        <f t="shared" si="54"/>
        <v>45597</v>
      </c>
      <c r="Z240" s="9">
        <f t="shared" si="55"/>
        <v>45626</v>
      </c>
      <c r="AA240" s="8">
        <f t="shared" si="56"/>
        <v>30</v>
      </c>
      <c r="AB240" s="8">
        <f t="shared" si="57"/>
        <v>465</v>
      </c>
      <c r="AC240" s="12" t="s">
        <v>149</v>
      </c>
      <c r="AD240" s="11" t="str">
        <f t="shared" si="58"/>
        <v>132
133
200</v>
      </c>
      <c r="AE240" s="11" t="str">
        <f t="shared" si="59"/>
        <v>69
56
107</v>
      </c>
      <c r="AF240" s="11"/>
      <c r="AG240" s="11"/>
      <c r="AH240" s="8">
        <f t="shared" si="60"/>
        <v>56.15</v>
      </c>
      <c r="AI240" s="8">
        <f t="shared" si="61"/>
        <v>75.47</v>
      </c>
      <c r="AJ240" s="8">
        <f t="shared" si="62"/>
        <v>30.23</v>
      </c>
      <c r="AK240" s="8"/>
      <c r="AL240" s="8"/>
      <c r="AM240" s="8">
        <f t="shared" si="63"/>
        <v>0</v>
      </c>
      <c r="AN240" s="8">
        <f t="shared" si="64"/>
        <v>167.66</v>
      </c>
    </row>
    <row r="241" spans="1:40" ht="48" customHeight="1" x14ac:dyDescent="0.2">
      <c r="A241" s="8" t="str">
        <f>Elettricità!I241</f>
        <v>IT001E04171043</v>
      </c>
      <c r="B241" s="8" t="str">
        <f>Elettricità!A241</f>
        <v>005200218680.PDF</v>
      </c>
      <c r="C241" s="9">
        <f>Elettricità!E241</f>
        <v>45665</v>
      </c>
      <c r="D241" s="9">
        <f>Elettricità!K241</f>
        <v>45627</v>
      </c>
      <c r="E241" s="9">
        <f>Elettricità!L241</f>
        <v>45657</v>
      </c>
      <c r="F241" s="8">
        <f>Elettricità!M241</f>
        <v>586</v>
      </c>
      <c r="G241" s="8">
        <f>Elettricità!N241</f>
        <v>163</v>
      </c>
      <c r="H241" s="8">
        <f>Elettricità!O241</f>
        <v>138</v>
      </c>
      <c r="I241" s="8">
        <f>Elettricità!P241</f>
        <v>285</v>
      </c>
      <c r="J241" s="8">
        <f>Elettricità!Q241</f>
        <v>243</v>
      </c>
      <c r="K241" s="8">
        <f>Elettricità!R241</f>
        <v>67</v>
      </c>
      <c r="L241" s="8">
        <f>Elettricità!S241</f>
        <v>52</v>
      </c>
      <c r="M241" s="8">
        <f>Elettricità!T241</f>
        <v>124</v>
      </c>
      <c r="N241" s="8">
        <f>Elettricità!W241</f>
        <v>171.53</v>
      </c>
      <c r="O241" s="8">
        <f>Elettricità!X241</f>
        <v>209.27</v>
      </c>
      <c r="P241" s="8">
        <f>Elettricità!Y241</f>
        <v>0</v>
      </c>
      <c r="Q241" s="8">
        <f>Elettricità!Z241</f>
        <v>100.66</v>
      </c>
      <c r="R241" s="8">
        <f>Elettricità!AA241</f>
        <v>22.22</v>
      </c>
      <c r="S241" s="8">
        <f>Elettricità!AB241</f>
        <v>41.32</v>
      </c>
      <c r="T241" s="8">
        <f>Elettricità!AC241</f>
        <v>0</v>
      </c>
      <c r="U241" s="8">
        <f>Elettricità!AD241</f>
        <v>37.74</v>
      </c>
      <c r="V241" s="8">
        <f t="shared" si="52"/>
        <v>2024</v>
      </c>
      <c r="W241" s="8">
        <f>_xlfn.XLOOKUP(A241,Fabbricati!E:E,Fabbricati!D:D)</f>
        <v>382926102</v>
      </c>
      <c r="X241" s="9">
        <f t="shared" si="53"/>
        <v>45665</v>
      </c>
      <c r="Y241" s="9">
        <f t="shared" si="54"/>
        <v>45627</v>
      </c>
      <c r="Z241" s="9">
        <f t="shared" si="55"/>
        <v>45657</v>
      </c>
      <c r="AA241" s="8">
        <f t="shared" si="56"/>
        <v>31</v>
      </c>
      <c r="AB241" s="8">
        <f t="shared" si="57"/>
        <v>586</v>
      </c>
      <c r="AC241" s="12" t="s">
        <v>149</v>
      </c>
      <c r="AD241" s="11" t="str">
        <f t="shared" si="58"/>
        <v>163
138
285</v>
      </c>
      <c r="AE241" s="11" t="str">
        <f t="shared" si="59"/>
        <v>67
52
124</v>
      </c>
      <c r="AF241" s="11"/>
      <c r="AG241" s="11"/>
      <c r="AH241" s="8">
        <f t="shared" si="60"/>
        <v>63.54</v>
      </c>
      <c r="AI241" s="8">
        <f t="shared" si="61"/>
        <v>100.66</v>
      </c>
      <c r="AJ241" s="8">
        <f t="shared" si="62"/>
        <v>37.74</v>
      </c>
      <c r="AK241" s="8"/>
      <c r="AL241" s="8"/>
      <c r="AM241" s="8">
        <f t="shared" si="63"/>
        <v>0</v>
      </c>
      <c r="AN241" s="8">
        <f t="shared" si="64"/>
        <v>209.27</v>
      </c>
    </row>
    <row r="242" spans="1:40" ht="48" customHeight="1" x14ac:dyDescent="0.2">
      <c r="A242" s="8" t="str">
        <f>Elettricità!I242</f>
        <v>IT001E04171047</v>
      </c>
      <c r="B242" s="8" t="str">
        <f>Elettricità!A242</f>
        <v>824500045415_2024_d.pdf</v>
      </c>
      <c r="C242" s="9">
        <f>Elettricità!E242</f>
        <v>45350</v>
      </c>
      <c r="D242" s="9">
        <f>Elettricità!K242</f>
        <v>45292</v>
      </c>
      <c r="E242" s="9">
        <f>Elettricità!L242</f>
        <v>45322</v>
      </c>
      <c r="F242" s="8">
        <f>Elettricità!M242</f>
        <v>99</v>
      </c>
      <c r="G242" s="8">
        <f>Elettricità!N242</f>
        <v>51</v>
      </c>
      <c r="H242" s="8">
        <f>Elettricità!O242</f>
        <v>17</v>
      </c>
      <c r="I242" s="8">
        <f>Elettricità!P242</f>
        <v>31</v>
      </c>
      <c r="J242" s="8">
        <f>Elettricità!Q242</f>
        <v>32</v>
      </c>
      <c r="K242" s="8">
        <f>Elettricità!R242</f>
        <v>13</v>
      </c>
      <c r="L242" s="8">
        <f>Elettricità!S242</f>
        <v>6</v>
      </c>
      <c r="M242" s="8">
        <f>Elettricità!T242</f>
        <v>13</v>
      </c>
      <c r="N242" s="8">
        <f>Elettricità!W242</f>
        <v>40</v>
      </c>
      <c r="O242" s="8">
        <f>Elettricità!X242</f>
        <v>48.8</v>
      </c>
      <c r="P242" s="8">
        <f>Elettricità!Y242</f>
        <v>0</v>
      </c>
      <c r="Q242" s="8">
        <f>Elettricità!Z242</f>
        <v>15.77</v>
      </c>
      <c r="R242" s="8">
        <f>Elettricità!AA242</f>
        <v>11</v>
      </c>
      <c r="S242" s="8">
        <f>Elettricità!AB242</f>
        <v>11.49</v>
      </c>
      <c r="T242" s="8">
        <f>Elettricità!AC242</f>
        <v>0.5</v>
      </c>
      <c r="U242" s="8">
        <f>Elettricità!AD242</f>
        <v>1.24</v>
      </c>
      <c r="V242" s="8">
        <f t="shared" si="52"/>
        <v>2024</v>
      </c>
      <c r="W242" s="8">
        <f>_xlfn.XLOOKUP(A242,Fabbricati!E:E,Fabbricati!D:D)</f>
        <v>382909739</v>
      </c>
      <c r="X242" s="9">
        <f t="shared" si="53"/>
        <v>45350</v>
      </c>
      <c r="Y242" s="9">
        <f t="shared" si="54"/>
        <v>45292</v>
      </c>
      <c r="Z242" s="9">
        <f t="shared" si="55"/>
        <v>45322</v>
      </c>
      <c r="AA242" s="8">
        <f t="shared" si="56"/>
        <v>31</v>
      </c>
      <c r="AB242" s="8">
        <f t="shared" si="57"/>
        <v>99</v>
      </c>
      <c r="AC242" s="12" t="s">
        <v>149</v>
      </c>
      <c r="AD242" s="11" t="str">
        <f t="shared" si="58"/>
        <v>51
17
31</v>
      </c>
      <c r="AE242" s="11" t="str">
        <f t="shared" si="59"/>
        <v>13
6
13</v>
      </c>
      <c r="AF242" s="11"/>
      <c r="AG242" s="11"/>
      <c r="AH242" s="8">
        <f t="shared" si="60"/>
        <v>22.490000000000002</v>
      </c>
      <c r="AI242" s="8">
        <f t="shared" si="61"/>
        <v>15.77</v>
      </c>
      <c r="AJ242" s="8">
        <f t="shared" si="62"/>
        <v>1.24</v>
      </c>
      <c r="AK242" s="8"/>
      <c r="AL242" s="8"/>
      <c r="AM242" s="8">
        <f t="shared" si="63"/>
        <v>0.5</v>
      </c>
      <c r="AN242" s="8">
        <f t="shared" si="64"/>
        <v>48.8</v>
      </c>
    </row>
    <row r="243" spans="1:40" ht="48" customHeight="1" x14ac:dyDescent="0.2">
      <c r="A243" s="8" t="str">
        <f>Elettricità!I243</f>
        <v>IT001E04171047</v>
      </c>
      <c r="B243" s="8" t="str">
        <f>Elettricità!A243</f>
        <v>005018359672.pdf</v>
      </c>
      <c r="C243" s="9">
        <f>Elettricità!E243</f>
        <v>45358</v>
      </c>
      <c r="D243" s="9">
        <f>Elettricità!K243</f>
        <v>45323</v>
      </c>
      <c r="E243" s="9">
        <f>Elettricità!L243</f>
        <v>45351</v>
      </c>
      <c r="F243" s="8">
        <f>Elettricità!M243</f>
        <v>97</v>
      </c>
      <c r="G243" s="8">
        <f>Elettricità!N243</f>
        <v>51</v>
      </c>
      <c r="H243" s="8">
        <f>Elettricità!O243</f>
        <v>19</v>
      </c>
      <c r="I243" s="8">
        <f>Elettricità!P243</f>
        <v>27</v>
      </c>
      <c r="J243" s="8">
        <f>Elettricità!Q243</f>
        <v>30</v>
      </c>
      <c r="K243" s="8">
        <f>Elettricità!R243</f>
        <v>14</v>
      </c>
      <c r="L243" s="8">
        <f>Elettricità!S243</f>
        <v>5</v>
      </c>
      <c r="M243" s="8">
        <f>Elettricità!T243</f>
        <v>11</v>
      </c>
      <c r="N243" s="8">
        <f>Elettricità!W243</f>
        <v>35.479999999999997</v>
      </c>
      <c r="O243" s="8">
        <f>Elettricità!X243</f>
        <v>43.29</v>
      </c>
      <c r="P243" s="8">
        <f>Elettricità!Y243</f>
        <v>0</v>
      </c>
      <c r="Q243" s="8">
        <f>Elettricità!Z243</f>
        <v>11.88</v>
      </c>
      <c r="R243" s="8">
        <f>Elettricità!AA243</f>
        <v>10.98</v>
      </c>
      <c r="S243" s="8">
        <f>Elettricità!AB243</f>
        <v>11.41</v>
      </c>
      <c r="T243" s="8">
        <f>Elettricità!AC243</f>
        <v>0</v>
      </c>
      <c r="U243" s="8">
        <f>Elettricità!AD243</f>
        <v>7.81</v>
      </c>
      <c r="V243" s="8">
        <f t="shared" si="52"/>
        <v>2024</v>
      </c>
      <c r="W243" s="8">
        <f>_xlfn.XLOOKUP(A243,Fabbricati!E:E,Fabbricati!D:D)</f>
        <v>382909739</v>
      </c>
      <c r="X243" s="9">
        <f t="shared" si="53"/>
        <v>45358</v>
      </c>
      <c r="Y243" s="9">
        <f t="shared" si="54"/>
        <v>45323</v>
      </c>
      <c r="Z243" s="9">
        <f t="shared" si="55"/>
        <v>45351</v>
      </c>
      <c r="AA243" s="8">
        <f t="shared" si="56"/>
        <v>29</v>
      </c>
      <c r="AB243" s="8">
        <f t="shared" si="57"/>
        <v>97</v>
      </c>
      <c r="AC243" s="12" t="s">
        <v>149</v>
      </c>
      <c r="AD243" s="11" t="str">
        <f t="shared" si="58"/>
        <v>51
19
27</v>
      </c>
      <c r="AE243" s="11" t="str">
        <f t="shared" si="59"/>
        <v>14
5
11</v>
      </c>
      <c r="AF243" s="11"/>
      <c r="AG243" s="11"/>
      <c r="AH243" s="8">
        <f t="shared" si="60"/>
        <v>22.39</v>
      </c>
      <c r="AI243" s="8">
        <f t="shared" si="61"/>
        <v>11.88</v>
      </c>
      <c r="AJ243" s="8">
        <f t="shared" si="62"/>
        <v>7.81</v>
      </c>
      <c r="AK243" s="8"/>
      <c r="AL243" s="8"/>
      <c r="AM243" s="8">
        <f t="shared" si="63"/>
        <v>0</v>
      </c>
      <c r="AN243" s="8">
        <f t="shared" si="64"/>
        <v>43.29</v>
      </c>
    </row>
    <row r="244" spans="1:40" ht="48" customHeight="1" x14ac:dyDescent="0.2">
      <c r="A244" s="8" t="str">
        <f>Elettricità!I244</f>
        <v>IT001E04171047</v>
      </c>
      <c r="B244" s="8" t="str">
        <f>Elettricità!A244</f>
        <v>005030508093(1).pdf</v>
      </c>
      <c r="C244" s="9">
        <f>Elettricità!E244</f>
        <v>45393</v>
      </c>
      <c r="D244" s="9">
        <f>Elettricità!K244</f>
        <v>45352</v>
      </c>
      <c r="E244" s="9">
        <f>Elettricità!L244</f>
        <v>45382</v>
      </c>
      <c r="F244" s="8">
        <f>Elettricità!M244</f>
        <v>87</v>
      </c>
      <c r="G244" s="8">
        <f>Elettricità!N244</f>
        <v>43</v>
      </c>
      <c r="H244" s="8">
        <f>Elettricità!O244</f>
        <v>19</v>
      </c>
      <c r="I244" s="8">
        <f>Elettricità!P244</f>
        <v>25</v>
      </c>
      <c r="J244" s="8">
        <f>Elettricità!Q244</f>
        <v>40</v>
      </c>
      <c r="K244" s="8">
        <f>Elettricità!R244</f>
        <v>16</v>
      </c>
      <c r="L244" s="8">
        <f>Elettricità!S244</f>
        <v>8</v>
      </c>
      <c r="M244" s="8">
        <f>Elettricità!T244</f>
        <v>16</v>
      </c>
      <c r="N244" s="8">
        <f>Elettricità!W244</f>
        <v>33.24</v>
      </c>
      <c r="O244" s="8">
        <f>Elettricità!X244</f>
        <v>40.549999999999997</v>
      </c>
      <c r="P244" s="8">
        <f>Elettricità!Y244</f>
        <v>0</v>
      </c>
      <c r="Q244" s="8">
        <f>Elettricità!Z244</f>
        <v>10.3</v>
      </c>
      <c r="R244" s="8">
        <f>Elettricità!AA244</f>
        <v>10.85</v>
      </c>
      <c r="S244" s="8">
        <f>Elettricità!AB244</f>
        <v>11</v>
      </c>
      <c r="T244" s="8">
        <f>Elettricità!AC244</f>
        <v>0</v>
      </c>
      <c r="U244" s="8">
        <f>Elettricità!AD244</f>
        <v>7.31</v>
      </c>
      <c r="V244" s="8">
        <f t="shared" si="52"/>
        <v>2024</v>
      </c>
      <c r="W244" s="8">
        <f>_xlfn.XLOOKUP(A244,Fabbricati!E:E,Fabbricati!D:D)</f>
        <v>382909739</v>
      </c>
      <c r="X244" s="9">
        <f t="shared" si="53"/>
        <v>45393</v>
      </c>
      <c r="Y244" s="9">
        <f t="shared" si="54"/>
        <v>45352</v>
      </c>
      <c r="Z244" s="9">
        <f t="shared" si="55"/>
        <v>45382</v>
      </c>
      <c r="AA244" s="8">
        <f t="shared" si="56"/>
        <v>31</v>
      </c>
      <c r="AB244" s="8">
        <f t="shared" si="57"/>
        <v>87</v>
      </c>
      <c r="AC244" s="12" t="s">
        <v>149</v>
      </c>
      <c r="AD244" s="11" t="str">
        <f t="shared" si="58"/>
        <v>43
19
25</v>
      </c>
      <c r="AE244" s="11" t="str">
        <f t="shared" si="59"/>
        <v>16
8
16</v>
      </c>
      <c r="AF244" s="11"/>
      <c r="AG244" s="11"/>
      <c r="AH244" s="8">
        <f t="shared" si="60"/>
        <v>21.85</v>
      </c>
      <c r="AI244" s="8">
        <f t="shared" si="61"/>
        <v>10.3</v>
      </c>
      <c r="AJ244" s="8">
        <f t="shared" si="62"/>
        <v>7.31</v>
      </c>
      <c r="AK244" s="8"/>
      <c r="AL244" s="8"/>
      <c r="AM244" s="8">
        <f t="shared" si="63"/>
        <v>0</v>
      </c>
      <c r="AN244" s="8">
        <f t="shared" si="64"/>
        <v>40.549999999999997</v>
      </c>
    </row>
    <row r="245" spans="1:40" ht="48" customHeight="1" x14ac:dyDescent="0.2">
      <c r="A245" s="8" t="str">
        <f>Elettricità!I245</f>
        <v>IT001E04171047</v>
      </c>
      <c r="B245" s="8" t="str">
        <f>Elettricità!A245</f>
        <v>005034930227.PDF</v>
      </c>
      <c r="C245" s="9">
        <f>Elettricità!E245</f>
        <v>45419</v>
      </c>
      <c r="D245" s="9">
        <f>Elettricità!K245</f>
        <v>45383</v>
      </c>
      <c r="E245" s="9">
        <f>Elettricità!L245</f>
        <v>45392</v>
      </c>
      <c r="F245" s="8">
        <f>Elettricità!M245</f>
        <v>67</v>
      </c>
      <c r="G245" s="8">
        <f>Elettricità!N245</f>
        <v>29</v>
      </c>
      <c r="H245" s="8">
        <f>Elettricità!O245</f>
        <v>14</v>
      </c>
      <c r="I245" s="8">
        <f>Elettricità!P245</f>
        <v>24</v>
      </c>
      <c r="J245" s="8">
        <f>Elettricità!Q245</f>
        <v>14</v>
      </c>
      <c r="K245" s="8">
        <f>Elettricità!R245</f>
        <v>6</v>
      </c>
      <c r="L245" s="8">
        <f>Elettricità!S245</f>
        <v>3</v>
      </c>
      <c r="M245" s="8">
        <f>Elettricità!T245</f>
        <v>5</v>
      </c>
      <c r="N245" s="8">
        <f>Elettricità!W245</f>
        <v>30.98</v>
      </c>
      <c r="O245" s="8">
        <f>Elettricità!X245</f>
        <v>37.799999999999997</v>
      </c>
      <c r="P245" s="8">
        <f>Elettricità!Y245</f>
        <v>0</v>
      </c>
      <c r="Q245" s="8">
        <f>Elettricità!Z245</f>
        <v>7.72</v>
      </c>
      <c r="R245" s="8">
        <f>Elettricità!AA245</f>
        <v>10.58</v>
      </c>
      <c r="S245" s="8">
        <f>Elettricità!AB245</f>
        <v>11.84</v>
      </c>
      <c r="T245" s="8">
        <f>Elettricità!AC245</f>
        <v>0</v>
      </c>
      <c r="U245" s="8">
        <f>Elettricità!AD245</f>
        <v>6.82</v>
      </c>
      <c r="V245" s="8">
        <f t="shared" si="52"/>
        <v>2024</v>
      </c>
      <c r="W245" s="8">
        <f>_xlfn.XLOOKUP(A245,Fabbricati!E:E,Fabbricati!D:D)</f>
        <v>382909739</v>
      </c>
      <c r="X245" s="9">
        <f t="shared" si="53"/>
        <v>45419</v>
      </c>
      <c r="Y245" s="9">
        <f t="shared" si="54"/>
        <v>45383</v>
      </c>
      <c r="Z245" s="9">
        <f t="shared" si="55"/>
        <v>45392</v>
      </c>
      <c r="AA245" s="8">
        <f t="shared" si="56"/>
        <v>10</v>
      </c>
      <c r="AB245" s="8">
        <f t="shared" si="57"/>
        <v>67</v>
      </c>
      <c r="AC245" s="12" t="s">
        <v>149</v>
      </c>
      <c r="AD245" s="11" t="str">
        <f t="shared" si="58"/>
        <v>29
14
24</v>
      </c>
      <c r="AE245" s="11" t="str">
        <f t="shared" si="59"/>
        <v>6
3
5</v>
      </c>
      <c r="AF245" s="11"/>
      <c r="AG245" s="11"/>
      <c r="AH245" s="8">
        <f t="shared" si="60"/>
        <v>22.42</v>
      </c>
      <c r="AI245" s="8">
        <f t="shared" si="61"/>
        <v>7.72</v>
      </c>
      <c r="AJ245" s="8">
        <f t="shared" si="62"/>
        <v>6.82</v>
      </c>
      <c r="AK245" s="8"/>
      <c r="AL245" s="8"/>
      <c r="AM245" s="8">
        <f t="shared" si="63"/>
        <v>0</v>
      </c>
      <c r="AN245" s="8">
        <f t="shared" si="64"/>
        <v>37.799999999999997</v>
      </c>
    </row>
    <row r="246" spans="1:40" ht="48" customHeight="1" x14ac:dyDescent="0.2">
      <c r="A246" s="8" t="str">
        <f>Elettricità!I246</f>
        <v>IT001E04171047</v>
      </c>
      <c r="B246" s="8" t="str">
        <f>Elettricità!A246</f>
        <v>005043663091.PDF</v>
      </c>
      <c r="C246" s="9">
        <f>Elettricità!E246</f>
        <v>45449</v>
      </c>
      <c r="D246" s="9">
        <f>Elettricità!K246</f>
        <v>45413</v>
      </c>
      <c r="E246" s="9">
        <f>Elettricità!L246</f>
        <v>45443</v>
      </c>
      <c r="F246" s="8">
        <f>Elettricità!M246</f>
        <v>78</v>
      </c>
      <c r="G246" s="8">
        <f>Elettricità!N246</f>
        <v>34</v>
      </c>
      <c r="H246" s="8">
        <f>Elettricità!O246</f>
        <v>16</v>
      </c>
      <c r="I246" s="8">
        <f>Elettricità!P246</f>
        <v>28</v>
      </c>
      <c r="J246" s="8">
        <f>Elettricità!Q246</f>
        <v>0</v>
      </c>
      <c r="K246" s="8">
        <f>Elettricità!R246</f>
        <v>0</v>
      </c>
      <c r="L246" s="8">
        <f>Elettricità!S246</f>
        <v>0</v>
      </c>
      <c r="M246" s="8">
        <f>Elettricità!T246</f>
        <v>0</v>
      </c>
      <c r="N246" s="8">
        <f>Elettricità!W246</f>
        <v>33.56</v>
      </c>
      <c r="O246" s="8">
        <f>Elettricità!X246</f>
        <v>40.94</v>
      </c>
      <c r="P246" s="8">
        <f>Elettricità!Y246</f>
        <v>0</v>
      </c>
      <c r="Q246" s="8">
        <f>Elettricità!Z246</f>
        <v>9.4700000000000006</v>
      </c>
      <c r="R246" s="8">
        <f>Elettricità!AA246</f>
        <v>10.74</v>
      </c>
      <c r="S246" s="8">
        <f>Elettricità!AB246</f>
        <v>12.37</v>
      </c>
      <c r="T246" s="8">
        <f>Elettricità!AC246</f>
        <v>0</v>
      </c>
      <c r="U246" s="8">
        <f>Elettricità!AD246</f>
        <v>7.38</v>
      </c>
      <c r="V246" s="8">
        <f t="shared" si="52"/>
        <v>2024</v>
      </c>
      <c r="W246" s="8">
        <f>_xlfn.XLOOKUP(A246,Fabbricati!E:E,Fabbricati!D:D)</f>
        <v>382909739</v>
      </c>
      <c r="X246" s="9">
        <f t="shared" si="53"/>
        <v>45449</v>
      </c>
      <c r="Y246" s="9">
        <f t="shared" si="54"/>
        <v>45413</v>
      </c>
      <c r="Z246" s="9">
        <f t="shared" si="55"/>
        <v>45443</v>
      </c>
      <c r="AA246" s="8">
        <f t="shared" si="56"/>
        <v>31</v>
      </c>
      <c r="AB246" s="8">
        <f t="shared" si="57"/>
        <v>78</v>
      </c>
      <c r="AC246" s="12" t="s">
        <v>149</v>
      </c>
      <c r="AD246" s="11" t="str">
        <f t="shared" si="58"/>
        <v>34
16
28</v>
      </c>
      <c r="AE246" s="11" t="str">
        <f t="shared" si="59"/>
        <v>0
0
0</v>
      </c>
      <c r="AF246" s="11"/>
      <c r="AG246" s="11"/>
      <c r="AH246" s="8">
        <f t="shared" si="60"/>
        <v>23.11</v>
      </c>
      <c r="AI246" s="8">
        <f t="shared" si="61"/>
        <v>9.4700000000000006</v>
      </c>
      <c r="AJ246" s="8">
        <f t="shared" si="62"/>
        <v>7.38</v>
      </c>
      <c r="AK246" s="8"/>
      <c r="AL246" s="8"/>
      <c r="AM246" s="8">
        <f t="shared" si="63"/>
        <v>0</v>
      </c>
      <c r="AN246" s="8">
        <f t="shared" si="64"/>
        <v>40.94</v>
      </c>
    </row>
    <row r="247" spans="1:40" ht="48" customHeight="1" x14ac:dyDescent="0.2">
      <c r="A247" s="8" t="str">
        <f>Elettricità!I247</f>
        <v>IT001E04171047</v>
      </c>
      <c r="B247" s="8" t="str">
        <f>Elettricità!A247</f>
        <v>005051431106.PDF</v>
      </c>
      <c r="C247" s="9">
        <f>Elettricità!E247</f>
        <v>45478</v>
      </c>
      <c r="D247" s="9">
        <f>Elettricità!K247</f>
        <v>45444</v>
      </c>
      <c r="E247" s="9">
        <f>Elettricità!L247</f>
        <v>45473</v>
      </c>
      <c r="F247" s="8">
        <f>Elettricità!M247</f>
        <v>49</v>
      </c>
      <c r="G247" s="8">
        <f>Elettricità!N247</f>
        <v>19</v>
      </c>
      <c r="H247" s="8">
        <f>Elettricità!O247</f>
        <v>11</v>
      </c>
      <c r="I247" s="8">
        <f>Elettricità!P247</f>
        <v>19</v>
      </c>
      <c r="J247" s="8">
        <f>Elettricità!Q247</f>
        <v>0</v>
      </c>
      <c r="K247" s="8">
        <f>Elettricità!R247</f>
        <v>0</v>
      </c>
      <c r="L247" s="8">
        <f>Elettricità!S247</f>
        <v>0</v>
      </c>
      <c r="M247" s="8">
        <f>Elettricità!T247</f>
        <v>0</v>
      </c>
      <c r="N247" s="8">
        <f>Elettricità!W247</f>
        <v>28.5</v>
      </c>
      <c r="O247" s="8">
        <f>Elettricità!X247</f>
        <v>34.770000000000003</v>
      </c>
      <c r="P247" s="8">
        <f>Elettricità!Y247</f>
        <v>0</v>
      </c>
      <c r="Q247" s="8">
        <f>Elettricità!Z247</f>
        <v>6.56</v>
      </c>
      <c r="R247" s="8">
        <f>Elettricità!AA247</f>
        <v>10.36</v>
      </c>
      <c r="S247" s="8">
        <f>Elettricità!AB247</f>
        <v>10.97</v>
      </c>
      <c r="T247" s="8">
        <f>Elettricità!AC247</f>
        <v>0</v>
      </c>
      <c r="U247" s="8">
        <f>Elettricità!AD247</f>
        <v>6.27</v>
      </c>
      <c r="V247" s="8">
        <f t="shared" si="52"/>
        <v>2024</v>
      </c>
      <c r="W247" s="8">
        <f>_xlfn.XLOOKUP(A247,Fabbricati!E:E,Fabbricati!D:D)</f>
        <v>382909739</v>
      </c>
      <c r="X247" s="9">
        <f t="shared" si="53"/>
        <v>45478</v>
      </c>
      <c r="Y247" s="9">
        <f t="shared" si="54"/>
        <v>45444</v>
      </c>
      <c r="Z247" s="9">
        <f t="shared" si="55"/>
        <v>45473</v>
      </c>
      <c r="AA247" s="8">
        <f t="shared" si="56"/>
        <v>30</v>
      </c>
      <c r="AB247" s="8">
        <f t="shared" si="57"/>
        <v>49</v>
      </c>
      <c r="AC247" s="12" t="s">
        <v>149</v>
      </c>
      <c r="AD247" s="11" t="str">
        <f t="shared" si="58"/>
        <v>19
11
19</v>
      </c>
      <c r="AE247" s="11" t="str">
        <f t="shared" si="59"/>
        <v>0
0
0</v>
      </c>
      <c r="AF247" s="11"/>
      <c r="AG247" s="11"/>
      <c r="AH247" s="8">
        <f t="shared" si="60"/>
        <v>21.33</v>
      </c>
      <c r="AI247" s="8">
        <f t="shared" si="61"/>
        <v>6.56</v>
      </c>
      <c r="AJ247" s="8">
        <f t="shared" si="62"/>
        <v>6.27</v>
      </c>
      <c r="AK247" s="8"/>
      <c r="AL247" s="8"/>
      <c r="AM247" s="8">
        <f t="shared" si="63"/>
        <v>0</v>
      </c>
      <c r="AN247" s="8">
        <f t="shared" si="64"/>
        <v>34.770000000000003</v>
      </c>
    </row>
    <row r="248" spans="1:40" ht="48" customHeight="1" x14ac:dyDescent="0.2">
      <c r="A248" s="8" t="str">
        <f>Elettricità!I248</f>
        <v>IT001E04171047</v>
      </c>
      <c r="B248" s="8" t="str">
        <f>Elettricità!A248</f>
        <v>005059958071.PDF</v>
      </c>
      <c r="C248" s="9">
        <f>Elettricità!E248</f>
        <v>45511</v>
      </c>
      <c r="D248" s="9">
        <f>Elettricità!K248</f>
        <v>45474</v>
      </c>
      <c r="E248" s="9">
        <f>Elettricità!L248</f>
        <v>45504</v>
      </c>
      <c r="F248" s="8">
        <f>Elettricità!M248</f>
        <v>89</v>
      </c>
      <c r="G248" s="8">
        <f>Elettricità!N248</f>
        <v>30</v>
      </c>
      <c r="H248" s="8">
        <f>Elettricità!O248</f>
        <v>20</v>
      </c>
      <c r="I248" s="8">
        <f>Elettricità!P248</f>
        <v>39</v>
      </c>
      <c r="J248" s="8">
        <f>Elettricità!Q248</f>
        <v>0</v>
      </c>
      <c r="K248" s="8">
        <f>Elettricità!R248</f>
        <v>0</v>
      </c>
      <c r="L248" s="8">
        <f>Elettricità!S248</f>
        <v>0</v>
      </c>
      <c r="M248" s="8">
        <f>Elettricità!T248</f>
        <v>0</v>
      </c>
      <c r="N248" s="8">
        <f>Elettricità!W248</f>
        <v>38.53</v>
      </c>
      <c r="O248" s="8">
        <f>Elettricità!X248</f>
        <v>47.01</v>
      </c>
      <c r="P248" s="8">
        <f>Elettricità!Y248</f>
        <v>0</v>
      </c>
      <c r="Q248" s="8">
        <f>Elettricità!Z248</f>
        <v>13.64</v>
      </c>
      <c r="R248" s="8">
        <f>Elettricità!AA248</f>
        <v>10.88</v>
      </c>
      <c r="S248" s="8">
        <f>Elettricità!AB248</f>
        <v>12.9</v>
      </c>
      <c r="T248" s="8">
        <f>Elettricità!AC248</f>
        <v>0</v>
      </c>
      <c r="U248" s="8">
        <f>Elettricità!AD248</f>
        <v>8.48</v>
      </c>
      <c r="V248" s="8">
        <f t="shared" si="52"/>
        <v>2024</v>
      </c>
      <c r="W248" s="8">
        <f>_xlfn.XLOOKUP(A248,Fabbricati!E:E,Fabbricati!D:D)</f>
        <v>382909739</v>
      </c>
      <c r="X248" s="9">
        <f t="shared" si="53"/>
        <v>45511</v>
      </c>
      <c r="Y248" s="9">
        <f t="shared" si="54"/>
        <v>45474</v>
      </c>
      <c r="Z248" s="9">
        <f t="shared" si="55"/>
        <v>45504</v>
      </c>
      <c r="AA248" s="8">
        <f t="shared" si="56"/>
        <v>31</v>
      </c>
      <c r="AB248" s="8">
        <f t="shared" si="57"/>
        <v>89</v>
      </c>
      <c r="AC248" s="12" t="s">
        <v>149</v>
      </c>
      <c r="AD248" s="11" t="str">
        <f t="shared" si="58"/>
        <v>30
20
39</v>
      </c>
      <c r="AE248" s="11" t="str">
        <f t="shared" si="59"/>
        <v>0
0
0</v>
      </c>
      <c r="AF248" s="11"/>
      <c r="AG248" s="11"/>
      <c r="AH248" s="8">
        <f t="shared" si="60"/>
        <v>23.78</v>
      </c>
      <c r="AI248" s="8">
        <f t="shared" si="61"/>
        <v>13.64</v>
      </c>
      <c r="AJ248" s="8">
        <f t="shared" si="62"/>
        <v>8.48</v>
      </c>
      <c r="AK248" s="8"/>
      <c r="AL248" s="8"/>
      <c r="AM248" s="8">
        <f t="shared" si="63"/>
        <v>0</v>
      </c>
      <c r="AN248" s="8">
        <f t="shared" si="64"/>
        <v>47.01</v>
      </c>
    </row>
    <row r="249" spans="1:40" ht="48" customHeight="1" x14ac:dyDescent="0.2">
      <c r="A249" s="8" t="str">
        <f>Elettricità!I249</f>
        <v>IT001E04171047</v>
      </c>
      <c r="B249" s="8" t="str">
        <f>Elettricità!A249</f>
        <v>005067307603.PDF</v>
      </c>
      <c r="C249" s="9">
        <f>Elettricità!E249</f>
        <v>45541</v>
      </c>
      <c r="D249" s="9">
        <f>Elettricità!K249</f>
        <v>45505</v>
      </c>
      <c r="E249" s="9">
        <f>Elettricità!L249</f>
        <v>45535</v>
      </c>
      <c r="F249" s="8">
        <f>Elettricità!M249</f>
        <v>373</v>
      </c>
      <c r="G249" s="8">
        <f>Elettricità!N249</f>
        <v>165</v>
      </c>
      <c r="H249" s="8">
        <f>Elettricità!O249</f>
        <v>76</v>
      </c>
      <c r="I249" s="8">
        <f>Elettricità!P249</f>
        <v>132</v>
      </c>
      <c r="J249" s="8">
        <f>Elettricità!Q249</f>
        <v>14</v>
      </c>
      <c r="K249" s="8">
        <f>Elettricità!R249</f>
        <v>6</v>
      </c>
      <c r="L249" s="8">
        <f>Elettricità!S249</f>
        <v>3</v>
      </c>
      <c r="M249" s="8">
        <f>Elettricità!T249</f>
        <v>5</v>
      </c>
      <c r="N249" s="8">
        <f>Elettricità!W249</f>
        <v>38.94</v>
      </c>
      <c r="O249" s="8">
        <f>Elettricità!X249</f>
        <v>47.51</v>
      </c>
      <c r="P249" s="8">
        <f>Elettricità!Y249</f>
        <v>0</v>
      </c>
      <c r="Q249" s="8">
        <f>Elettricità!Z249</f>
        <v>14.05</v>
      </c>
      <c r="R249" s="8">
        <f>Elettricità!AA249</f>
        <v>10.89</v>
      </c>
      <c r="S249" s="8">
        <f>Elettricità!AB249</f>
        <v>12.95</v>
      </c>
      <c r="T249" s="8">
        <f>Elettricità!AC249</f>
        <v>0</v>
      </c>
      <c r="U249" s="8">
        <f>Elettricità!AD249</f>
        <v>8.57</v>
      </c>
      <c r="V249" s="8">
        <f t="shared" si="52"/>
        <v>2024</v>
      </c>
      <c r="W249" s="8">
        <f>_xlfn.XLOOKUP(A249,Fabbricati!E:E,Fabbricati!D:D)</f>
        <v>382909739</v>
      </c>
      <c r="X249" s="9">
        <f t="shared" si="53"/>
        <v>45541</v>
      </c>
      <c r="Y249" s="9">
        <f t="shared" si="54"/>
        <v>45505</v>
      </c>
      <c r="Z249" s="9">
        <f t="shared" si="55"/>
        <v>45535</v>
      </c>
      <c r="AA249" s="8">
        <f t="shared" si="56"/>
        <v>31</v>
      </c>
      <c r="AB249" s="8">
        <f t="shared" si="57"/>
        <v>373</v>
      </c>
      <c r="AC249" s="12" t="s">
        <v>149</v>
      </c>
      <c r="AD249" s="11" t="str">
        <f t="shared" si="58"/>
        <v>165
76
132</v>
      </c>
      <c r="AE249" s="11" t="str">
        <f t="shared" si="59"/>
        <v>6
3
5</v>
      </c>
      <c r="AF249" s="11"/>
      <c r="AG249" s="11"/>
      <c r="AH249" s="8">
        <f t="shared" si="60"/>
        <v>23.84</v>
      </c>
      <c r="AI249" s="8">
        <f t="shared" si="61"/>
        <v>14.05</v>
      </c>
      <c r="AJ249" s="8">
        <f t="shared" si="62"/>
        <v>8.57</v>
      </c>
      <c r="AK249" s="8"/>
      <c r="AL249" s="8"/>
      <c r="AM249" s="8">
        <f t="shared" si="63"/>
        <v>0</v>
      </c>
      <c r="AN249" s="8">
        <f t="shared" si="64"/>
        <v>47.51</v>
      </c>
    </row>
    <row r="250" spans="1:40" ht="48" customHeight="1" x14ac:dyDescent="0.2">
      <c r="A250" s="8" t="str">
        <f>Elettricità!I250</f>
        <v>IT001E04171047</v>
      </c>
      <c r="B250" s="8" t="str">
        <f>Elettricità!A250</f>
        <v>005076347782.PDF</v>
      </c>
      <c r="C250" s="9">
        <f>Elettricità!E250</f>
        <v>45571</v>
      </c>
      <c r="D250" s="9">
        <f>Elettricità!K250</f>
        <v>45536</v>
      </c>
      <c r="E250" s="9">
        <f>Elettricità!L250</f>
        <v>45565</v>
      </c>
      <c r="F250" s="8">
        <f>Elettricità!M250</f>
        <v>54</v>
      </c>
      <c r="G250" s="8">
        <f>Elettricità!N250</f>
        <v>27</v>
      </c>
      <c r="H250" s="8">
        <f>Elettricità!O250</f>
        <v>11</v>
      </c>
      <c r="I250" s="8">
        <f>Elettricità!P250</f>
        <v>16</v>
      </c>
      <c r="J250" s="8">
        <f>Elettricità!Q250</f>
        <v>0</v>
      </c>
      <c r="K250" s="8">
        <f>Elettricità!R250</f>
        <v>0</v>
      </c>
      <c r="L250" s="8">
        <f>Elettricità!S250</f>
        <v>0</v>
      </c>
      <c r="M250" s="8">
        <f>Elettricità!T250</f>
        <v>0</v>
      </c>
      <c r="N250" s="8">
        <f>Elettricità!W250</f>
        <v>30.35</v>
      </c>
      <c r="O250" s="8">
        <f>Elettricità!X250</f>
        <v>37.03</v>
      </c>
      <c r="P250" s="8">
        <f>Elettricità!Y250</f>
        <v>0</v>
      </c>
      <c r="Q250" s="8">
        <f>Elettricità!Z250</f>
        <v>8.0299999999999994</v>
      </c>
      <c r="R250" s="8">
        <f>Elettricità!AA250</f>
        <v>10.43</v>
      </c>
      <c r="S250" s="8">
        <f>Elettricità!AB250</f>
        <v>11.21</v>
      </c>
      <c r="T250" s="8">
        <f>Elettricità!AC250</f>
        <v>0</v>
      </c>
      <c r="U250" s="8">
        <f>Elettricità!AD250</f>
        <v>6.68</v>
      </c>
      <c r="V250" s="8">
        <f t="shared" si="52"/>
        <v>2024</v>
      </c>
      <c r="W250" s="8">
        <f>_xlfn.XLOOKUP(A250,Fabbricati!E:E,Fabbricati!D:D)</f>
        <v>382909739</v>
      </c>
      <c r="X250" s="9">
        <f t="shared" si="53"/>
        <v>45571</v>
      </c>
      <c r="Y250" s="9">
        <f t="shared" si="54"/>
        <v>45536</v>
      </c>
      <c r="Z250" s="9">
        <f t="shared" si="55"/>
        <v>45565</v>
      </c>
      <c r="AA250" s="8">
        <f t="shared" si="56"/>
        <v>30</v>
      </c>
      <c r="AB250" s="8">
        <f t="shared" si="57"/>
        <v>54</v>
      </c>
      <c r="AC250" s="12" t="s">
        <v>149</v>
      </c>
      <c r="AD250" s="11" t="str">
        <f t="shared" si="58"/>
        <v>27
11
16</v>
      </c>
      <c r="AE250" s="11" t="str">
        <f t="shared" si="59"/>
        <v>0
0
0</v>
      </c>
      <c r="AF250" s="11"/>
      <c r="AG250" s="11"/>
      <c r="AH250" s="8">
        <f t="shared" si="60"/>
        <v>21.64</v>
      </c>
      <c r="AI250" s="8">
        <f t="shared" si="61"/>
        <v>8.0299999999999994</v>
      </c>
      <c r="AJ250" s="8">
        <f t="shared" si="62"/>
        <v>6.68</v>
      </c>
      <c r="AK250" s="8"/>
      <c r="AL250" s="8"/>
      <c r="AM250" s="8">
        <f t="shared" si="63"/>
        <v>0</v>
      </c>
      <c r="AN250" s="8">
        <f t="shared" si="64"/>
        <v>37.03</v>
      </c>
    </row>
    <row r="251" spans="1:40" ht="48" customHeight="1" x14ac:dyDescent="0.2">
      <c r="A251" s="8" t="str">
        <f>Elettricità!I251</f>
        <v>IT001E04171047</v>
      </c>
      <c r="B251" s="8" t="str">
        <f>Elettricità!A251</f>
        <v>005085485038.PDF</v>
      </c>
      <c r="C251" s="9">
        <f>Elettricità!E251</f>
        <v>45604</v>
      </c>
      <c r="D251" s="9">
        <f>Elettricità!K251</f>
        <v>45566</v>
      </c>
      <c r="E251" s="9">
        <f>Elettricità!L251</f>
        <v>45596</v>
      </c>
      <c r="F251" s="8">
        <f>Elettricità!M251</f>
        <v>64</v>
      </c>
      <c r="G251" s="8">
        <f>Elettricità!N251</f>
        <v>38</v>
      </c>
      <c r="H251" s="8">
        <f>Elettricità!O251</f>
        <v>10</v>
      </c>
      <c r="I251" s="8">
        <f>Elettricità!P251</f>
        <v>16</v>
      </c>
      <c r="J251" s="8">
        <f>Elettricità!Q251</f>
        <v>0</v>
      </c>
      <c r="K251" s="8">
        <f>Elettricità!R251</f>
        <v>0</v>
      </c>
      <c r="L251" s="8">
        <f>Elettricità!S251</f>
        <v>0</v>
      </c>
      <c r="M251" s="8">
        <f>Elettricità!T251</f>
        <v>0</v>
      </c>
      <c r="N251" s="8">
        <f>Elettricità!W251</f>
        <v>32.71</v>
      </c>
      <c r="O251" s="8">
        <f>Elettricità!X251</f>
        <v>39.909999999999997</v>
      </c>
      <c r="P251" s="8">
        <f>Elettricità!Y251</f>
        <v>0</v>
      </c>
      <c r="Q251" s="8">
        <f>Elettricità!Z251</f>
        <v>9.66</v>
      </c>
      <c r="R251" s="8">
        <f>Elettricità!AA251</f>
        <v>10.55</v>
      </c>
      <c r="S251" s="8">
        <f>Elettricità!AB251</f>
        <v>11.7</v>
      </c>
      <c r="T251" s="8">
        <f>Elettricità!AC251</f>
        <v>0</v>
      </c>
      <c r="U251" s="8">
        <f>Elettricità!AD251</f>
        <v>7.2</v>
      </c>
      <c r="V251" s="8">
        <f t="shared" si="52"/>
        <v>2024</v>
      </c>
      <c r="W251" s="8">
        <f>_xlfn.XLOOKUP(A251,Fabbricati!E:E,Fabbricati!D:D)</f>
        <v>382909739</v>
      </c>
      <c r="X251" s="9">
        <f t="shared" si="53"/>
        <v>45604</v>
      </c>
      <c r="Y251" s="9">
        <f t="shared" si="54"/>
        <v>45566</v>
      </c>
      <c r="Z251" s="9">
        <f t="shared" si="55"/>
        <v>45596</v>
      </c>
      <c r="AA251" s="8">
        <f t="shared" si="56"/>
        <v>31</v>
      </c>
      <c r="AB251" s="8">
        <f t="shared" si="57"/>
        <v>64</v>
      </c>
      <c r="AC251" s="12" t="s">
        <v>149</v>
      </c>
      <c r="AD251" s="11" t="str">
        <f t="shared" si="58"/>
        <v>38
10
16</v>
      </c>
      <c r="AE251" s="11" t="str">
        <f t="shared" si="59"/>
        <v>0
0
0</v>
      </c>
      <c r="AF251" s="11"/>
      <c r="AG251" s="11"/>
      <c r="AH251" s="8">
        <f t="shared" si="60"/>
        <v>22.25</v>
      </c>
      <c r="AI251" s="8">
        <f t="shared" si="61"/>
        <v>9.66</v>
      </c>
      <c r="AJ251" s="8">
        <f t="shared" si="62"/>
        <v>7.2</v>
      </c>
      <c r="AK251" s="8"/>
      <c r="AL251" s="8"/>
      <c r="AM251" s="8">
        <f t="shared" si="63"/>
        <v>0</v>
      </c>
      <c r="AN251" s="8">
        <f t="shared" si="64"/>
        <v>39.909999999999997</v>
      </c>
    </row>
    <row r="252" spans="1:40" ht="48" customHeight="1" x14ac:dyDescent="0.2">
      <c r="A252" s="8" t="str">
        <f>Elettricità!I252</f>
        <v>IT001E04171047</v>
      </c>
      <c r="B252" s="8" t="str">
        <f>Elettricità!A252</f>
        <v>005093369272.PDF</v>
      </c>
      <c r="C252" s="9">
        <f>Elettricità!E252</f>
        <v>45632</v>
      </c>
      <c r="D252" s="9">
        <f>Elettricità!K252</f>
        <v>45597</v>
      </c>
      <c r="E252" s="9">
        <f>Elettricità!L252</f>
        <v>45626</v>
      </c>
      <c r="F252" s="8">
        <f>Elettricità!M252</f>
        <v>71</v>
      </c>
      <c r="G252" s="8">
        <f>Elettricità!N252</f>
        <v>41</v>
      </c>
      <c r="H252" s="8">
        <f>Elettricità!O252</f>
        <v>11</v>
      </c>
      <c r="I252" s="8">
        <f>Elettricità!P252</f>
        <v>19</v>
      </c>
      <c r="J252" s="8">
        <f>Elettricità!Q252</f>
        <v>0</v>
      </c>
      <c r="K252" s="8">
        <f>Elettricità!R252</f>
        <v>0</v>
      </c>
      <c r="L252" s="8">
        <f>Elettricità!S252</f>
        <v>0</v>
      </c>
      <c r="M252" s="8">
        <f>Elettricità!T252</f>
        <v>0</v>
      </c>
      <c r="N252" s="8">
        <f>Elettricità!W252</f>
        <v>35.54</v>
      </c>
      <c r="O252" s="8">
        <f>Elettricità!X252</f>
        <v>43.36</v>
      </c>
      <c r="P252" s="8">
        <f>Elettricità!Y252</f>
        <v>0</v>
      </c>
      <c r="Q252" s="8">
        <f>Elettricità!Z252</f>
        <v>11.96</v>
      </c>
      <c r="R252" s="8">
        <f>Elettricità!AA252</f>
        <v>10.65</v>
      </c>
      <c r="S252" s="8">
        <f>Elettricità!AB252</f>
        <v>12.04</v>
      </c>
      <c r="T252" s="8">
        <f>Elettricità!AC252</f>
        <v>0</v>
      </c>
      <c r="U252" s="8">
        <f>Elettricità!AD252</f>
        <v>7.82</v>
      </c>
      <c r="V252" s="8">
        <f t="shared" si="52"/>
        <v>2024</v>
      </c>
      <c r="W252" s="8">
        <f>_xlfn.XLOOKUP(A252,Fabbricati!E:E,Fabbricati!D:D)</f>
        <v>382909739</v>
      </c>
      <c r="X252" s="9">
        <f t="shared" si="53"/>
        <v>45632</v>
      </c>
      <c r="Y252" s="9">
        <f t="shared" si="54"/>
        <v>45597</v>
      </c>
      <c r="Z252" s="9">
        <f t="shared" si="55"/>
        <v>45626</v>
      </c>
      <c r="AA252" s="8">
        <f t="shared" si="56"/>
        <v>30</v>
      </c>
      <c r="AB252" s="8">
        <f t="shared" si="57"/>
        <v>71</v>
      </c>
      <c r="AC252" s="12" t="s">
        <v>149</v>
      </c>
      <c r="AD252" s="11" t="str">
        <f t="shared" si="58"/>
        <v>41
11
19</v>
      </c>
      <c r="AE252" s="11" t="str">
        <f t="shared" si="59"/>
        <v>0
0
0</v>
      </c>
      <c r="AF252" s="11"/>
      <c r="AG252" s="11"/>
      <c r="AH252" s="8">
        <f t="shared" si="60"/>
        <v>22.689999999999998</v>
      </c>
      <c r="AI252" s="8">
        <f t="shared" si="61"/>
        <v>11.96</v>
      </c>
      <c r="AJ252" s="8">
        <f t="shared" si="62"/>
        <v>7.82</v>
      </c>
      <c r="AK252" s="8"/>
      <c r="AL252" s="8"/>
      <c r="AM252" s="8">
        <f t="shared" si="63"/>
        <v>0</v>
      </c>
      <c r="AN252" s="8">
        <f t="shared" si="64"/>
        <v>43.36</v>
      </c>
    </row>
    <row r="253" spans="1:40" ht="48" customHeight="1" x14ac:dyDescent="0.2">
      <c r="A253" s="8" t="str">
        <f>Elettricità!I253</f>
        <v>IT001E04171047</v>
      </c>
      <c r="B253" s="8" t="str">
        <f>Elettricità!A253</f>
        <v>005200218685.PDF</v>
      </c>
      <c r="C253" s="9">
        <f>Elettricità!E253</f>
        <v>45665</v>
      </c>
      <c r="D253" s="9">
        <f>Elettricità!K253</f>
        <v>45627</v>
      </c>
      <c r="E253" s="9">
        <f>Elettricità!L253</f>
        <v>45657</v>
      </c>
      <c r="F253" s="8">
        <f>Elettricità!M253</f>
        <v>71</v>
      </c>
      <c r="G253" s="8">
        <f>Elettricità!N253</f>
        <v>39</v>
      </c>
      <c r="H253" s="8">
        <f>Elettricità!O253</f>
        <v>10</v>
      </c>
      <c r="I253" s="8">
        <f>Elettricità!P253</f>
        <v>22</v>
      </c>
      <c r="J253" s="8">
        <f>Elettricità!Q253</f>
        <v>0</v>
      </c>
      <c r="K253" s="8">
        <f>Elettricità!R253</f>
        <v>0</v>
      </c>
      <c r="L253" s="8">
        <f>Elettricità!S253</f>
        <v>0</v>
      </c>
      <c r="M253" s="8">
        <f>Elettricità!T253</f>
        <v>0</v>
      </c>
      <c r="N253" s="8">
        <f>Elettricità!W253</f>
        <v>36.44</v>
      </c>
      <c r="O253" s="8">
        <f>Elettricità!X253</f>
        <v>44.46</v>
      </c>
      <c r="P253" s="8">
        <f>Elettricità!Y253</f>
        <v>0</v>
      </c>
      <c r="Q253" s="8">
        <f>Elettricità!Z253</f>
        <v>12.86</v>
      </c>
      <c r="R253" s="8">
        <f>Elettricità!AA253</f>
        <v>10.65</v>
      </c>
      <c r="S253" s="8">
        <f>Elettricità!AB253</f>
        <v>12.04</v>
      </c>
      <c r="T253" s="8">
        <f>Elettricità!AC253</f>
        <v>0</v>
      </c>
      <c r="U253" s="8">
        <f>Elettricità!AD253</f>
        <v>8.02</v>
      </c>
      <c r="V253" s="8">
        <f t="shared" si="52"/>
        <v>2024</v>
      </c>
      <c r="W253" s="8">
        <f>_xlfn.XLOOKUP(A253,Fabbricati!E:E,Fabbricati!D:D)</f>
        <v>382909739</v>
      </c>
      <c r="X253" s="9">
        <f t="shared" si="53"/>
        <v>45665</v>
      </c>
      <c r="Y253" s="9">
        <f t="shared" si="54"/>
        <v>45627</v>
      </c>
      <c r="Z253" s="9">
        <f t="shared" si="55"/>
        <v>45657</v>
      </c>
      <c r="AA253" s="8">
        <f t="shared" si="56"/>
        <v>31</v>
      </c>
      <c r="AB253" s="8">
        <f t="shared" si="57"/>
        <v>71</v>
      </c>
      <c r="AC253" s="12" t="s">
        <v>149</v>
      </c>
      <c r="AD253" s="11" t="str">
        <f t="shared" si="58"/>
        <v>39
10
22</v>
      </c>
      <c r="AE253" s="11" t="str">
        <f t="shared" si="59"/>
        <v>0
0
0</v>
      </c>
      <c r="AF253" s="11"/>
      <c r="AG253" s="11"/>
      <c r="AH253" s="8">
        <f t="shared" si="60"/>
        <v>22.689999999999998</v>
      </c>
      <c r="AI253" s="8">
        <f t="shared" si="61"/>
        <v>12.86</v>
      </c>
      <c r="AJ253" s="8">
        <f t="shared" si="62"/>
        <v>8.02</v>
      </c>
      <c r="AK253" s="8"/>
      <c r="AL253" s="8"/>
      <c r="AM253" s="8">
        <f t="shared" si="63"/>
        <v>0</v>
      </c>
      <c r="AN253" s="8">
        <f t="shared" si="64"/>
        <v>44.46</v>
      </c>
    </row>
    <row r="254" spans="1:40" ht="48" customHeight="1" x14ac:dyDescent="0.2">
      <c r="A254" s="8" t="str">
        <f>Elettricità!I254</f>
        <v>IT001E04171050</v>
      </c>
      <c r="B254" s="8" t="str">
        <f>Elettricità!A254</f>
        <v>824500045414_2024_d.pdf</v>
      </c>
      <c r="C254" s="9">
        <f>Elettricità!E254</f>
        <v>45350</v>
      </c>
      <c r="D254" s="9">
        <f>Elettricità!K254</f>
        <v>45292</v>
      </c>
      <c r="E254" s="9">
        <f>Elettricità!L254</f>
        <v>45322</v>
      </c>
      <c r="F254" s="8">
        <f>Elettricità!M254</f>
        <v>221</v>
      </c>
      <c r="G254" s="8">
        <f>Elettricità!N254</f>
        <v>31</v>
      </c>
      <c r="H254" s="8">
        <f>Elettricità!O254</f>
        <v>59</v>
      </c>
      <c r="I254" s="8">
        <f>Elettricità!P254</f>
        <v>131</v>
      </c>
      <c r="J254" s="8">
        <f>Elettricità!Q254</f>
        <v>206</v>
      </c>
      <c r="K254" s="8">
        <f>Elettricità!R254</f>
        <v>22</v>
      </c>
      <c r="L254" s="8">
        <f>Elettricità!S254</f>
        <v>54</v>
      </c>
      <c r="M254" s="8">
        <f>Elettricità!T254</f>
        <v>130</v>
      </c>
      <c r="N254" s="8">
        <f>Elettricità!W254</f>
        <v>66.66</v>
      </c>
      <c r="O254" s="8">
        <f>Elettricità!X254</f>
        <v>81.33</v>
      </c>
      <c r="P254" s="8">
        <f>Elettricità!Y254</f>
        <v>0</v>
      </c>
      <c r="Q254" s="8">
        <f>Elettricità!Z254</f>
        <v>33.68</v>
      </c>
      <c r="R254" s="8">
        <f>Elettricità!AA254</f>
        <v>12.57</v>
      </c>
      <c r="S254" s="8">
        <f>Elettricità!AB254</f>
        <v>16.54</v>
      </c>
      <c r="T254" s="8">
        <f>Elettricità!AC254</f>
        <v>1.1100000000000001</v>
      </c>
      <c r="U254" s="8">
        <f>Elettricità!AD254</f>
        <v>2.76</v>
      </c>
      <c r="V254" s="8">
        <f t="shared" si="52"/>
        <v>2024</v>
      </c>
      <c r="W254" s="8">
        <f>_xlfn.XLOOKUP(A254,Fabbricati!E:E,Fabbricati!D:D)</f>
        <v>382921101</v>
      </c>
      <c r="X254" s="9">
        <f t="shared" si="53"/>
        <v>45350</v>
      </c>
      <c r="Y254" s="9">
        <f t="shared" si="54"/>
        <v>45292</v>
      </c>
      <c r="Z254" s="9">
        <f t="shared" si="55"/>
        <v>45322</v>
      </c>
      <c r="AA254" s="8">
        <f t="shared" si="56"/>
        <v>31</v>
      </c>
      <c r="AB254" s="8">
        <f t="shared" si="57"/>
        <v>221</v>
      </c>
      <c r="AC254" s="12" t="s">
        <v>149</v>
      </c>
      <c r="AD254" s="11" t="str">
        <f t="shared" si="58"/>
        <v>31
59
131</v>
      </c>
      <c r="AE254" s="11" t="str">
        <f t="shared" si="59"/>
        <v>22
54
130</v>
      </c>
      <c r="AF254" s="11"/>
      <c r="AG254" s="11"/>
      <c r="AH254" s="8">
        <f t="shared" si="60"/>
        <v>29.11</v>
      </c>
      <c r="AI254" s="8">
        <f t="shared" si="61"/>
        <v>33.68</v>
      </c>
      <c r="AJ254" s="8">
        <f t="shared" si="62"/>
        <v>2.76</v>
      </c>
      <c r="AK254" s="8"/>
      <c r="AL254" s="8"/>
      <c r="AM254" s="8">
        <f t="shared" si="63"/>
        <v>1.1100000000000001</v>
      </c>
      <c r="AN254" s="8">
        <f t="shared" si="64"/>
        <v>81.33</v>
      </c>
    </row>
    <row r="255" spans="1:40" ht="48" customHeight="1" x14ac:dyDescent="0.2">
      <c r="A255" s="8" t="str">
        <f>Elettricità!I255</f>
        <v>IT001E04171050</v>
      </c>
      <c r="B255" s="8" t="str">
        <f>Elettricità!A255</f>
        <v>005018359685.pdf</v>
      </c>
      <c r="C255" s="9">
        <f>Elettricità!E255</f>
        <v>45358</v>
      </c>
      <c r="D255" s="9">
        <f>Elettricità!K255</f>
        <v>45323</v>
      </c>
      <c r="E255" s="9">
        <f>Elettricità!L255</f>
        <v>45351</v>
      </c>
      <c r="F255" s="8">
        <f>Elettricità!M255</f>
        <v>187</v>
      </c>
      <c r="G255" s="8">
        <f>Elettricità!N255</f>
        <v>23</v>
      </c>
      <c r="H255" s="8">
        <f>Elettricità!O255</f>
        <v>52</v>
      </c>
      <c r="I255" s="8">
        <f>Elettricità!P255</f>
        <v>112</v>
      </c>
      <c r="J255" s="8">
        <f>Elettricità!Q255</f>
        <v>177</v>
      </c>
      <c r="K255" s="8">
        <f>Elettricità!R255</f>
        <v>15</v>
      </c>
      <c r="L255" s="8">
        <f>Elettricità!S255</f>
        <v>49</v>
      </c>
      <c r="M255" s="8">
        <f>Elettricità!T255</f>
        <v>113</v>
      </c>
      <c r="N255" s="8">
        <f>Elettricità!W255</f>
        <v>51.11</v>
      </c>
      <c r="O255" s="8">
        <f>Elettricità!X255</f>
        <v>62.35</v>
      </c>
      <c r="P255" s="8">
        <f>Elettricità!Y255</f>
        <v>0</v>
      </c>
      <c r="Q255" s="8">
        <f>Elettricità!Z255</f>
        <v>21.5</v>
      </c>
      <c r="R255" s="8">
        <f>Elettricità!AA255</f>
        <v>12.13</v>
      </c>
      <c r="S255" s="8">
        <f>Elettricità!AB255</f>
        <v>15.14</v>
      </c>
      <c r="T255" s="8">
        <f>Elettricità!AC255</f>
        <v>0</v>
      </c>
      <c r="U255" s="8">
        <f>Elettricità!AD255</f>
        <v>11.24</v>
      </c>
      <c r="V255" s="8">
        <f t="shared" si="52"/>
        <v>2024</v>
      </c>
      <c r="W255" s="8">
        <f>_xlfn.XLOOKUP(A255,Fabbricati!E:E,Fabbricati!D:D)</f>
        <v>382921101</v>
      </c>
      <c r="X255" s="9">
        <f t="shared" si="53"/>
        <v>45358</v>
      </c>
      <c r="Y255" s="9">
        <f t="shared" si="54"/>
        <v>45323</v>
      </c>
      <c r="Z255" s="9">
        <f t="shared" si="55"/>
        <v>45351</v>
      </c>
      <c r="AA255" s="8">
        <f t="shared" si="56"/>
        <v>29</v>
      </c>
      <c r="AB255" s="8">
        <f t="shared" si="57"/>
        <v>187</v>
      </c>
      <c r="AC255" s="12" t="s">
        <v>149</v>
      </c>
      <c r="AD255" s="11" t="str">
        <f t="shared" si="58"/>
        <v>23
52
112</v>
      </c>
      <c r="AE255" s="11" t="str">
        <f t="shared" si="59"/>
        <v>15
49
113</v>
      </c>
      <c r="AF255" s="11"/>
      <c r="AG255" s="11"/>
      <c r="AH255" s="8">
        <f t="shared" si="60"/>
        <v>27.270000000000003</v>
      </c>
      <c r="AI255" s="8">
        <f t="shared" si="61"/>
        <v>21.5</v>
      </c>
      <c r="AJ255" s="8">
        <f t="shared" si="62"/>
        <v>11.24</v>
      </c>
      <c r="AK255" s="8"/>
      <c r="AL255" s="8"/>
      <c r="AM255" s="8">
        <f t="shared" si="63"/>
        <v>0</v>
      </c>
      <c r="AN255" s="8">
        <f t="shared" si="64"/>
        <v>62.35</v>
      </c>
    </row>
    <row r="256" spans="1:40" ht="48" customHeight="1" x14ac:dyDescent="0.2">
      <c r="A256" s="8" t="str">
        <f>Elettricità!I256</f>
        <v>IT001E04171050</v>
      </c>
      <c r="B256" s="8" t="str">
        <f>Elettricità!A256</f>
        <v>005026659968.pdf</v>
      </c>
      <c r="C256" s="9">
        <f>Elettricità!E256</f>
        <v>45390</v>
      </c>
      <c r="D256" s="9">
        <f>Elettricità!K256</f>
        <v>45352</v>
      </c>
      <c r="E256" s="9">
        <f>Elettricità!L256</f>
        <v>45382</v>
      </c>
      <c r="F256" s="8">
        <f>Elettricità!M256</f>
        <v>178</v>
      </c>
      <c r="G256" s="8">
        <f>Elettricità!N256</f>
        <v>17</v>
      </c>
      <c r="H256" s="8">
        <f>Elettricità!O256</f>
        <v>52</v>
      </c>
      <c r="I256" s="8">
        <f>Elettricità!P256</f>
        <v>109</v>
      </c>
      <c r="J256" s="8">
        <f>Elettricità!Q256</f>
        <v>169</v>
      </c>
      <c r="K256" s="8">
        <f>Elettricità!R256</f>
        <v>9</v>
      </c>
      <c r="L256" s="8">
        <f>Elettricità!S256</f>
        <v>49</v>
      </c>
      <c r="M256" s="8">
        <f>Elettricità!T256</f>
        <v>111</v>
      </c>
      <c r="N256" s="8">
        <f>Elettricità!W256</f>
        <v>49.19</v>
      </c>
      <c r="O256" s="8">
        <f>Elettricità!X256</f>
        <v>60.01</v>
      </c>
      <c r="P256" s="8">
        <f>Elettricità!Y256</f>
        <v>0</v>
      </c>
      <c r="Q256" s="8">
        <f>Elettricità!Z256</f>
        <v>20.170000000000002</v>
      </c>
      <c r="R256" s="8">
        <f>Elettricità!AA256</f>
        <v>12.02</v>
      </c>
      <c r="S256" s="8">
        <f>Elettricità!AB256</f>
        <v>14.77</v>
      </c>
      <c r="T256" s="8">
        <f>Elettricità!AC256</f>
        <v>0</v>
      </c>
      <c r="U256" s="8">
        <f>Elettricità!AD256</f>
        <v>10.82</v>
      </c>
      <c r="V256" s="8">
        <f t="shared" si="52"/>
        <v>2024</v>
      </c>
      <c r="W256" s="8">
        <f>_xlfn.XLOOKUP(A256,Fabbricati!E:E,Fabbricati!D:D)</f>
        <v>382921101</v>
      </c>
      <c r="X256" s="9">
        <f t="shared" si="53"/>
        <v>45390</v>
      </c>
      <c r="Y256" s="9">
        <f t="shared" si="54"/>
        <v>45352</v>
      </c>
      <c r="Z256" s="9">
        <f t="shared" si="55"/>
        <v>45382</v>
      </c>
      <c r="AA256" s="8">
        <f t="shared" si="56"/>
        <v>31</v>
      </c>
      <c r="AB256" s="8">
        <f t="shared" si="57"/>
        <v>178</v>
      </c>
      <c r="AC256" s="12" t="s">
        <v>149</v>
      </c>
      <c r="AD256" s="11" t="str">
        <f t="shared" si="58"/>
        <v>17
52
109</v>
      </c>
      <c r="AE256" s="11" t="str">
        <f t="shared" si="59"/>
        <v>9
49
111</v>
      </c>
      <c r="AF256" s="11"/>
      <c r="AG256" s="11"/>
      <c r="AH256" s="8">
        <f t="shared" si="60"/>
        <v>26.79</v>
      </c>
      <c r="AI256" s="8">
        <f t="shared" si="61"/>
        <v>20.170000000000002</v>
      </c>
      <c r="AJ256" s="8">
        <f t="shared" si="62"/>
        <v>10.82</v>
      </c>
      <c r="AK256" s="8"/>
      <c r="AL256" s="8"/>
      <c r="AM256" s="8">
        <f t="shared" si="63"/>
        <v>0</v>
      </c>
      <c r="AN256" s="8">
        <f t="shared" si="64"/>
        <v>60.01</v>
      </c>
    </row>
    <row r="257" spans="1:40" ht="48" customHeight="1" x14ac:dyDescent="0.2">
      <c r="A257" s="8" t="str">
        <f>Elettricità!I257</f>
        <v>IT001E04171050</v>
      </c>
      <c r="B257" s="8" t="str">
        <f>Elettricità!A257</f>
        <v>005041953254(1).pdf</v>
      </c>
      <c r="C257" s="9">
        <f>Elettricità!E257</f>
        <v>45424</v>
      </c>
      <c r="D257" s="9">
        <f>Elettricità!K257</f>
        <v>45383</v>
      </c>
      <c r="E257" s="9">
        <f>Elettricità!L257</f>
        <v>45412</v>
      </c>
      <c r="F257" s="8">
        <f>Elettricità!M257</f>
        <v>149</v>
      </c>
      <c r="G257" s="8">
        <f>Elettricità!N257</f>
        <v>9</v>
      </c>
      <c r="H257" s="8">
        <f>Elettricità!O257</f>
        <v>34</v>
      </c>
      <c r="I257" s="8">
        <f>Elettricità!P257</f>
        <v>106</v>
      </c>
      <c r="J257" s="8">
        <f>Elettricità!Q257</f>
        <v>0</v>
      </c>
      <c r="K257" s="8">
        <f>Elettricità!R257</f>
        <v>0</v>
      </c>
      <c r="L257" s="8">
        <f>Elettricità!S257</f>
        <v>0</v>
      </c>
      <c r="M257" s="8">
        <f>Elettricità!T257</f>
        <v>0</v>
      </c>
      <c r="N257" s="8">
        <f>Elettricità!W257</f>
        <v>45.8</v>
      </c>
      <c r="O257" s="8">
        <f>Elettricità!X257</f>
        <v>55.88</v>
      </c>
      <c r="P257" s="8">
        <f>Elettricità!Y257</f>
        <v>0</v>
      </c>
      <c r="Q257" s="8">
        <f>Elettricità!Z257</f>
        <v>16.510000000000002</v>
      </c>
      <c r="R257" s="8">
        <f>Elettricità!AA257</f>
        <v>11.64</v>
      </c>
      <c r="S257" s="8">
        <f>Elettricità!AB257</f>
        <v>15.79</v>
      </c>
      <c r="T257" s="8">
        <f>Elettricità!AC257</f>
        <v>0</v>
      </c>
      <c r="U257" s="8">
        <f>Elettricità!AD257</f>
        <v>10.08</v>
      </c>
      <c r="V257" s="8">
        <f t="shared" si="52"/>
        <v>2024</v>
      </c>
      <c r="W257" s="8">
        <f>_xlfn.XLOOKUP(A257,Fabbricati!E:E,Fabbricati!D:D)</f>
        <v>382921101</v>
      </c>
      <c r="X257" s="9">
        <f t="shared" si="53"/>
        <v>45424</v>
      </c>
      <c r="Y257" s="9">
        <f t="shared" si="54"/>
        <v>45383</v>
      </c>
      <c r="Z257" s="9">
        <f t="shared" si="55"/>
        <v>45412</v>
      </c>
      <c r="AA257" s="8">
        <f t="shared" si="56"/>
        <v>30</v>
      </c>
      <c r="AB257" s="8">
        <f t="shared" si="57"/>
        <v>149</v>
      </c>
      <c r="AC257" s="12" t="s">
        <v>149</v>
      </c>
      <c r="AD257" s="11" t="str">
        <f t="shared" si="58"/>
        <v>9
34
106</v>
      </c>
      <c r="AE257" s="11" t="str">
        <f t="shared" si="59"/>
        <v>0
0
0</v>
      </c>
      <c r="AF257" s="11"/>
      <c r="AG257" s="11"/>
      <c r="AH257" s="8">
        <f t="shared" si="60"/>
        <v>27.43</v>
      </c>
      <c r="AI257" s="8">
        <f t="shared" si="61"/>
        <v>16.510000000000002</v>
      </c>
      <c r="AJ257" s="8">
        <f t="shared" si="62"/>
        <v>10.08</v>
      </c>
      <c r="AK257" s="8"/>
      <c r="AL257" s="8"/>
      <c r="AM257" s="8">
        <f t="shared" si="63"/>
        <v>0</v>
      </c>
      <c r="AN257" s="8">
        <f t="shared" si="64"/>
        <v>55.88</v>
      </c>
    </row>
    <row r="258" spans="1:40" ht="48" customHeight="1" x14ac:dyDescent="0.2">
      <c r="A258" s="8" t="str">
        <f>Elettricità!I258</f>
        <v>IT001E04171050</v>
      </c>
      <c r="B258" s="8" t="str">
        <f>Elettricità!A258</f>
        <v>005043663104.PDF</v>
      </c>
      <c r="C258" s="9">
        <f>Elettricità!E258</f>
        <v>45449</v>
      </c>
      <c r="D258" s="9">
        <f>Elettricità!K258</f>
        <v>45383</v>
      </c>
      <c r="E258" s="9">
        <f>Elettricità!L258</f>
        <v>45414</v>
      </c>
      <c r="F258" s="8">
        <f>Elettricità!M258</f>
        <v>289</v>
      </c>
      <c r="G258" s="8">
        <f>Elettricità!N258</f>
        <v>19</v>
      </c>
      <c r="H258" s="8">
        <f>Elettricità!O258</f>
        <v>66</v>
      </c>
      <c r="I258" s="8">
        <f>Elettricità!P258</f>
        <v>204</v>
      </c>
      <c r="J258" s="8">
        <f>Elettricità!Q258</f>
        <v>275</v>
      </c>
      <c r="K258" s="8">
        <f>Elettricità!R258</f>
        <v>4</v>
      </c>
      <c r="L258" s="8">
        <f>Elettricità!S258</f>
        <v>62</v>
      </c>
      <c r="M258" s="8">
        <f>Elettricità!T258</f>
        <v>209</v>
      </c>
      <c r="N258" s="8">
        <f>Elettricità!W258</f>
        <v>45.22</v>
      </c>
      <c r="O258" s="8">
        <f>Elettricità!X258</f>
        <v>55.17</v>
      </c>
      <c r="P258" s="8">
        <f>Elettricità!Y258</f>
        <v>0</v>
      </c>
      <c r="Q258" s="8">
        <f>Elettricità!Z258</f>
        <v>16.57</v>
      </c>
      <c r="R258" s="8">
        <f>Elettricità!AA258</f>
        <v>11.55</v>
      </c>
      <c r="S258" s="8">
        <f>Elettricità!AB258</f>
        <v>15.34</v>
      </c>
      <c r="T258" s="8">
        <f>Elettricità!AC258</f>
        <v>0</v>
      </c>
      <c r="U258" s="8">
        <f>Elettricità!AD258</f>
        <v>9.9499999999999993</v>
      </c>
      <c r="V258" s="8">
        <f t="shared" si="52"/>
        <v>2024</v>
      </c>
      <c r="W258" s="8">
        <f>_xlfn.XLOOKUP(A258,Fabbricati!E:E,Fabbricati!D:D)</f>
        <v>382921101</v>
      </c>
      <c r="X258" s="9">
        <f t="shared" si="53"/>
        <v>45449</v>
      </c>
      <c r="Y258" s="9">
        <f t="shared" si="54"/>
        <v>45383</v>
      </c>
      <c r="Z258" s="9">
        <f t="shared" si="55"/>
        <v>45414</v>
      </c>
      <c r="AA258" s="8">
        <f t="shared" si="56"/>
        <v>32</v>
      </c>
      <c r="AB258" s="8">
        <f t="shared" si="57"/>
        <v>289</v>
      </c>
      <c r="AC258" s="12" t="s">
        <v>149</v>
      </c>
      <c r="AD258" s="11" t="str">
        <f t="shared" si="58"/>
        <v>19
66
204</v>
      </c>
      <c r="AE258" s="11" t="str">
        <f t="shared" si="59"/>
        <v>4
62
209</v>
      </c>
      <c r="AF258" s="11"/>
      <c r="AG258" s="11"/>
      <c r="AH258" s="8">
        <f t="shared" si="60"/>
        <v>26.89</v>
      </c>
      <c r="AI258" s="8">
        <f t="shared" si="61"/>
        <v>16.57</v>
      </c>
      <c r="AJ258" s="8">
        <f t="shared" si="62"/>
        <v>9.9499999999999993</v>
      </c>
      <c r="AK258" s="8"/>
      <c r="AL258" s="8"/>
      <c r="AM258" s="8">
        <f t="shared" si="63"/>
        <v>0</v>
      </c>
      <c r="AN258" s="8">
        <f t="shared" si="64"/>
        <v>55.17</v>
      </c>
    </row>
    <row r="259" spans="1:40" ht="48" customHeight="1" x14ac:dyDescent="0.2">
      <c r="A259" s="8" t="str">
        <f>Elettricità!I259</f>
        <v>IT001E04171050</v>
      </c>
      <c r="B259" s="8" t="str">
        <f>Elettricità!A259</f>
        <v>005051431116.PDF</v>
      </c>
      <c r="C259" s="9">
        <f>Elettricità!E259</f>
        <v>45478</v>
      </c>
      <c r="D259" s="9">
        <f>Elettricità!K259</f>
        <v>45444</v>
      </c>
      <c r="E259" s="9">
        <f>Elettricità!L259</f>
        <v>45473</v>
      </c>
      <c r="F259" s="8">
        <f>Elettricità!M259</f>
        <v>126</v>
      </c>
      <c r="G259" s="8">
        <f>Elettricità!N259</f>
        <v>10</v>
      </c>
      <c r="H259" s="8">
        <f>Elettricità!O259</f>
        <v>26</v>
      </c>
      <c r="I259" s="8">
        <f>Elettricità!P259</f>
        <v>90</v>
      </c>
      <c r="J259" s="8">
        <f>Elettricità!Q259</f>
        <v>117</v>
      </c>
      <c r="K259" s="8">
        <f>Elettricità!R259</f>
        <v>2</v>
      </c>
      <c r="L259" s="8">
        <f>Elettricità!S259</f>
        <v>23</v>
      </c>
      <c r="M259" s="8">
        <f>Elettricità!T259</f>
        <v>92</v>
      </c>
      <c r="N259" s="8">
        <f>Elettricità!W259</f>
        <v>44.07</v>
      </c>
      <c r="O259" s="8">
        <f>Elettricità!X259</f>
        <v>53.77</v>
      </c>
      <c r="P259" s="8">
        <f>Elettricità!Y259</f>
        <v>0</v>
      </c>
      <c r="Q259" s="8">
        <f>Elettricità!Z259</f>
        <v>16.46</v>
      </c>
      <c r="R259" s="8">
        <f>Elettricità!AA259</f>
        <v>11.35</v>
      </c>
      <c r="S259" s="8">
        <f>Elettricità!AB259</f>
        <v>14.68</v>
      </c>
      <c r="T259" s="8">
        <f>Elettricità!AC259</f>
        <v>0</v>
      </c>
      <c r="U259" s="8">
        <f>Elettricità!AD259</f>
        <v>9.6999999999999993</v>
      </c>
      <c r="V259" s="8">
        <f t="shared" ref="V259:V322" si="65">YEAR(Y259)</f>
        <v>2024</v>
      </c>
      <c r="W259" s="8">
        <f>_xlfn.XLOOKUP(A259,Fabbricati!E:E,Fabbricati!D:D)</f>
        <v>382921101</v>
      </c>
      <c r="X259" s="9">
        <f t="shared" ref="X259:X322" si="66">C259</f>
        <v>45478</v>
      </c>
      <c r="Y259" s="9">
        <f t="shared" ref="Y259:Y322" si="67">D259</f>
        <v>45444</v>
      </c>
      <c r="Z259" s="9">
        <f t="shared" ref="Z259:Z322" si="68">E259</f>
        <v>45473</v>
      </c>
      <c r="AA259" s="8">
        <f t="shared" ref="AA259:AA322" si="69">Z259-Y259+1</f>
        <v>30</v>
      </c>
      <c r="AB259" s="8">
        <f t="shared" ref="AB259:AB322" si="70">F259</f>
        <v>126</v>
      </c>
      <c r="AC259" s="12" t="s">
        <v>149</v>
      </c>
      <c r="AD259" s="11" t="str">
        <f t="shared" ref="AD259:AD322" si="71">G259  &amp; _xlfn.UNICHAR(10) &amp; H259  &amp; _xlfn.UNICHAR(10)  &amp;  I259</f>
        <v>10
26
90</v>
      </c>
      <c r="AE259" s="11" t="str">
        <f t="shared" ref="AE259:AE322" si="72">K259  &amp; _xlfn.UNICHAR(10) &amp; L259  &amp; _xlfn.UNICHAR(10)  &amp;  M259</f>
        <v>2
23
92</v>
      </c>
      <c r="AF259" s="11"/>
      <c r="AG259" s="11"/>
      <c r="AH259" s="8">
        <f t="shared" ref="AH259:AH322" si="73">R259+S259</f>
        <v>26.03</v>
      </c>
      <c r="AI259" s="8">
        <f t="shared" ref="AI259:AI322" si="74">Q259</f>
        <v>16.46</v>
      </c>
      <c r="AJ259" s="8">
        <f t="shared" ref="AJ259:AJ322" si="75">U259</f>
        <v>9.6999999999999993</v>
      </c>
      <c r="AK259" s="8"/>
      <c r="AL259" s="8"/>
      <c r="AM259" s="8">
        <f t="shared" ref="AM259:AM322" si="76">T259</f>
        <v>0</v>
      </c>
      <c r="AN259" s="8">
        <f t="shared" ref="AN259:AN322" si="77">O259</f>
        <v>53.77</v>
      </c>
    </row>
    <row r="260" spans="1:40" ht="48" customHeight="1" x14ac:dyDescent="0.2">
      <c r="A260" s="8" t="str">
        <f>Elettricità!I260</f>
        <v>IT001E04171050</v>
      </c>
      <c r="B260" s="8" t="str">
        <f>Elettricità!A260</f>
        <v>005059958080.PDF</v>
      </c>
      <c r="C260" s="9">
        <f>Elettricità!E260</f>
        <v>45511</v>
      </c>
      <c r="D260" s="9">
        <f>Elettricità!K260</f>
        <v>45474</v>
      </c>
      <c r="E260" s="9">
        <f>Elettricità!L260</f>
        <v>45504</v>
      </c>
      <c r="F260" s="8">
        <f>Elettricità!M260</f>
        <v>133</v>
      </c>
      <c r="G260" s="8">
        <f>Elettricità!N260</f>
        <v>27</v>
      </c>
      <c r="H260" s="8">
        <f>Elettricità!O260</f>
        <v>30</v>
      </c>
      <c r="I260" s="8">
        <f>Elettricità!P260</f>
        <v>76</v>
      </c>
      <c r="J260" s="8">
        <f>Elettricità!Q260</f>
        <v>120</v>
      </c>
      <c r="K260" s="8">
        <f>Elettricità!R260</f>
        <v>13</v>
      </c>
      <c r="L260" s="8">
        <f>Elettricità!S260</f>
        <v>26</v>
      </c>
      <c r="M260" s="8">
        <f>Elettricità!T260</f>
        <v>81</v>
      </c>
      <c r="N260" s="8">
        <f>Elettricità!W260</f>
        <v>48.51</v>
      </c>
      <c r="O260" s="8">
        <f>Elettricità!X260</f>
        <v>59.18</v>
      </c>
      <c r="P260" s="8">
        <f>Elettricità!Y260</f>
        <v>0</v>
      </c>
      <c r="Q260" s="8">
        <f>Elettricità!Z260</f>
        <v>20.39</v>
      </c>
      <c r="R260" s="8">
        <f>Elettricità!AA260</f>
        <v>11.44</v>
      </c>
      <c r="S260" s="8">
        <f>Elettricità!AB260</f>
        <v>15.02</v>
      </c>
      <c r="T260" s="8">
        <f>Elettricità!AC260</f>
        <v>0</v>
      </c>
      <c r="U260" s="8">
        <f>Elettricità!AD260</f>
        <v>10.67</v>
      </c>
      <c r="V260" s="8">
        <f t="shared" si="65"/>
        <v>2024</v>
      </c>
      <c r="W260" s="8">
        <f>_xlfn.XLOOKUP(A260,Fabbricati!E:E,Fabbricati!D:D)</f>
        <v>382921101</v>
      </c>
      <c r="X260" s="9">
        <f t="shared" si="66"/>
        <v>45511</v>
      </c>
      <c r="Y260" s="9">
        <f t="shared" si="67"/>
        <v>45474</v>
      </c>
      <c r="Z260" s="9">
        <f t="shared" si="68"/>
        <v>45504</v>
      </c>
      <c r="AA260" s="8">
        <f t="shared" si="69"/>
        <v>31</v>
      </c>
      <c r="AB260" s="8">
        <f t="shared" si="70"/>
        <v>133</v>
      </c>
      <c r="AC260" s="12" t="s">
        <v>149</v>
      </c>
      <c r="AD260" s="11" t="str">
        <f t="shared" si="71"/>
        <v>27
30
76</v>
      </c>
      <c r="AE260" s="11" t="str">
        <f t="shared" si="72"/>
        <v>13
26
81</v>
      </c>
      <c r="AF260" s="11"/>
      <c r="AG260" s="11"/>
      <c r="AH260" s="8">
        <f t="shared" si="73"/>
        <v>26.46</v>
      </c>
      <c r="AI260" s="8">
        <f t="shared" si="74"/>
        <v>20.39</v>
      </c>
      <c r="AJ260" s="8">
        <f t="shared" si="75"/>
        <v>10.67</v>
      </c>
      <c r="AK260" s="8"/>
      <c r="AL260" s="8"/>
      <c r="AM260" s="8">
        <f t="shared" si="76"/>
        <v>0</v>
      </c>
      <c r="AN260" s="8">
        <f t="shared" si="77"/>
        <v>59.18</v>
      </c>
    </row>
    <row r="261" spans="1:40" ht="48" customHeight="1" x14ac:dyDescent="0.2">
      <c r="A261" s="8" t="str">
        <f>Elettricità!I261</f>
        <v>IT001E04171050</v>
      </c>
      <c r="B261" s="8" t="str">
        <f>Elettricità!A261</f>
        <v>005067307615.PDF</v>
      </c>
      <c r="C261" s="9">
        <f>Elettricità!E261</f>
        <v>45541</v>
      </c>
      <c r="D261" s="9">
        <f>Elettricità!K261</f>
        <v>45505</v>
      </c>
      <c r="E261" s="9">
        <f>Elettricità!L261</f>
        <v>45535</v>
      </c>
      <c r="F261" s="8">
        <f>Elettricità!M261</f>
        <v>697</v>
      </c>
      <c r="G261" s="8">
        <f>Elettricità!N261</f>
        <v>80</v>
      </c>
      <c r="H261" s="8">
        <f>Elettricità!O261</f>
        <v>158</v>
      </c>
      <c r="I261" s="8">
        <f>Elettricità!P261</f>
        <v>459</v>
      </c>
      <c r="J261" s="8">
        <f>Elettricità!Q261</f>
        <v>677</v>
      </c>
      <c r="K261" s="8">
        <f>Elettricità!R261</f>
        <v>39</v>
      </c>
      <c r="L261" s="8">
        <f>Elettricità!S261</f>
        <v>151</v>
      </c>
      <c r="M261" s="8">
        <f>Elettricità!T261</f>
        <v>487</v>
      </c>
      <c r="N261" s="8">
        <f>Elettricità!W261</f>
        <v>52.97</v>
      </c>
      <c r="O261" s="8">
        <f>Elettricità!X261</f>
        <v>64.62</v>
      </c>
      <c r="P261" s="8">
        <f>Elettricità!Y261</f>
        <v>0</v>
      </c>
      <c r="Q261" s="8">
        <f>Elettricità!Z261</f>
        <v>23.58</v>
      </c>
      <c r="R261" s="8">
        <f>Elettricità!AA261</f>
        <v>11.64</v>
      </c>
      <c r="S261" s="8">
        <f>Elettricità!AB261</f>
        <v>15.79</v>
      </c>
      <c r="T261" s="8">
        <f>Elettricità!AC261</f>
        <v>0</v>
      </c>
      <c r="U261" s="8">
        <f>Elettricità!AD261</f>
        <v>11.65</v>
      </c>
      <c r="V261" s="8">
        <f t="shared" si="65"/>
        <v>2024</v>
      </c>
      <c r="W261" s="8">
        <f>_xlfn.XLOOKUP(A261,Fabbricati!E:E,Fabbricati!D:D)</f>
        <v>382921101</v>
      </c>
      <c r="X261" s="9">
        <f t="shared" si="66"/>
        <v>45541</v>
      </c>
      <c r="Y261" s="9">
        <f t="shared" si="67"/>
        <v>45505</v>
      </c>
      <c r="Z261" s="9">
        <f t="shared" si="68"/>
        <v>45535</v>
      </c>
      <c r="AA261" s="8">
        <f t="shared" si="69"/>
        <v>31</v>
      </c>
      <c r="AB261" s="8">
        <f t="shared" si="70"/>
        <v>697</v>
      </c>
      <c r="AC261" s="12" t="s">
        <v>149</v>
      </c>
      <c r="AD261" s="11" t="str">
        <f t="shared" si="71"/>
        <v>80
158
459</v>
      </c>
      <c r="AE261" s="11" t="str">
        <f t="shared" si="72"/>
        <v>39
151
487</v>
      </c>
      <c r="AF261" s="11"/>
      <c r="AG261" s="11"/>
      <c r="AH261" s="8">
        <f t="shared" si="73"/>
        <v>27.43</v>
      </c>
      <c r="AI261" s="8">
        <f t="shared" si="74"/>
        <v>23.58</v>
      </c>
      <c r="AJ261" s="8">
        <f t="shared" si="75"/>
        <v>11.65</v>
      </c>
      <c r="AK261" s="8"/>
      <c r="AL261" s="8"/>
      <c r="AM261" s="8">
        <f t="shared" si="76"/>
        <v>0</v>
      </c>
      <c r="AN261" s="8">
        <f t="shared" si="77"/>
        <v>64.62</v>
      </c>
    </row>
    <row r="262" spans="1:40" ht="48" customHeight="1" x14ac:dyDescent="0.2">
      <c r="A262" s="8" t="str">
        <f>Elettricità!I262</f>
        <v>IT001E04171050</v>
      </c>
      <c r="B262" s="8" t="str">
        <f>Elettricità!A262</f>
        <v>005076347794(1).PDF</v>
      </c>
      <c r="C262" s="9">
        <f>Elettricità!E262</f>
        <v>45571</v>
      </c>
      <c r="D262" s="9">
        <f>Elettricità!K262</f>
        <v>45536</v>
      </c>
      <c r="E262" s="9">
        <f>Elettricità!L262</f>
        <v>45565</v>
      </c>
      <c r="F262" s="8">
        <f>Elettricità!M262</f>
        <v>135</v>
      </c>
      <c r="G262" s="8">
        <f>Elettricità!N262</f>
        <v>15</v>
      </c>
      <c r="H262" s="8">
        <f>Elettricità!O262</f>
        <v>35</v>
      </c>
      <c r="I262" s="8">
        <f>Elettricità!P262</f>
        <v>85</v>
      </c>
      <c r="J262" s="8">
        <f>Elettricità!Q262</f>
        <v>148</v>
      </c>
      <c r="K262" s="8">
        <f>Elettricità!R262</f>
        <v>10</v>
      </c>
      <c r="L262" s="8">
        <f>Elettricità!S262</f>
        <v>38</v>
      </c>
      <c r="M262" s="8">
        <f>Elettricità!T262</f>
        <v>100</v>
      </c>
      <c r="N262" s="8">
        <f>Elettricità!W262</f>
        <v>47.62</v>
      </c>
      <c r="O262" s="8">
        <f>Elettricità!X262</f>
        <v>58.1</v>
      </c>
      <c r="P262" s="8">
        <f>Elettricità!Y262</f>
        <v>0</v>
      </c>
      <c r="Q262" s="8">
        <f>Elettricità!Z262</f>
        <v>19.350000000000001</v>
      </c>
      <c r="R262" s="8">
        <f>Elettricità!AA262</f>
        <v>11.46</v>
      </c>
      <c r="S262" s="8">
        <f>Elettricità!AB262</f>
        <v>15.12</v>
      </c>
      <c r="T262" s="8">
        <f>Elettricità!AC262</f>
        <v>0</v>
      </c>
      <c r="U262" s="8">
        <f>Elettricità!AD262</f>
        <v>10.48</v>
      </c>
      <c r="V262" s="8">
        <f t="shared" si="65"/>
        <v>2024</v>
      </c>
      <c r="W262" s="8">
        <f>_xlfn.XLOOKUP(A262,Fabbricati!E:E,Fabbricati!D:D)</f>
        <v>382921101</v>
      </c>
      <c r="X262" s="9">
        <f t="shared" si="66"/>
        <v>45571</v>
      </c>
      <c r="Y262" s="9">
        <f t="shared" si="67"/>
        <v>45536</v>
      </c>
      <c r="Z262" s="9">
        <f t="shared" si="68"/>
        <v>45565</v>
      </c>
      <c r="AA262" s="8">
        <f t="shared" si="69"/>
        <v>30</v>
      </c>
      <c r="AB262" s="8">
        <f t="shared" si="70"/>
        <v>135</v>
      </c>
      <c r="AC262" s="12" t="s">
        <v>149</v>
      </c>
      <c r="AD262" s="11" t="str">
        <f t="shared" si="71"/>
        <v>15
35
85</v>
      </c>
      <c r="AE262" s="11" t="str">
        <f t="shared" si="72"/>
        <v>10
38
100</v>
      </c>
      <c r="AF262" s="11"/>
      <c r="AG262" s="11"/>
      <c r="AH262" s="8">
        <f t="shared" si="73"/>
        <v>26.58</v>
      </c>
      <c r="AI262" s="8">
        <f t="shared" si="74"/>
        <v>19.350000000000001</v>
      </c>
      <c r="AJ262" s="8">
        <f t="shared" si="75"/>
        <v>10.48</v>
      </c>
      <c r="AK262" s="8"/>
      <c r="AL262" s="8"/>
      <c r="AM262" s="8">
        <f t="shared" si="76"/>
        <v>0</v>
      </c>
      <c r="AN262" s="8">
        <f t="shared" si="77"/>
        <v>58.1</v>
      </c>
    </row>
    <row r="263" spans="1:40" ht="48" customHeight="1" x14ac:dyDescent="0.2">
      <c r="A263" s="8" t="str">
        <f>Elettricità!I263</f>
        <v>IT001E04171050</v>
      </c>
      <c r="B263" s="8" t="str">
        <f>Elettricità!A263</f>
        <v>005085485051.PDF</v>
      </c>
      <c r="C263" s="9">
        <f>Elettricità!E263</f>
        <v>45604</v>
      </c>
      <c r="D263" s="9">
        <f>Elettricità!K263</f>
        <v>45566</v>
      </c>
      <c r="E263" s="9">
        <f>Elettricità!L263</f>
        <v>45596</v>
      </c>
      <c r="F263" s="8">
        <f>Elettricità!M263</f>
        <v>164</v>
      </c>
      <c r="G263" s="8">
        <f>Elettricità!N263</f>
        <v>30</v>
      </c>
      <c r="H263" s="8">
        <f>Elettricità!O263</f>
        <v>46</v>
      </c>
      <c r="I263" s="8">
        <f>Elettricità!P263</f>
        <v>88</v>
      </c>
      <c r="J263" s="8">
        <f>Elettricità!Q263</f>
        <v>186</v>
      </c>
      <c r="K263" s="8">
        <f>Elettricità!R263</f>
        <v>19</v>
      </c>
      <c r="L263" s="8">
        <f>Elettricità!S263</f>
        <v>53</v>
      </c>
      <c r="M263" s="8">
        <f>Elettricità!T263</f>
        <v>114</v>
      </c>
      <c r="N263" s="8">
        <f>Elettricità!W263</f>
        <v>54.18</v>
      </c>
      <c r="O263" s="8">
        <f>Elettricità!X263</f>
        <v>66.099999999999994</v>
      </c>
      <c r="P263" s="8">
        <f>Elettricità!Y263</f>
        <v>0</v>
      </c>
      <c r="Q263" s="8">
        <f>Elettricità!Z263</f>
        <v>23.78</v>
      </c>
      <c r="R263" s="8">
        <f>Elettricità!AA263</f>
        <v>11.84</v>
      </c>
      <c r="S263" s="8">
        <f>Elettricità!AB263</f>
        <v>16.510000000000002</v>
      </c>
      <c r="T263" s="8">
        <f>Elettricità!AC263</f>
        <v>0</v>
      </c>
      <c r="U263" s="8">
        <f>Elettricità!AD263</f>
        <v>11.92</v>
      </c>
      <c r="V263" s="8">
        <f t="shared" si="65"/>
        <v>2024</v>
      </c>
      <c r="W263" s="8">
        <f>_xlfn.XLOOKUP(A263,Fabbricati!E:E,Fabbricati!D:D)</f>
        <v>382921101</v>
      </c>
      <c r="X263" s="9">
        <f t="shared" si="66"/>
        <v>45604</v>
      </c>
      <c r="Y263" s="9">
        <f t="shared" si="67"/>
        <v>45566</v>
      </c>
      <c r="Z263" s="9">
        <f t="shared" si="68"/>
        <v>45596</v>
      </c>
      <c r="AA263" s="8">
        <f t="shared" si="69"/>
        <v>31</v>
      </c>
      <c r="AB263" s="8">
        <f t="shared" si="70"/>
        <v>164</v>
      </c>
      <c r="AC263" s="12" t="s">
        <v>149</v>
      </c>
      <c r="AD263" s="11" t="str">
        <f t="shared" si="71"/>
        <v>30
46
88</v>
      </c>
      <c r="AE263" s="11" t="str">
        <f t="shared" si="72"/>
        <v>19
53
114</v>
      </c>
      <c r="AF263" s="11"/>
      <c r="AG263" s="11"/>
      <c r="AH263" s="8">
        <f t="shared" si="73"/>
        <v>28.35</v>
      </c>
      <c r="AI263" s="8">
        <f t="shared" si="74"/>
        <v>23.78</v>
      </c>
      <c r="AJ263" s="8">
        <f t="shared" si="75"/>
        <v>11.92</v>
      </c>
      <c r="AK263" s="8"/>
      <c r="AL263" s="8"/>
      <c r="AM263" s="8">
        <f t="shared" si="76"/>
        <v>0</v>
      </c>
      <c r="AN263" s="8">
        <f t="shared" si="77"/>
        <v>66.099999999999994</v>
      </c>
    </row>
    <row r="264" spans="1:40" ht="48" customHeight="1" x14ac:dyDescent="0.2">
      <c r="A264" s="8" t="str">
        <f>Elettricità!I264</f>
        <v>IT001E04171050</v>
      </c>
      <c r="B264" s="8" t="str">
        <f>Elettricità!A264</f>
        <v>005093369285.PDF</v>
      </c>
      <c r="C264" s="9">
        <f>Elettricità!E264</f>
        <v>45632</v>
      </c>
      <c r="D264" s="9">
        <f>Elettricità!K264</f>
        <v>45597</v>
      </c>
      <c r="E264" s="9">
        <f>Elettricità!L264</f>
        <v>45626</v>
      </c>
      <c r="F264" s="8">
        <f>Elettricità!M264</f>
        <v>181</v>
      </c>
      <c r="G264" s="8">
        <f>Elettricità!N264</f>
        <v>29</v>
      </c>
      <c r="H264" s="8">
        <f>Elettricità!O264</f>
        <v>44</v>
      </c>
      <c r="I264" s="8">
        <f>Elettricità!P264</f>
        <v>108</v>
      </c>
      <c r="J264" s="8">
        <f>Elettricità!Q264</f>
        <v>211</v>
      </c>
      <c r="K264" s="8">
        <f>Elettricità!R264</f>
        <v>25</v>
      </c>
      <c r="L264" s="8">
        <f>Elettricità!S264</f>
        <v>54</v>
      </c>
      <c r="M264" s="8">
        <f>Elettricità!T264</f>
        <v>132</v>
      </c>
      <c r="N264" s="8">
        <f>Elettricità!W264</f>
        <v>60.17</v>
      </c>
      <c r="O264" s="8">
        <f>Elettricità!X264</f>
        <v>73.41</v>
      </c>
      <c r="P264" s="8">
        <f>Elettricità!Y264</f>
        <v>0</v>
      </c>
      <c r="Q264" s="8">
        <f>Elettricità!Z264</f>
        <v>28.51</v>
      </c>
      <c r="R264" s="8">
        <f>Elettricità!AA264</f>
        <v>12.06</v>
      </c>
      <c r="S264" s="8">
        <f>Elettricità!AB264</f>
        <v>17.34</v>
      </c>
      <c r="T264" s="8">
        <f>Elettricità!AC264</f>
        <v>0</v>
      </c>
      <c r="U264" s="8">
        <f>Elettricità!AD264</f>
        <v>13.24</v>
      </c>
      <c r="V264" s="8">
        <f t="shared" si="65"/>
        <v>2024</v>
      </c>
      <c r="W264" s="8">
        <f>_xlfn.XLOOKUP(A264,Fabbricati!E:E,Fabbricati!D:D)</f>
        <v>382921101</v>
      </c>
      <c r="X264" s="9">
        <f t="shared" si="66"/>
        <v>45632</v>
      </c>
      <c r="Y264" s="9">
        <f t="shared" si="67"/>
        <v>45597</v>
      </c>
      <c r="Z264" s="9">
        <f t="shared" si="68"/>
        <v>45626</v>
      </c>
      <c r="AA264" s="8">
        <f t="shared" si="69"/>
        <v>30</v>
      </c>
      <c r="AB264" s="8">
        <f t="shared" si="70"/>
        <v>181</v>
      </c>
      <c r="AC264" s="12" t="s">
        <v>149</v>
      </c>
      <c r="AD264" s="11" t="str">
        <f t="shared" si="71"/>
        <v>29
44
108</v>
      </c>
      <c r="AE264" s="11" t="str">
        <f t="shared" si="72"/>
        <v>25
54
132</v>
      </c>
      <c r="AF264" s="11"/>
      <c r="AG264" s="11"/>
      <c r="AH264" s="8">
        <f t="shared" si="73"/>
        <v>29.4</v>
      </c>
      <c r="AI264" s="8">
        <f t="shared" si="74"/>
        <v>28.51</v>
      </c>
      <c r="AJ264" s="8">
        <f t="shared" si="75"/>
        <v>13.24</v>
      </c>
      <c r="AK264" s="8"/>
      <c r="AL264" s="8"/>
      <c r="AM264" s="8">
        <f t="shared" si="76"/>
        <v>0</v>
      </c>
      <c r="AN264" s="8">
        <f t="shared" si="77"/>
        <v>73.41</v>
      </c>
    </row>
    <row r="265" spans="1:40" ht="48" customHeight="1" x14ac:dyDescent="0.2">
      <c r="A265" s="8" t="str">
        <f>Elettricità!I265</f>
        <v>IT001E04171050</v>
      </c>
      <c r="B265" s="8" t="str">
        <f>Elettricità!A265</f>
        <v>005200218698.PDF</v>
      </c>
      <c r="C265" s="9">
        <f>Elettricità!E265</f>
        <v>45665</v>
      </c>
      <c r="D265" s="9">
        <f>Elettricità!K265</f>
        <v>45627</v>
      </c>
      <c r="E265" s="9">
        <f>Elettricità!L265</f>
        <v>45657</v>
      </c>
      <c r="F265" s="8">
        <f>Elettricità!M265</f>
        <v>184</v>
      </c>
      <c r="G265" s="8">
        <f>Elettricità!N265</f>
        <v>25</v>
      </c>
      <c r="H265" s="8">
        <f>Elettricità!O265</f>
        <v>48</v>
      </c>
      <c r="I265" s="8">
        <f>Elettricità!P265</f>
        <v>111</v>
      </c>
      <c r="J265" s="8">
        <f>Elettricità!Q265</f>
        <v>203</v>
      </c>
      <c r="K265" s="8">
        <f>Elettricità!R265</f>
        <v>23</v>
      </c>
      <c r="L265" s="8">
        <f>Elettricità!S265</f>
        <v>51</v>
      </c>
      <c r="M265" s="8">
        <f>Elettricità!T265</f>
        <v>129</v>
      </c>
      <c r="N265" s="8">
        <f>Elettricità!W265</f>
        <v>62.5</v>
      </c>
      <c r="O265" s="8">
        <f>Elettricità!X265</f>
        <v>76.25</v>
      </c>
      <c r="P265" s="8">
        <f>Elettricità!Y265</f>
        <v>0</v>
      </c>
      <c r="Q265" s="8">
        <f>Elettricità!Z265</f>
        <v>30.63</v>
      </c>
      <c r="R265" s="8">
        <f>Elettricità!AA265</f>
        <v>12.09</v>
      </c>
      <c r="S265" s="8">
        <f>Elettricità!AB265</f>
        <v>17.48</v>
      </c>
      <c r="T265" s="8">
        <f>Elettricità!AC265</f>
        <v>0</v>
      </c>
      <c r="U265" s="8">
        <f>Elettricità!AD265</f>
        <v>13.75</v>
      </c>
      <c r="V265" s="8">
        <f t="shared" si="65"/>
        <v>2024</v>
      </c>
      <c r="W265" s="8">
        <f>_xlfn.XLOOKUP(A265,Fabbricati!E:E,Fabbricati!D:D)</f>
        <v>382921101</v>
      </c>
      <c r="X265" s="9">
        <f t="shared" si="66"/>
        <v>45665</v>
      </c>
      <c r="Y265" s="9">
        <f t="shared" si="67"/>
        <v>45627</v>
      </c>
      <c r="Z265" s="9">
        <f t="shared" si="68"/>
        <v>45657</v>
      </c>
      <c r="AA265" s="8">
        <f t="shared" si="69"/>
        <v>31</v>
      </c>
      <c r="AB265" s="8">
        <f t="shared" si="70"/>
        <v>184</v>
      </c>
      <c r="AC265" s="12" t="s">
        <v>149</v>
      </c>
      <c r="AD265" s="11" t="str">
        <f t="shared" si="71"/>
        <v>25
48
111</v>
      </c>
      <c r="AE265" s="11" t="str">
        <f t="shared" si="72"/>
        <v>23
51
129</v>
      </c>
      <c r="AF265" s="11"/>
      <c r="AG265" s="11"/>
      <c r="AH265" s="8">
        <f t="shared" si="73"/>
        <v>29.57</v>
      </c>
      <c r="AI265" s="8">
        <f t="shared" si="74"/>
        <v>30.63</v>
      </c>
      <c r="AJ265" s="8">
        <f t="shared" si="75"/>
        <v>13.75</v>
      </c>
      <c r="AK265" s="8"/>
      <c r="AL265" s="8"/>
      <c r="AM265" s="8">
        <f t="shared" si="76"/>
        <v>0</v>
      </c>
      <c r="AN265" s="8">
        <f t="shared" si="77"/>
        <v>76.25</v>
      </c>
    </row>
    <row r="266" spans="1:40" ht="48" customHeight="1" x14ac:dyDescent="0.2">
      <c r="A266" s="8" t="str">
        <f>Elettricità!I266</f>
        <v>IT001E04171054</v>
      </c>
      <c r="B266" s="8" t="str">
        <f>Elettricità!A266</f>
        <v>824500045678_2024_d.pdf</v>
      </c>
      <c r="C266" s="9">
        <f>Elettricità!E266</f>
        <v>45350</v>
      </c>
      <c r="D266" s="9">
        <f>Elettricità!K266</f>
        <v>45292</v>
      </c>
      <c r="E266" s="9">
        <f>Elettricità!L266</f>
        <v>45322</v>
      </c>
      <c r="F266" s="8">
        <f>Elettricità!M266</f>
        <v>351</v>
      </c>
      <c r="G266" s="8">
        <f>Elettricità!N266</f>
        <v>102</v>
      </c>
      <c r="H266" s="8">
        <f>Elettricità!O266</f>
        <v>78</v>
      </c>
      <c r="I266" s="8">
        <f>Elettricità!P266</f>
        <v>171</v>
      </c>
      <c r="J266" s="8">
        <f>Elettricità!Q266</f>
        <v>81</v>
      </c>
      <c r="K266" s="8">
        <f>Elettricità!R266</f>
        <v>25</v>
      </c>
      <c r="L266" s="8">
        <f>Elettricità!S266</f>
        <v>18</v>
      </c>
      <c r="M266" s="8">
        <f>Elettricità!T266</f>
        <v>38</v>
      </c>
      <c r="N266" s="8">
        <f>Elettricità!W266</f>
        <v>112.83</v>
      </c>
      <c r="O266" s="8">
        <f>Elettricità!X266</f>
        <v>137.65</v>
      </c>
      <c r="P266" s="8">
        <f>Elettricità!Y266</f>
        <v>0</v>
      </c>
      <c r="Q266" s="8">
        <f>Elettricità!Z266</f>
        <v>54.38</v>
      </c>
      <c r="R266" s="8">
        <f>Elettricità!AA266</f>
        <v>23.33</v>
      </c>
      <c r="S266" s="8">
        <f>Elettricità!AB266</f>
        <v>28.97</v>
      </c>
      <c r="T266" s="8">
        <f>Elettricità!AC266</f>
        <v>1.76</v>
      </c>
      <c r="U266" s="8">
        <f>Elettricità!AD266</f>
        <v>4.3899999999999997</v>
      </c>
      <c r="V266" s="8">
        <f t="shared" si="65"/>
        <v>2024</v>
      </c>
      <c r="W266" s="8">
        <f>_xlfn.XLOOKUP(A266,Fabbricati!E:E,Fabbricati!D:D)</f>
        <v>382909313</v>
      </c>
      <c r="X266" s="9">
        <f t="shared" si="66"/>
        <v>45350</v>
      </c>
      <c r="Y266" s="9">
        <f t="shared" si="67"/>
        <v>45292</v>
      </c>
      <c r="Z266" s="9">
        <f t="shared" si="68"/>
        <v>45322</v>
      </c>
      <c r="AA266" s="8">
        <f t="shared" si="69"/>
        <v>31</v>
      </c>
      <c r="AB266" s="8">
        <f t="shared" si="70"/>
        <v>351</v>
      </c>
      <c r="AC266" s="12" t="s">
        <v>149</v>
      </c>
      <c r="AD266" s="11" t="str">
        <f t="shared" si="71"/>
        <v>102
78
171</v>
      </c>
      <c r="AE266" s="11" t="str">
        <f t="shared" si="72"/>
        <v>25
18
38</v>
      </c>
      <c r="AF266" s="11"/>
      <c r="AG266" s="11"/>
      <c r="AH266" s="8">
        <f t="shared" si="73"/>
        <v>52.3</v>
      </c>
      <c r="AI266" s="8">
        <f t="shared" si="74"/>
        <v>54.38</v>
      </c>
      <c r="AJ266" s="8">
        <f t="shared" si="75"/>
        <v>4.3899999999999997</v>
      </c>
      <c r="AK266" s="8"/>
      <c r="AL266" s="8"/>
      <c r="AM266" s="8">
        <f t="shared" si="76"/>
        <v>1.76</v>
      </c>
      <c r="AN266" s="8">
        <f t="shared" si="77"/>
        <v>137.65</v>
      </c>
    </row>
    <row r="267" spans="1:40" ht="48" customHeight="1" x14ac:dyDescent="0.2">
      <c r="A267" s="8" t="str">
        <f>Elettricità!I267</f>
        <v>IT001E04171054</v>
      </c>
      <c r="B267" s="8" t="str">
        <f>Elettricità!A267</f>
        <v>005018359692.pdf</v>
      </c>
      <c r="C267" s="9">
        <f>Elettricità!E267</f>
        <v>45358</v>
      </c>
      <c r="D267" s="9">
        <f>Elettricità!K267</f>
        <v>45323</v>
      </c>
      <c r="E267" s="9">
        <f>Elettricità!L267</f>
        <v>45351</v>
      </c>
      <c r="F267" s="8">
        <f>Elettricità!M267</f>
        <v>310</v>
      </c>
      <c r="G267" s="8">
        <f>Elettricità!N267</f>
        <v>91</v>
      </c>
      <c r="H267" s="8">
        <f>Elettricità!O267</f>
        <v>81</v>
      </c>
      <c r="I267" s="8">
        <f>Elettricità!P267</f>
        <v>138</v>
      </c>
      <c r="J267" s="8">
        <f>Elettricità!Q267</f>
        <v>56</v>
      </c>
      <c r="K267" s="8">
        <f>Elettricità!R267</f>
        <v>19</v>
      </c>
      <c r="L267" s="8">
        <f>Elettricità!S267</f>
        <v>13</v>
      </c>
      <c r="M267" s="8">
        <f>Elettricità!T267</f>
        <v>24</v>
      </c>
      <c r="N267" s="8">
        <f>Elettricità!W267</f>
        <v>90.7</v>
      </c>
      <c r="O267" s="8">
        <f>Elettricità!X267</f>
        <v>110.65</v>
      </c>
      <c r="P267" s="8">
        <f>Elettricità!Y267</f>
        <v>0</v>
      </c>
      <c r="Q267" s="8">
        <f>Elettricità!Z267</f>
        <v>36.74</v>
      </c>
      <c r="R267" s="8">
        <f>Elettricità!AA267</f>
        <v>22.81</v>
      </c>
      <c r="S267" s="8">
        <f>Elettricità!AB267</f>
        <v>27.27</v>
      </c>
      <c r="T267" s="8">
        <f>Elettricità!AC267</f>
        <v>0</v>
      </c>
      <c r="U267" s="8">
        <f>Elettricità!AD267</f>
        <v>19.95</v>
      </c>
      <c r="V267" s="8">
        <f t="shared" si="65"/>
        <v>2024</v>
      </c>
      <c r="W267" s="8">
        <f>_xlfn.XLOOKUP(A267,Fabbricati!E:E,Fabbricati!D:D)</f>
        <v>382909313</v>
      </c>
      <c r="X267" s="9">
        <f t="shared" si="66"/>
        <v>45358</v>
      </c>
      <c r="Y267" s="9">
        <f t="shared" si="67"/>
        <v>45323</v>
      </c>
      <c r="Z267" s="9">
        <f t="shared" si="68"/>
        <v>45351</v>
      </c>
      <c r="AA267" s="8">
        <f t="shared" si="69"/>
        <v>29</v>
      </c>
      <c r="AB267" s="8">
        <f t="shared" si="70"/>
        <v>310</v>
      </c>
      <c r="AC267" s="12" t="s">
        <v>149</v>
      </c>
      <c r="AD267" s="11" t="str">
        <f t="shared" si="71"/>
        <v>91
81
138</v>
      </c>
      <c r="AE267" s="11" t="str">
        <f t="shared" si="72"/>
        <v>19
13
24</v>
      </c>
      <c r="AF267" s="11"/>
      <c r="AG267" s="11"/>
      <c r="AH267" s="8">
        <f t="shared" si="73"/>
        <v>50.08</v>
      </c>
      <c r="AI267" s="8">
        <f t="shared" si="74"/>
        <v>36.74</v>
      </c>
      <c r="AJ267" s="8">
        <f t="shared" si="75"/>
        <v>19.95</v>
      </c>
      <c r="AK267" s="8"/>
      <c r="AL267" s="8"/>
      <c r="AM267" s="8">
        <f t="shared" si="76"/>
        <v>0</v>
      </c>
      <c r="AN267" s="8">
        <f t="shared" si="77"/>
        <v>110.65</v>
      </c>
    </row>
    <row r="268" spans="1:40" ht="48" customHeight="1" x14ac:dyDescent="0.2">
      <c r="A268" s="8" t="str">
        <f>Elettricità!I268</f>
        <v>IT001E04171054</v>
      </c>
      <c r="B268" s="8" t="str">
        <f>Elettricità!A268</f>
        <v>005026659975.pdf</v>
      </c>
      <c r="C268" s="9">
        <f>Elettricità!E268</f>
        <v>45390</v>
      </c>
      <c r="D268" s="9">
        <f>Elettricità!K268</f>
        <v>45352</v>
      </c>
      <c r="E268" s="9">
        <f>Elettricità!L268</f>
        <v>45382</v>
      </c>
      <c r="F268" s="8">
        <f>Elettricità!M268</f>
        <v>305</v>
      </c>
      <c r="G268" s="8">
        <f>Elettricità!N268</f>
        <v>85</v>
      </c>
      <c r="H268" s="8">
        <f>Elettricità!O268</f>
        <v>81</v>
      </c>
      <c r="I268" s="8">
        <f>Elettricità!P268</f>
        <v>139</v>
      </c>
      <c r="J268" s="8">
        <f>Elettricità!Q268</f>
        <v>3</v>
      </c>
      <c r="K268" s="8">
        <f>Elettricità!R268</f>
        <v>1</v>
      </c>
      <c r="L268" s="8">
        <f>Elettricità!S268</f>
        <v>1</v>
      </c>
      <c r="M268" s="8">
        <f>Elettricità!T268</f>
        <v>1</v>
      </c>
      <c r="N268" s="8">
        <f>Elettricità!W268</f>
        <v>88.91</v>
      </c>
      <c r="O268" s="8">
        <f>Elettricità!X268</f>
        <v>108.47</v>
      </c>
      <c r="P268" s="8">
        <f>Elettricità!Y268</f>
        <v>0</v>
      </c>
      <c r="Q268" s="8">
        <f>Elettricità!Z268</f>
        <v>35.299999999999997</v>
      </c>
      <c r="R268" s="8">
        <f>Elettricità!AA268</f>
        <v>22.74</v>
      </c>
      <c r="S268" s="8">
        <f>Elettricità!AB268</f>
        <v>27.06</v>
      </c>
      <c r="T268" s="8">
        <f>Elettricità!AC268</f>
        <v>0</v>
      </c>
      <c r="U268" s="8">
        <f>Elettricità!AD268</f>
        <v>19.559999999999999</v>
      </c>
      <c r="V268" s="8">
        <f t="shared" si="65"/>
        <v>2024</v>
      </c>
      <c r="W268" s="8">
        <f>_xlfn.XLOOKUP(A268,Fabbricati!E:E,Fabbricati!D:D)</f>
        <v>382909313</v>
      </c>
      <c r="X268" s="9">
        <f t="shared" si="66"/>
        <v>45390</v>
      </c>
      <c r="Y268" s="9">
        <f t="shared" si="67"/>
        <v>45352</v>
      </c>
      <c r="Z268" s="9">
        <f t="shared" si="68"/>
        <v>45382</v>
      </c>
      <c r="AA268" s="8">
        <f t="shared" si="69"/>
        <v>31</v>
      </c>
      <c r="AB268" s="8">
        <f t="shared" si="70"/>
        <v>305</v>
      </c>
      <c r="AC268" s="12" t="s">
        <v>149</v>
      </c>
      <c r="AD268" s="11" t="str">
        <f t="shared" si="71"/>
        <v>85
81
139</v>
      </c>
      <c r="AE268" s="11" t="str">
        <f t="shared" si="72"/>
        <v>1
1
1</v>
      </c>
      <c r="AF268" s="11"/>
      <c r="AG268" s="11"/>
      <c r="AH268" s="8">
        <f t="shared" si="73"/>
        <v>49.8</v>
      </c>
      <c r="AI268" s="8">
        <f t="shared" si="74"/>
        <v>35.299999999999997</v>
      </c>
      <c r="AJ268" s="8">
        <f t="shared" si="75"/>
        <v>19.559999999999999</v>
      </c>
      <c r="AK268" s="8"/>
      <c r="AL268" s="8"/>
      <c r="AM268" s="8">
        <f t="shared" si="76"/>
        <v>0</v>
      </c>
      <c r="AN268" s="8">
        <f t="shared" si="77"/>
        <v>108.47</v>
      </c>
    </row>
    <row r="269" spans="1:40" ht="48" customHeight="1" x14ac:dyDescent="0.2">
      <c r="A269" s="8" t="str">
        <f>Elettricità!I269</f>
        <v>IT001E04171054</v>
      </c>
      <c r="B269" s="8" t="str">
        <f>Elettricità!A269</f>
        <v>005034930245.PDF</v>
      </c>
      <c r="C269" s="9">
        <f>Elettricità!E269</f>
        <v>45419</v>
      </c>
      <c r="D269" s="9">
        <f>Elettricità!K269</f>
        <v>45383</v>
      </c>
      <c r="E269" s="9">
        <f>Elettricità!L269</f>
        <v>45412</v>
      </c>
      <c r="F269" s="8">
        <f>Elettricità!M269</f>
        <v>246</v>
      </c>
      <c r="G269" s="8">
        <f>Elettricità!N269</f>
        <v>66</v>
      </c>
      <c r="H269" s="8">
        <f>Elettricità!O269</f>
        <v>56</v>
      </c>
      <c r="I269" s="8">
        <f>Elettricità!P269</f>
        <v>124</v>
      </c>
      <c r="J269" s="8">
        <f>Elettricità!Q269</f>
        <v>0</v>
      </c>
      <c r="K269" s="8">
        <f>Elettricità!R269</f>
        <v>0</v>
      </c>
      <c r="L269" s="8">
        <f>Elettricità!S269</f>
        <v>0</v>
      </c>
      <c r="M269" s="8">
        <f>Elettricità!T269</f>
        <v>0</v>
      </c>
      <c r="N269" s="8">
        <f>Elettricità!W269</f>
        <v>81.290000000000006</v>
      </c>
      <c r="O269" s="8">
        <f>Elettricità!X269</f>
        <v>99.17</v>
      </c>
      <c r="P269" s="8">
        <f>Elettricità!Y269</f>
        <v>0</v>
      </c>
      <c r="Q269" s="8">
        <f>Elettricità!Z269</f>
        <v>27.58</v>
      </c>
      <c r="R269" s="8">
        <f>Elettricità!AA269</f>
        <v>21.98</v>
      </c>
      <c r="S269" s="8">
        <f>Elettricità!AB269</f>
        <v>28.65</v>
      </c>
      <c r="T269" s="8">
        <f>Elettricità!AC269</f>
        <v>0</v>
      </c>
      <c r="U269" s="8">
        <f>Elettricità!AD269</f>
        <v>17.88</v>
      </c>
      <c r="V269" s="8">
        <f t="shared" si="65"/>
        <v>2024</v>
      </c>
      <c r="W269" s="8">
        <f>_xlfn.XLOOKUP(A269,Fabbricati!E:E,Fabbricati!D:D)</f>
        <v>382909313</v>
      </c>
      <c r="X269" s="9">
        <f t="shared" si="66"/>
        <v>45419</v>
      </c>
      <c r="Y269" s="9">
        <f t="shared" si="67"/>
        <v>45383</v>
      </c>
      <c r="Z269" s="9">
        <f t="shared" si="68"/>
        <v>45412</v>
      </c>
      <c r="AA269" s="8">
        <f t="shared" si="69"/>
        <v>30</v>
      </c>
      <c r="AB269" s="8">
        <f t="shared" si="70"/>
        <v>246</v>
      </c>
      <c r="AC269" s="12" t="s">
        <v>149</v>
      </c>
      <c r="AD269" s="11" t="str">
        <f t="shared" si="71"/>
        <v>66
56
124</v>
      </c>
      <c r="AE269" s="11" t="str">
        <f t="shared" si="72"/>
        <v>0
0
0</v>
      </c>
      <c r="AF269" s="11"/>
      <c r="AG269" s="11"/>
      <c r="AH269" s="8">
        <f t="shared" si="73"/>
        <v>50.629999999999995</v>
      </c>
      <c r="AI269" s="8">
        <f t="shared" si="74"/>
        <v>27.58</v>
      </c>
      <c r="AJ269" s="8">
        <f t="shared" si="75"/>
        <v>17.88</v>
      </c>
      <c r="AK269" s="8"/>
      <c r="AL269" s="8"/>
      <c r="AM269" s="8">
        <f t="shared" si="76"/>
        <v>0</v>
      </c>
      <c r="AN269" s="8">
        <f t="shared" si="77"/>
        <v>99.17</v>
      </c>
    </row>
    <row r="270" spans="1:40" ht="48" customHeight="1" x14ac:dyDescent="0.2">
      <c r="A270" s="8" t="str">
        <f>Elettricità!I270</f>
        <v>IT001E04171054</v>
      </c>
      <c r="B270" s="8" t="str">
        <f>Elettricità!A270</f>
        <v>005043663111.PDF</v>
      </c>
      <c r="C270" s="9">
        <f>Elettricità!E270</f>
        <v>45449</v>
      </c>
      <c r="D270" s="9">
        <f>Elettricità!K270</f>
        <v>45413</v>
      </c>
      <c r="E270" s="9">
        <f>Elettricità!L270</f>
        <v>45443</v>
      </c>
      <c r="F270" s="8">
        <f>Elettricità!M270</f>
        <v>262</v>
      </c>
      <c r="G270" s="8">
        <f>Elettricità!N270</f>
        <v>73</v>
      </c>
      <c r="H270" s="8">
        <f>Elettricità!O270</f>
        <v>67</v>
      </c>
      <c r="I270" s="8">
        <f>Elettricità!P270</f>
        <v>122</v>
      </c>
      <c r="J270" s="8">
        <f>Elettricità!Q270</f>
        <v>2</v>
      </c>
      <c r="K270" s="8">
        <f>Elettricità!R270</f>
        <v>1</v>
      </c>
      <c r="L270" s="8">
        <f>Elettricità!S270</f>
        <v>0</v>
      </c>
      <c r="M270" s="8">
        <f>Elettricità!T270</f>
        <v>1</v>
      </c>
      <c r="N270" s="8">
        <f>Elettricità!W270</f>
        <v>86.63</v>
      </c>
      <c r="O270" s="8">
        <f>Elettricità!X270</f>
        <v>105.69</v>
      </c>
      <c r="P270" s="8">
        <f>Elettricità!Y270</f>
        <v>0</v>
      </c>
      <c r="Q270" s="8">
        <f>Elettricità!Z270</f>
        <v>31.74</v>
      </c>
      <c r="R270" s="8">
        <f>Elettricità!AA270</f>
        <v>22.19</v>
      </c>
      <c r="S270" s="8">
        <f>Elettricità!AB270</f>
        <v>29.42</v>
      </c>
      <c r="T270" s="8">
        <f>Elettricità!AC270</f>
        <v>0</v>
      </c>
      <c r="U270" s="8">
        <f>Elettricità!AD270</f>
        <v>19.059999999999999</v>
      </c>
      <c r="V270" s="8">
        <f t="shared" si="65"/>
        <v>2024</v>
      </c>
      <c r="W270" s="8">
        <f>_xlfn.XLOOKUP(A270,Fabbricati!E:E,Fabbricati!D:D)</f>
        <v>382909313</v>
      </c>
      <c r="X270" s="9">
        <f t="shared" si="66"/>
        <v>45449</v>
      </c>
      <c r="Y270" s="9">
        <f t="shared" si="67"/>
        <v>45413</v>
      </c>
      <c r="Z270" s="9">
        <f t="shared" si="68"/>
        <v>45443</v>
      </c>
      <c r="AA270" s="8">
        <f t="shared" si="69"/>
        <v>31</v>
      </c>
      <c r="AB270" s="8">
        <f t="shared" si="70"/>
        <v>262</v>
      </c>
      <c r="AC270" s="12" t="s">
        <v>149</v>
      </c>
      <c r="AD270" s="11" t="str">
        <f t="shared" si="71"/>
        <v>73
67
122</v>
      </c>
      <c r="AE270" s="11" t="str">
        <f t="shared" si="72"/>
        <v>1
0
1</v>
      </c>
      <c r="AF270" s="11"/>
      <c r="AG270" s="11"/>
      <c r="AH270" s="8">
        <f t="shared" si="73"/>
        <v>51.61</v>
      </c>
      <c r="AI270" s="8">
        <f t="shared" si="74"/>
        <v>31.74</v>
      </c>
      <c r="AJ270" s="8">
        <f t="shared" si="75"/>
        <v>19.059999999999999</v>
      </c>
      <c r="AK270" s="8"/>
      <c r="AL270" s="8"/>
      <c r="AM270" s="8">
        <f t="shared" si="76"/>
        <v>0</v>
      </c>
      <c r="AN270" s="8">
        <f t="shared" si="77"/>
        <v>105.69</v>
      </c>
    </row>
    <row r="271" spans="1:40" ht="48" customHeight="1" x14ac:dyDescent="0.2">
      <c r="A271" s="8" t="str">
        <f>Elettricità!I271</f>
        <v>IT001E04171054</v>
      </c>
      <c r="B271" s="8" t="str">
        <f>Elettricità!A271</f>
        <v>005051431122.pdf</v>
      </c>
      <c r="C271" s="9">
        <f>Elettricità!E271</f>
        <v>45478</v>
      </c>
      <c r="D271" s="9">
        <f>Elettricità!K271</f>
        <v>45444</v>
      </c>
      <c r="E271" s="9">
        <f>Elettricità!L271</f>
        <v>45473</v>
      </c>
      <c r="F271" s="8">
        <f>Elettricità!M271</f>
        <v>263</v>
      </c>
      <c r="G271" s="8">
        <f>Elettricità!N271</f>
        <v>71</v>
      </c>
      <c r="H271" s="8">
        <f>Elettricità!O271</f>
        <v>68</v>
      </c>
      <c r="I271" s="8">
        <f>Elettricità!P271</f>
        <v>124</v>
      </c>
      <c r="J271" s="8">
        <f>Elettricità!Q271</f>
        <v>0</v>
      </c>
      <c r="K271" s="8">
        <f>Elettricità!R271</f>
        <v>0</v>
      </c>
      <c r="L271" s="8">
        <f>Elettricità!S271</f>
        <v>0</v>
      </c>
      <c r="M271" s="8">
        <f>Elettricità!T271</f>
        <v>0</v>
      </c>
      <c r="N271" s="8">
        <f>Elettricità!W271</f>
        <v>89.97</v>
      </c>
      <c r="O271" s="8">
        <f>Elettricità!X271</f>
        <v>109.76</v>
      </c>
      <c r="P271" s="8">
        <f>Elettricità!Y271</f>
        <v>0</v>
      </c>
      <c r="Q271" s="8">
        <f>Elettricità!Z271</f>
        <v>35.01</v>
      </c>
      <c r="R271" s="8">
        <f>Elettricità!AA271</f>
        <v>22.2</v>
      </c>
      <c r="S271" s="8">
        <f>Elettricità!AB271</f>
        <v>29.47</v>
      </c>
      <c r="T271" s="8">
        <f>Elettricità!AC271</f>
        <v>0</v>
      </c>
      <c r="U271" s="8">
        <f>Elettricità!AD271</f>
        <v>19.79</v>
      </c>
      <c r="V271" s="8">
        <f t="shared" si="65"/>
        <v>2024</v>
      </c>
      <c r="W271" s="8">
        <f>_xlfn.XLOOKUP(A271,Fabbricati!E:E,Fabbricati!D:D)</f>
        <v>382909313</v>
      </c>
      <c r="X271" s="9">
        <f t="shared" si="66"/>
        <v>45478</v>
      </c>
      <c r="Y271" s="9">
        <f t="shared" si="67"/>
        <v>45444</v>
      </c>
      <c r="Z271" s="9">
        <f t="shared" si="68"/>
        <v>45473</v>
      </c>
      <c r="AA271" s="8">
        <f t="shared" si="69"/>
        <v>30</v>
      </c>
      <c r="AB271" s="8">
        <f t="shared" si="70"/>
        <v>263</v>
      </c>
      <c r="AC271" s="12" t="s">
        <v>149</v>
      </c>
      <c r="AD271" s="11" t="str">
        <f t="shared" si="71"/>
        <v>71
68
124</v>
      </c>
      <c r="AE271" s="11" t="str">
        <f t="shared" si="72"/>
        <v>0
0
0</v>
      </c>
      <c r="AF271" s="11"/>
      <c r="AG271" s="11"/>
      <c r="AH271" s="8">
        <f t="shared" si="73"/>
        <v>51.67</v>
      </c>
      <c r="AI271" s="8">
        <f t="shared" si="74"/>
        <v>35.01</v>
      </c>
      <c r="AJ271" s="8">
        <f t="shared" si="75"/>
        <v>19.79</v>
      </c>
      <c r="AK271" s="8"/>
      <c r="AL271" s="8"/>
      <c r="AM271" s="8">
        <f t="shared" si="76"/>
        <v>0</v>
      </c>
      <c r="AN271" s="8">
        <f t="shared" si="77"/>
        <v>109.76</v>
      </c>
    </row>
    <row r="272" spans="1:40" ht="48" customHeight="1" x14ac:dyDescent="0.2">
      <c r="A272" s="8" t="str">
        <f>Elettricità!I272</f>
        <v>IT001E04171054</v>
      </c>
      <c r="B272" s="8" t="str">
        <f>Elettricità!A272</f>
        <v>005066074815.PDF</v>
      </c>
      <c r="C272" s="9">
        <f>Elettricità!E272</f>
        <v>45515</v>
      </c>
      <c r="D272" s="9">
        <f>Elettricità!K272</f>
        <v>45474</v>
      </c>
      <c r="E272" s="9">
        <f>Elettricità!L272</f>
        <v>45504</v>
      </c>
      <c r="F272" s="8">
        <f>Elettricità!M272</f>
        <v>235</v>
      </c>
      <c r="G272" s="8">
        <f>Elettricità!N272</f>
        <v>70</v>
      </c>
      <c r="H272" s="8">
        <f>Elettricità!O272</f>
        <v>57</v>
      </c>
      <c r="I272" s="8">
        <f>Elettricità!P272</f>
        <v>108</v>
      </c>
      <c r="J272" s="8">
        <f>Elettricità!Q272</f>
        <v>1</v>
      </c>
      <c r="K272" s="8">
        <f>Elettricità!R272</f>
        <v>0</v>
      </c>
      <c r="L272" s="8">
        <f>Elettricità!S272</f>
        <v>1</v>
      </c>
      <c r="M272" s="8">
        <f>Elettricità!T272</f>
        <v>0</v>
      </c>
      <c r="N272" s="8">
        <f>Elettricità!W272</f>
        <v>89.07</v>
      </c>
      <c r="O272" s="8">
        <f>Elettricità!X272</f>
        <v>108.67</v>
      </c>
      <c r="P272" s="8">
        <f>Elettricità!Y272</f>
        <v>0</v>
      </c>
      <c r="Q272" s="8">
        <f>Elettricità!Z272</f>
        <v>36.17</v>
      </c>
      <c r="R272" s="8">
        <f>Elettricità!AA272</f>
        <v>21.84</v>
      </c>
      <c r="S272" s="8">
        <f>Elettricità!AB272</f>
        <v>28.12</v>
      </c>
      <c r="T272" s="8">
        <f>Elettricità!AC272</f>
        <v>0</v>
      </c>
      <c r="U272" s="8">
        <f>Elettricità!AD272</f>
        <v>19.600000000000001</v>
      </c>
      <c r="V272" s="8">
        <f t="shared" si="65"/>
        <v>2024</v>
      </c>
      <c r="W272" s="8">
        <f>_xlfn.XLOOKUP(A272,Fabbricati!E:E,Fabbricati!D:D)</f>
        <v>382909313</v>
      </c>
      <c r="X272" s="9">
        <f t="shared" si="66"/>
        <v>45515</v>
      </c>
      <c r="Y272" s="9">
        <f t="shared" si="67"/>
        <v>45474</v>
      </c>
      <c r="Z272" s="9">
        <f t="shared" si="68"/>
        <v>45504</v>
      </c>
      <c r="AA272" s="8">
        <f t="shared" si="69"/>
        <v>31</v>
      </c>
      <c r="AB272" s="8">
        <f t="shared" si="70"/>
        <v>235</v>
      </c>
      <c r="AC272" s="12" t="s">
        <v>149</v>
      </c>
      <c r="AD272" s="11" t="str">
        <f t="shared" si="71"/>
        <v>70
57
108</v>
      </c>
      <c r="AE272" s="11" t="str">
        <f t="shared" si="72"/>
        <v>0
1
0</v>
      </c>
      <c r="AF272" s="11"/>
      <c r="AG272" s="11"/>
      <c r="AH272" s="8">
        <f t="shared" si="73"/>
        <v>49.96</v>
      </c>
      <c r="AI272" s="8">
        <f t="shared" si="74"/>
        <v>36.17</v>
      </c>
      <c r="AJ272" s="8">
        <f t="shared" si="75"/>
        <v>19.600000000000001</v>
      </c>
      <c r="AK272" s="8"/>
      <c r="AL272" s="8"/>
      <c r="AM272" s="8">
        <f t="shared" si="76"/>
        <v>0</v>
      </c>
      <c r="AN272" s="8">
        <f t="shared" si="77"/>
        <v>108.67</v>
      </c>
    </row>
    <row r="273" spans="1:40" ht="48" customHeight="1" x14ac:dyDescent="0.2">
      <c r="A273" s="8" t="str">
        <f>Elettricità!I273</f>
        <v>IT001E04171054</v>
      </c>
      <c r="B273" s="8" t="str">
        <f>Elettricità!A273</f>
        <v>005067307622.PDF</v>
      </c>
      <c r="C273" s="9">
        <f>Elettricità!E273</f>
        <v>45541</v>
      </c>
      <c r="D273" s="9">
        <f>Elettricità!K273</f>
        <v>45505</v>
      </c>
      <c r="E273" s="9">
        <f>Elettricità!L273</f>
        <v>45535</v>
      </c>
      <c r="F273" s="8">
        <f>Elettricità!M273</f>
        <v>248</v>
      </c>
      <c r="G273" s="8">
        <f>Elettricità!N273</f>
        <v>65</v>
      </c>
      <c r="H273" s="8">
        <f>Elettricità!O273</f>
        <v>65</v>
      </c>
      <c r="I273" s="8">
        <f>Elettricità!P273</f>
        <v>118</v>
      </c>
      <c r="J273" s="8">
        <f>Elettricità!Q273</f>
        <v>7</v>
      </c>
      <c r="K273" s="8">
        <f>Elettricità!R273</f>
        <v>3</v>
      </c>
      <c r="L273" s="8">
        <f>Elettricità!S273</f>
        <v>1</v>
      </c>
      <c r="M273" s="8">
        <f>Elettricità!T273</f>
        <v>3</v>
      </c>
      <c r="N273" s="8">
        <f>Elettricità!W273</f>
        <v>93.35</v>
      </c>
      <c r="O273" s="8">
        <f>Elettricità!X273</f>
        <v>113.89</v>
      </c>
      <c r="P273" s="8">
        <f>Elettricità!Y273</f>
        <v>0</v>
      </c>
      <c r="Q273" s="8">
        <f>Elettricità!Z273</f>
        <v>39.51</v>
      </c>
      <c r="R273" s="8">
        <f>Elettricità!AA273</f>
        <v>22</v>
      </c>
      <c r="S273" s="8">
        <f>Elettricità!AB273</f>
        <v>28.74</v>
      </c>
      <c r="T273" s="8">
        <f>Elettricità!AC273</f>
        <v>0</v>
      </c>
      <c r="U273" s="8">
        <f>Elettricità!AD273</f>
        <v>20.54</v>
      </c>
      <c r="V273" s="8">
        <f t="shared" si="65"/>
        <v>2024</v>
      </c>
      <c r="W273" s="8">
        <f>_xlfn.XLOOKUP(A273,Fabbricati!E:E,Fabbricati!D:D)</f>
        <v>382909313</v>
      </c>
      <c r="X273" s="9">
        <f t="shared" si="66"/>
        <v>45541</v>
      </c>
      <c r="Y273" s="9">
        <f t="shared" si="67"/>
        <v>45505</v>
      </c>
      <c r="Z273" s="9">
        <f t="shared" si="68"/>
        <v>45535</v>
      </c>
      <c r="AA273" s="8">
        <f t="shared" si="69"/>
        <v>31</v>
      </c>
      <c r="AB273" s="8">
        <f t="shared" si="70"/>
        <v>248</v>
      </c>
      <c r="AC273" s="12" t="s">
        <v>149</v>
      </c>
      <c r="AD273" s="11" t="str">
        <f t="shared" si="71"/>
        <v>65
65
118</v>
      </c>
      <c r="AE273" s="11" t="str">
        <f t="shared" si="72"/>
        <v>3
1
3</v>
      </c>
      <c r="AF273" s="11"/>
      <c r="AG273" s="11"/>
      <c r="AH273" s="8">
        <f t="shared" si="73"/>
        <v>50.739999999999995</v>
      </c>
      <c r="AI273" s="8">
        <f t="shared" si="74"/>
        <v>39.51</v>
      </c>
      <c r="AJ273" s="8">
        <f t="shared" si="75"/>
        <v>20.54</v>
      </c>
      <c r="AK273" s="8"/>
      <c r="AL273" s="8"/>
      <c r="AM273" s="8">
        <f t="shared" si="76"/>
        <v>0</v>
      </c>
      <c r="AN273" s="8">
        <f t="shared" si="77"/>
        <v>113.89</v>
      </c>
    </row>
    <row r="274" spans="1:40" ht="48" customHeight="1" x14ac:dyDescent="0.2">
      <c r="A274" s="8" t="str">
        <f>Elettricità!I274</f>
        <v>IT001E04171054</v>
      </c>
      <c r="B274" s="8" t="str">
        <f>Elettricità!A274</f>
        <v>005076347801.PDF</v>
      </c>
      <c r="C274" s="9">
        <f>Elettricità!E274</f>
        <v>45571</v>
      </c>
      <c r="D274" s="9">
        <f>Elettricità!K274</f>
        <v>45536</v>
      </c>
      <c r="E274" s="9">
        <f>Elettricità!L274</f>
        <v>45565</v>
      </c>
      <c r="F274" s="8">
        <f>Elettricità!M274</f>
        <v>240</v>
      </c>
      <c r="G274" s="8">
        <f>Elettricità!N274</f>
        <v>65</v>
      </c>
      <c r="H274" s="8">
        <f>Elettricità!O274</f>
        <v>60</v>
      </c>
      <c r="I274" s="8">
        <f>Elettricità!P274</f>
        <v>115</v>
      </c>
      <c r="J274" s="8">
        <f>Elettricità!Q274</f>
        <v>3</v>
      </c>
      <c r="K274" s="8">
        <f>Elettricità!R274</f>
        <v>1</v>
      </c>
      <c r="L274" s="8">
        <f>Elettricità!S274</f>
        <v>1</v>
      </c>
      <c r="M274" s="8">
        <f>Elettricità!T274</f>
        <v>1</v>
      </c>
      <c r="N274" s="8">
        <f>Elettricità!W274</f>
        <v>88.06</v>
      </c>
      <c r="O274" s="8">
        <f>Elettricità!X274</f>
        <v>107.43</v>
      </c>
      <c r="P274" s="8">
        <f>Elettricità!Y274</f>
        <v>0</v>
      </c>
      <c r="Q274" s="8">
        <f>Elettricità!Z274</f>
        <v>34.799999999999997</v>
      </c>
      <c r="R274" s="8">
        <f>Elettricità!AA274</f>
        <v>21.9</v>
      </c>
      <c r="S274" s="8">
        <f>Elettricità!AB274</f>
        <v>28.36</v>
      </c>
      <c r="T274" s="8">
        <f>Elettricità!AC274</f>
        <v>0</v>
      </c>
      <c r="U274" s="8">
        <f>Elettricità!AD274</f>
        <v>19.37</v>
      </c>
      <c r="V274" s="8">
        <f t="shared" si="65"/>
        <v>2024</v>
      </c>
      <c r="W274" s="8">
        <f>_xlfn.XLOOKUP(A274,Fabbricati!E:E,Fabbricati!D:D)</f>
        <v>382909313</v>
      </c>
      <c r="X274" s="9">
        <f t="shared" si="66"/>
        <v>45571</v>
      </c>
      <c r="Y274" s="9">
        <f t="shared" si="67"/>
        <v>45536</v>
      </c>
      <c r="Z274" s="9">
        <f t="shared" si="68"/>
        <v>45565</v>
      </c>
      <c r="AA274" s="8">
        <f t="shared" si="69"/>
        <v>30</v>
      </c>
      <c r="AB274" s="8">
        <f t="shared" si="70"/>
        <v>240</v>
      </c>
      <c r="AC274" s="12" t="s">
        <v>149</v>
      </c>
      <c r="AD274" s="11" t="str">
        <f t="shared" si="71"/>
        <v>65
60
115</v>
      </c>
      <c r="AE274" s="11" t="str">
        <f t="shared" si="72"/>
        <v>1
1
1</v>
      </c>
      <c r="AF274" s="11"/>
      <c r="AG274" s="11"/>
      <c r="AH274" s="8">
        <f t="shared" si="73"/>
        <v>50.26</v>
      </c>
      <c r="AI274" s="8">
        <f t="shared" si="74"/>
        <v>34.799999999999997</v>
      </c>
      <c r="AJ274" s="8">
        <f t="shared" si="75"/>
        <v>19.37</v>
      </c>
      <c r="AK274" s="8"/>
      <c r="AL274" s="8"/>
      <c r="AM274" s="8">
        <f t="shared" si="76"/>
        <v>0</v>
      </c>
      <c r="AN274" s="8">
        <f t="shared" si="77"/>
        <v>107.43</v>
      </c>
    </row>
    <row r="275" spans="1:40" ht="48" customHeight="1" x14ac:dyDescent="0.2">
      <c r="A275" s="8" t="str">
        <f>Elettricità!I275</f>
        <v>IT001E04171054</v>
      </c>
      <c r="B275" s="8" t="str">
        <f>Elettricità!A275</f>
        <v>005085485058.PDF</v>
      </c>
      <c r="C275" s="9">
        <f>Elettricità!E275</f>
        <v>45604</v>
      </c>
      <c r="D275" s="9">
        <f>Elettricità!K275</f>
        <v>45566</v>
      </c>
      <c r="E275" s="9">
        <f>Elettricità!L275</f>
        <v>45596</v>
      </c>
      <c r="F275" s="8">
        <f>Elettricità!M275</f>
        <v>267</v>
      </c>
      <c r="G275" s="8">
        <f>Elettricità!N275</f>
        <v>75</v>
      </c>
      <c r="H275" s="8">
        <f>Elettricità!O275</f>
        <v>77</v>
      </c>
      <c r="I275" s="8">
        <f>Elettricità!P275</f>
        <v>115</v>
      </c>
      <c r="J275" s="8">
        <f>Elettricità!Q275</f>
        <v>0</v>
      </c>
      <c r="K275" s="8">
        <f>Elettricità!R275</f>
        <v>0</v>
      </c>
      <c r="L275" s="8">
        <f>Elettricità!S275</f>
        <v>0</v>
      </c>
      <c r="M275" s="8">
        <f>Elettricità!T275</f>
        <v>0</v>
      </c>
      <c r="N275" s="8">
        <f>Elettricità!W275</f>
        <v>94.57</v>
      </c>
      <c r="O275" s="8">
        <f>Elettricità!X275</f>
        <v>115.38</v>
      </c>
      <c r="P275" s="8">
        <f>Elettricità!Y275</f>
        <v>0</v>
      </c>
      <c r="Q275" s="8">
        <f>Elettricità!Z275</f>
        <v>39.31</v>
      </c>
      <c r="R275" s="8">
        <f>Elettricità!AA275</f>
        <v>22.26</v>
      </c>
      <c r="S275" s="8">
        <f>Elettricità!AB275</f>
        <v>29.66</v>
      </c>
      <c r="T275" s="8">
        <f>Elettricità!AC275</f>
        <v>0</v>
      </c>
      <c r="U275" s="8">
        <f>Elettricità!AD275</f>
        <v>20.81</v>
      </c>
      <c r="V275" s="8">
        <f t="shared" si="65"/>
        <v>2024</v>
      </c>
      <c r="W275" s="8">
        <f>_xlfn.XLOOKUP(A275,Fabbricati!E:E,Fabbricati!D:D)</f>
        <v>382909313</v>
      </c>
      <c r="X275" s="9">
        <f t="shared" si="66"/>
        <v>45604</v>
      </c>
      <c r="Y275" s="9">
        <f t="shared" si="67"/>
        <v>45566</v>
      </c>
      <c r="Z275" s="9">
        <f t="shared" si="68"/>
        <v>45596</v>
      </c>
      <c r="AA275" s="8">
        <f t="shared" si="69"/>
        <v>31</v>
      </c>
      <c r="AB275" s="8">
        <f t="shared" si="70"/>
        <v>267</v>
      </c>
      <c r="AC275" s="12" t="s">
        <v>149</v>
      </c>
      <c r="AD275" s="11" t="str">
        <f t="shared" si="71"/>
        <v>75
77
115</v>
      </c>
      <c r="AE275" s="11" t="str">
        <f t="shared" si="72"/>
        <v>0
0
0</v>
      </c>
      <c r="AF275" s="11"/>
      <c r="AG275" s="11"/>
      <c r="AH275" s="8">
        <f t="shared" si="73"/>
        <v>51.92</v>
      </c>
      <c r="AI275" s="8">
        <f t="shared" si="74"/>
        <v>39.31</v>
      </c>
      <c r="AJ275" s="8">
        <f t="shared" si="75"/>
        <v>20.81</v>
      </c>
      <c r="AK275" s="8"/>
      <c r="AL275" s="8"/>
      <c r="AM275" s="8">
        <f t="shared" si="76"/>
        <v>0</v>
      </c>
      <c r="AN275" s="8">
        <f t="shared" si="77"/>
        <v>115.38</v>
      </c>
    </row>
    <row r="276" spans="1:40" ht="48" customHeight="1" x14ac:dyDescent="0.2">
      <c r="A276" s="8" t="str">
        <f>Elettricità!I276</f>
        <v>IT001E04171054</v>
      </c>
      <c r="B276" s="8" t="str">
        <f>Elettricità!A276</f>
        <v>005093369292.PDF</v>
      </c>
      <c r="C276" s="9">
        <f>Elettricità!E276</f>
        <v>45632</v>
      </c>
      <c r="D276" s="9">
        <f>Elettricità!K276</f>
        <v>45597</v>
      </c>
      <c r="E276" s="9">
        <f>Elettricità!L276</f>
        <v>45626</v>
      </c>
      <c r="F276" s="8">
        <f>Elettricità!M276</f>
        <v>537</v>
      </c>
      <c r="G276" s="8">
        <f>Elettricità!N276</f>
        <v>152</v>
      </c>
      <c r="H276" s="8">
        <f>Elettricità!O276</f>
        <v>174</v>
      </c>
      <c r="I276" s="8">
        <f>Elettricità!P276</f>
        <v>211</v>
      </c>
      <c r="J276" s="8">
        <f>Elettricità!Q276</f>
        <v>8</v>
      </c>
      <c r="K276" s="8">
        <f>Elettricità!R276</f>
        <v>2</v>
      </c>
      <c r="L276" s="8">
        <f>Elettricità!S276</f>
        <v>2</v>
      </c>
      <c r="M276" s="8">
        <f>Elettricità!T276</f>
        <v>4</v>
      </c>
      <c r="N276" s="8">
        <f>Elettricità!W276</f>
        <v>162.69999999999999</v>
      </c>
      <c r="O276" s="8">
        <f>Elettricità!X276</f>
        <v>198.49</v>
      </c>
      <c r="P276" s="8">
        <f>Elettricità!Y276</f>
        <v>0</v>
      </c>
      <c r="Q276" s="8">
        <f>Elettricità!Z276</f>
        <v>87.59</v>
      </c>
      <c r="R276" s="8">
        <f>Elettricità!AA276</f>
        <v>25.73</v>
      </c>
      <c r="S276" s="8">
        <f>Elettricità!AB276</f>
        <v>42.67</v>
      </c>
      <c r="T276" s="8">
        <f>Elettricità!AC276</f>
        <v>0</v>
      </c>
      <c r="U276" s="8">
        <f>Elettricità!AD276</f>
        <v>35.79</v>
      </c>
      <c r="V276" s="8">
        <f t="shared" si="65"/>
        <v>2024</v>
      </c>
      <c r="W276" s="8">
        <f>_xlfn.XLOOKUP(A276,Fabbricati!E:E,Fabbricati!D:D)</f>
        <v>382909313</v>
      </c>
      <c r="X276" s="9">
        <f t="shared" si="66"/>
        <v>45632</v>
      </c>
      <c r="Y276" s="9">
        <f t="shared" si="67"/>
        <v>45597</v>
      </c>
      <c r="Z276" s="9">
        <f t="shared" si="68"/>
        <v>45626</v>
      </c>
      <c r="AA276" s="8">
        <f t="shared" si="69"/>
        <v>30</v>
      </c>
      <c r="AB276" s="8">
        <f t="shared" si="70"/>
        <v>537</v>
      </c>
      <c r="AC276" s="12" t="s">
        <v>149</v>
      </c>
      <c r="AD276" s="11" t="str">
        <f t="shared" si="71"/>
        <v>152
174
211</v>
      </c>
      <c r="AE276" s="11" t="str">
        <f t="shared" si="72"/>
        <v>2
2
4</v>
      </c>
      <c r="AF276" s="11"/>
      <c r="AG276" s="11"/>
      <c r="AH276" s="8">
        <f t="shared" si="73"/>
        <v>68.400000000000006</v>
      </c>
      <c r="AI276" s="8">
        <f t="shared" si="74"/>
        <v>87.59</v>
      </c>
      <c r="AJ276" s="8">
        <f t="shared" si="75"/>
        <v>35.79</v>
      </c>
      <c r="AK276" s="8"/>
      <c r="AL276" s="8"/>
      <c r="AM276" s="8">
        <f t="shared" si="76"/>
        <v>0</v>
      </c>
      <c r="AN276" s="8">
        <f t="shared" si="77"/>
        <v>198.49</v>
      </c>
    </row>
    <row r="277" spans="1:40" ht="48" customHeight="1" x14ac:dyDescent="0.2">
      <c r="A277" s="8" t="str">
        <f>Elettricità!I277</f>
        <v>IT001E04171054</v>
      </c>
      <c r="B277" s="8" t="str">
        <f>Elettricità!A277</f>
        <v>005200218705.PDF</v>
      </c>
      <c r="C277" s="9">
        <f>Elettricità!E277</f>
        <v>45665</v>
      </c>
      <c r="D277" s="9">
        <f>Elettricità!K277</f>
        <v>45627</v>
      </c>
      <c r="E277" s="9">
        <f>Elettricità!L277</f>
        <v>45657</v>
      </c>
      <c r="F277" s="8">
        <f>Elettricità!M277</f>
        <v>382</v>
      </c>
      <c r="G277" s="8">
        <f>Elettricità!N277</f>
        <v>101</v>
      </c>
      <c r="H277" s="8">
        <f>Elettricità!O277</f>
        <v>88</v>
      </c>
      <c r="I277" s="8">
        <f>Elettricità!P277</f>
        <v>193</v>
      </c>
      <c r="J277" s="8">
        <f>Elettricità!Q277</f>
        <v>10</v>
      </c>
      <c r="K277" s="8">
        <f>Elettricità!R277</f>
        <v>2</v>
      </c>
      <c r="L277" s="8">
        <f>Elettricità!S277</f>
        <v>2</v>
      </c>
      <c r="M277" s="8">
        <f>Elettricità!T277</f>
        <v>6</v>
      </c>
      <c r="N277" s="8">
        <f>Elettricità!W277</f>
        <v>128.97999999999999</v>
      </c>
      <c r="O277" s="8">
        <f>Elettricità!X277</f>
        <v>157.36000000000001</v>
      </c>
      <c r="P277" s="8">
        <f>Elettricità!Y277</f>
        <v>0</v>
      </c>
      <c r="Q277" s="8">
        <f>Elettricità!Z277</f>
        <v>65.260000000000005</v>
      </c>
      <c r="R277" s="8">
        <f>Elettricità!AA277</f>
        <v>23.73</v>
      </c>
      <c r="S277" s="8">
        <f>Elettricità!AB277</f>
        <v>35.21</v>
      </c>
      <c r="T277" s="8">
        <f>Elettricità!AC277</f>
        <v>0</v>
      </c>
      <c r="U277" s="8">
        <f>Elettricità!AD277</f>
        <v>28.38</v>
      </c>
      <c r="V277" s="8">
        <f t="shared" si="65"/>
        <v>2024</v>
      </c>
      <c r="W277" s="8">
        <f>_xlfn.XLOOKUP(A277,Fabbricati!E:E,Fabbricati!D:D)</f>
        <v>382909313</v>
      </c>
      <c r="X277" s="9">
        <f t="shared" si="66"/>
        <v>45665</v>
      </c>
      <c r="Y277" s="9">
        <f t="shared" si="67"/>
        <v>45627</v>
      </c>
      <c r="Z277" s="9">
        <f t="shared" si="68"/>
        <v>45657</v>
      </c>
      <c r="AA277" s="8">
        <f t="shared" si="69"/>
        <v>31</v>
      </c>
      <c r="AB277" s="8">
        <f t="shared" si="70"/>
        <v>382</v>
      </c>
      <c r="AC277" s="12" t="s">
        <v>149</v>
      </c>
      <c r="AD277" s="11" t="str">
        <f t="shared" si="71"/>
        <v>101
88
193</v>
      </c>
      <c r="AE277" s="11" t="str">
        <f t="shared" si="72"/>
        <v>2
2
6</v>
      </c>
      <c r="AF277" s="11"/>
      <c r="AG277" s="11"/>
      <c r="AH277" s="8">
        <f t="shared" si="73"/>
        <v>58.94</v>
      </c>
      <c r="AI277" s="8">
        <f t="shared" si="74"/>
        <v>65.260000000000005</v>
      </c>
      <c r="AJ277" s="8">
        <f t="shared" si="75"/>
        <v>28.38</v>
      </c>
      <c r="AK277" s="8"/>
      <c r="AL277" s="8"/>
      <c r="AM277" s="8">
        <f t="shared" si="76"/>
        <v>0</v>
      </c>
      <c r="AN277" s="8">
        <f t="shared" si="77"/>
        <v>157.36000000000001</v>
      </c>
    </row>
    <row r="278" spans="1:40" ht="48" customHeight="1" x14ac:dyDescent="0.2">
      <c r="A278" s="8" t="str">
        <f>Elettricità!I278</f>
        <v>IT001E04183781</v>
      </c>
      <c r="B278" s="8" t="str">
        <f>Elettricità!A278</f>
        <v>824500045940_2024_d.pdf</v>
      </c>
      <c r="C278" s="9">
        <f>Elettricità!E278</f>
        <v>45350</v>
      </c>
      <c r="D278" s="9">
        <f>Elettricità!K278</f>
        <v>45292</v>
      </c>
      <c r="E278" s="9">
        <f>Elettricità!L278</f>
        <v>45322</v>
      </c>
      <c r="F278" s="8">
        <f>Elettricità!M278</f>
        <v>4031</v>
      </c>
      <c r="G278" s="8">
        <f>Elettricità!N278</f>
        <v>2739</v>
      </c>
      <c r="H278" s="8">
        <f>Elettricità!O278</f>
        <v>475</v>
      </c>
      <c r="I278" s="8">
        <f>Elettricità!P278</f>
        <v>817</v>
      </c>
      <c r="J278" s="8">
        <f>Elettricità!Q278</f>
        <v>104</v>
      </c>
      <c r="K278" s="8">
        <f>Elettricità!R278</f>
        <v>57</v>
      </c>
      <c r="L278" s="8">
        <f>Elettricità!S278</f>
        <v>14</v>
      </c>
      <c r="M278" s="8">
        <f>Elettricità!T278</f>
        <v>33</v>
      </c>
      <c r="N278" s="8">
        <f>Elettricità!W278</f>
        <v>1019.34</v>
      </c>
      <c r="O278" s="8">
        <f>Elettricità!X278</f>
        <v>1243.5899999999999</v>
      </c>
      <c r="P278" s="8">
        <f>Elettricità!Y278</f>
        <v>0</v>
      </c>
      <c r="Q278" s="8">
        <f>Elettricità!Z278</f>
        <v>652.72</v>
      </c>
      <c r="R278" s="8">
        <f>Elettricità!AA278</f>
        <v>95.42</v>
      </c>
      <c r="S278" s="8">
        <f>Elettricità!AB278</f>
        <v>200.65</v>
      </c>
      <c r="T278" s="8">
        <f>Elettricità!AC278</f>
        <v>20.16</v>
      </c>
      <c r="U278" s="8">
        <f>Elettricità!AD278</f>
        <v>50.39</v>
      </c>
      <c r="V278" s="8">
        <f t="shared" si="65"/>
        <v>2024</v>
      </c>
      <c r="W278" s="8">
        <f>_xlfn.XLOOKUP(A278,Fabbricati!E:E,Fabbricati!D:D)</f>
        <v>382919688</v>
      </c>
      <c r="X278" s="9">
        <f t="shared" si="66"/>
        <v>45350</v>
      </c>
      <c r="Y278" s="9">
        <f t="shared" si="67"/>
        <v>45292</v>
      </c>
      <c r="Z278" s="9">
        <f t="shared" si="68"/>
        <v>45322</v>
      </c>
      <c r="AA278" s="8">
        <f t="shared" si="69"/>
        <v>31</v>
      </c>
      <c r="AB278" s="8">
        <f t="shared" si="70"/>
        <v>4031</v>
      </c>
      <c r="AC278" s="12" t="s">
        <v>149</v>
      </c>
      <c r="AD278" s="11" t="str">
        <f t="shared" si="71"/>
        <v>2739
475
817</v>
      </c>
      <c r="AE278" s="11" t="str">
        <f t="shared" si="72"/>
        <v>57
14
33</v>
      </c>
      <c r="AF278" s="11"/>
      <c r="AG278" s="11"/>
      <c r="AH278" s="8">
        <f t="shared" si="73"/>
        <v>296.07</v>
      </c>
      <c r="AI278" s="8">
        <f t="shared" si="74"/>
        <v>652.72</v>
      </c>
      <c r="AJ278" s="8">
        <f t="shared" si="75"/>
        <v>50.39</v>
      </c>
      <c r="AK278" s="8"/>
      <c r="AL278" s="8"/>
      <c r="AM278" s="8">
        <f t="shared" si="76"/>
        <v>20.16</v>
      </c>
      <c r="AN278" s="8">
        <f t="shared" si="77"/>
        <v>1243.5899999999999</v>
      </c>
    </row>
    <row r="279" spans="1:40" ht="48" customHeight="1" x14ac:dyDescent="0.2">
      <c r="A279" s="8" t="str">
        <f>Elettricità!I279</f>
        <v>IT001E04183781</v>
      </c>
      <c r="B279" s="8" t="str">
        <f>Elettricità!A279</f>
        <v>005018359691.pdf</v>
      </c>
      <c r="C279" s="9">
        <f>Elettricità!E279</f>
        <v>45358</v>
      </c>
      <c r="D279" s="9">
        <f>Elettricità!K279</f>
        <v>45323</v>
      </c>
      <c r="E279" s="9">
        <f>Elettricità!L279</f>
        <v>45351</v>
      </c>
      <c r="F279" s="8">
        <f>Elettricità!M279</f>
        <v>3981</v>
      </c>
      <c r="G279" s="8">
        <f>Elettricità!N279</f>
        <v>2847</v>
      </c>
      <c r="H279" s="8">
        <f>Elettricità!O279</f>
        <v>467</v>
      </c>
      <c r="I279" s="8">
        <f>Elettricità!P279</f>
        <v>667</v>
      </c>
      <c r="J279" s="8">
        <f>Elettricità!Q279</f>
        <v>86</v>
      </c>
      <c r="K279" s="8">
        <f>Elettricità!R279</f>
        <v>46</v>
      </c>
      <c r="L279" s="8">
        <f>Elettricità!S279</f>
        <v>18</v>
      </c>
      <c r="M279" s="8">
        <f>Elettricità!T279</f>
        <v>22</v>
      </c>
      <c r="N279" s="8">
        <f>Elettricità!W279</f>
        <v>839.45</v>
      </c>
      <c r="O279" s="8">
        <f>Elettricità!X279</f>
        <v>1024.1300000000001</v>
      </c>
      <c r="P279" s="8">
        <f>Elettricità!Y279</f>
        <v>0</v>
      </c>
      <c r="Q279" s="8">
        <f>Elettricità!Z279</f>
        <v>496.33</v>
      </c>
      <c r="R279" s="8">
        <f>Elettricità!AA279</f>
        <v>94.78</v>
      </c>
      <c r="S279" s="8">
        <f>Elettricità!AB279</f>
        <v>198.58</v>
      </c>
      <c r="T279" s="8">
        <f>Elettricità!AC279</f>
        <v>0</v>
      </c>
      <c r="U279" s="8">
        <f>Elettricità!AD279</f>
        <v>184.68</v>
      </c>
      <c r="V279" s="8">
        <f t="shared" si="65"/>
        <v>2024</v>
      </c>
      <c r="W279" s="8">
        <f>_xlfn.XLOOKUP(A279,Fabbricati!E:E,Fabbricati!D:D)</f>
        <v>382919688</v>
      </c>
      <c r="X279" s="9">
        <f t="shared" si="66"/>
        <v>45358</v>
      </c>
      <c r="Y279" s="9">
        <f t="shared" si="67"/>
        <v>45323</v>
      </c>
      <c r="Z279" s="9">
        <f t="shared" si="68"/>
        <v>45351</v>
      </c>
      <c r="AA279" s="8">
        <f t="shared" si="69"/>
        <v>29</v>
      </c>
      <c r="AB279" s="8">
        <f t="shared" si="70"/>
        <v>3981</v>
      </c>
      <c r="AC279" s="12" t="s">
        <v>149</v>
      </c>
      <c r="AD279" s="11" t="str">
        <f t="shared" si="71"/>
        <v>2847
467
667</v>
      </c>
      <c r="AE279" s="11" t="str">
        <f t="shared" si="72"/>
        <v>46
18
22</v>
      </c>
      <c r="AF279" s="11"/>
      <c r="AG279" s="11"/>
      <c r="AH279" s="8">
        <f t="shared" si="73"/>
        <v>293.36</v>
      </c>
      <c r="AI279" s="8">
        <f t="shared" si="74"/>
        <v>496.33</v>
      </c>
      <c r="AJ279" s="8">
        <f t="shared" si="75"/>
        <v>184.68</v>
      </c>
      <c r="AK279" s="8"/>
      <c r="AL279" s="8"/>
      <c r="AM279" s="8">
        <f t="shared" si="76"/>
        <v>0</v>
      </c>
      <c r="AN279" s="8">
        <f t="shared" si="77"/>
        <v>1024.1300000000001</v>
      </c>
    </row>
    <row r="280" spans="1:40" ht="48" customHeight="1" x14ac:dyDescent="0.2">
      <c r="A280" s="8" t="str">
        <f>Elettricità!I280</f>
        <v>IT001E04183781</v>
      </c>
      <c r="B280" s="8" t="str">
        <f>Elettricità!A280</f>
        <v>005026659974.pdf</v>
      </c>
      <c r="C280" s="9">
        <f>Elettricità!E280</f>
        <v>45390</v>
      </c>
      <c r="D280" s="9">
        <f>Elettricità!K280</f>
        <v>45352</v>
      </c>
      <c r="E280" s="9">
        <f>Elettricità!L280</f>
        <v>45382</v>
      </c>
      <c r="F280" s="8">
        <f>Elettricità!M280</f>
        <v>3538</v>
      </c>
      <c r="G280" s="8">
        <f>Elettricità!N280</f>
        <v>2504</v>
      </c>
      <c r="H280" s="8">
        <f>Elettricità!O280</f>
        <v>402</v>
      </c>
      <c r="I280" s="8">
        <f>Elettricità!P280</f>
        <v>632</v>
      </c>
      <c r="J280" s="8">
        <f>Elettricità!Q280</f>
        <v>74</v>
      </c>
      <c r="K280" s="8">
        <f>Elettricità!R280</f>
        <v>49</v>
      </c>
      <c r="L280" s="8">
        <f>Elettricità!S280</f>
        <v>13</v>
      </c>
      <c r="M280" s="8">
        <f>Elettricità!T280</f>
        <v>12</v>
      </c>
      <c r="N280" s="8">
        <f>Elettricità!W280</f>
        <v>737.35</v>
      </c>
      <c r="O280" s="8">
        <f>Elettricità!X280</f>
        <v>899.57</v>
      </c>
      <c r="P280" s="8">
        <f>Elettricità!Y280</f>
        <v>0</v>
      </c>
      <c r="Q280" s="8">
        <f>Elettricità!Z280</f>
        <v>423.81</v>
      </c>
      <c r="R280" s="8">
        <f>Elettricità!AA280</f>
        <v>89.09</v>
      </c>
      <c r="S280" s="8">
        <f>Elettricità!AB280</f>
        <v>180.22</v>
      </c>
      <c r="T280" s="8">
        <f>Elettricità!AC280</f>
        <v>0</v>
      </c>
      <c r="U280" s="8">
        <f>Elettricità!AD280</f>
        <v>162.22</v>
      </c>
      <c r="V280" s="8">
        <f t="shared" si="65"/>
        <v>2024</v>
      </c>
      <c r="W280" s="8">
        <f>_xlfn.XLOOKUP(A280,Fabbricati!E:E,Fabbricati!D:D)</f>
        <v>382919688</v>
      </c>
      <c r="X280" s="9">
        <f t="shared" si="66"/>
        <v>45390</v>
      </c>
      <c r="Y280" s="9">
        <f t="shared" si="67"/>
        <v>45352</v>
      </c>
      <c r="Z280" s="9">
        <f t="shared" si="68"/>
        <v>45382</v>
      </c>
      <c r="AA280" s="8">
        <f t="shared" si="69"/>
        <v>31</v>
      </c>
      <c r="AB280" s="8">
        <f t="shared" si="70"/>
        <v>3538</v>
      </c>
      <c r="AC280" s="12" t="s">
        <v>149</v>
      </c>
      <c r="AD280" s="11" t="str">
        <f t="shared" si="71"/>
        <v>2504
402
632</v>
      </c>
      <c r="AE280" s="11" t="str">
        <f t="shared" si="72"/>
        <v>49
13
12</v>
      </c>
      <c r="AF280" s="11"/>
      <c r="AG280" s="11"/>
      <c r="AH280" s="8">
        <f t="shared" si="73"/>
        <v>269.31</v>
      </c>
      <c r="AI280" s="8">
        <f t="shared" si="74"/>
        <v>423.81</v>
      </c>
      <c r="AJ280" s="8">
        <f t="shared" si="75"/>
        <v>162.22</v>
      </c>
      <c r="AK280" s="8"/>
      <c r="AL280" s="8"/>
      <c r="AM280" s="8">
        <f t="shared" si="76"/>
        <v>0</v>
      </c>
      <c r="AN280" s="8">
        <f t="shared" si="77"/>
        <v>899.57</v>
      </c>
    </row>
    <row r="281" spans="1:40" ht="48" customHeight="1" x14ac:dyDescent="0.2">
      <c r="A281" s="8" t="str">
        <f>Elettricità!I281</f>
        <v>IT001E04183781</v>
      </c>
      <c r="B281" s="8" t="str">
        <f>Elettricità!A281</f>
        <v>005034930244.PDF</v>
      </c>
      <c r="C281" s="9">
        <f>Elettricità!E281</f>
        <v>45419</v>
      </c>
      <c r="D281" s="9">
        <f>Elettricità!K281</f>
        <v>45383</v>
      </c>
      <c r="E281" s="9">
        <f>Elettricità!L281</f>
        <v>45412</v>
      </c>
      <c r="F281" s="8">
        <f>Elettricità!M281</f>
        <v>2656</v>
      </c>
      <c r="G281" s="8">
        <f>Elettricità!N281</f>
        <v>1862</v>
      </c>
      <c r="H281" s="8">
        <f>Elettricità!O281</f>
        <v>277</v>
      </c>
      <c r="I281" s="8">
        <f>Elettricità!P281</f>
        <v>517</v>
      </c>
      <c r="J281" s="8">
        <f>Elettricità!Q281</f>
        <v>103</v>
      </c>
      <c r="K281" s="8">
        <f>Elettricità!R281</f>
        <v>63</v>
      </c>
      <c r="L281" s="8">
        <f>Elettricità!S281</f>
        <v>18</v>
      </c>
      <c r="M281" s="8">
        <f>Elettricità!T281</f>
        <v>22</v>
      </c>
      <c r="N281" s="8">
        <f>Elettricità!W281</f>
        <v>574.22</v>
      </c>
      <c r="O281" s="8">
        <f>Elettricità!X281</f>
        <v>700.55</v>
      </c>
      <c r="P281" s="8">
        <f>Elettricità!Y281</f>
        <v>0</v>
      </c>
      <c r="Q281" s="8">
        <f>Elettricità!Z281</f>
        <v>296.10000000000002</v>
      </c>
      <c r="R281" s="8">
        <f>Elettricità!AA281</f>
        <v>77.75</v>
      </c>
      <c r="S281" s="8">
        <f>Elettricità!AB281</f>
        <v>167.17</v>
      </c>
      <c r="T281" s="8">
        <f>Elettricità!AC281</f>
        <v>0</v>
      </c>
      <c r="U281" s="8">
        <f>Elettricità!AD281</f>
        <v>126.33</v>
      </c>
      <c r="V281" s="8">
        <f t="shared" si="65"/>
        <v>2024</v>
      </c>
      <c r="W281" s="8">
        <f>_xlfn.XLOOKUP(A281,Fabbricati!E:E,Fabbricati!D:D)</f>
        <v>382919688</v>
      </c>
      <c r="X281" s="9">
        <f t="shared" si="66"/>
        <v>45419</v>
      </c>
      <c r="Y281" s="9">
        <f t="shared" si="67"/>
        <v>45383</v>
      </c>
      <c r="Z281" s="9">
        <f t="shared" si="68"/>
        <v>45412</v>
      </c>
      <c r="AA281" s="8">
        <f t="shared" si="69"/>
        <v>30</v>
      </c>
      <c r="AB281" s="8">
        <f t="shared" si="70"/>
        <v>2656</v>
      </c>
      <c r="AC281" s="12" t="s">
        <v>149</v>
      </c>
      <c r="AD281" s="11" t="str">
        <f t="shared" si="71"/>
        <v>1862
277
517</v>
      </c>
      <c r="AE281" s="11" t="str">
        <f t="shared" si="72"/>
        <v>63
18
22</v>
      </c>
      <c r="AF281" s="11"/>
      <c r="AG281" s="11"/>
      <c r="AH281" s="8">
        <f t="shared" si="73"/>
        <v>244.92</v>
      </c>
      <c r="AI281" s="8">
        <f t="shared" si="74"/>
        <v>296.10000000000002</v>
      </c>
      <c r="AJ281" s="8">
        <f t="shared" si="75"/>
        <v>126.33</v>
      </c>
      <c r="AK281" s="8"/>
      <c r="AL281" s="8"/>
      <c r="AM281" s="8">
        <f t="shared" si="76"/>
        <v>0</v>
      </c>
      <c r="AN281" s="8">
        <f t="shared" si="77"/>
        <v>700.55</v>
      </c>
    </row>
    <row r="282" spans="1:40" ht="48" customHeight="1" x14ac:dyDescent="0.2">
      <c r="A282" s="8" t="str">
        <f>Elettricità!I282</f>
        <v>IT001E04183781</v>
      </c>
      <c r="B282" s="8" t="str">
        <f>Elettricità!A282</f>
        <v>005043663110.PDF</v>
      </c>
      <c r="C282" s="9">
        <f>Elettricità!E282</f>
        <v>45449</v>
      </c>
      <c r="D282" s="9">
        <f>Elettricità!K282</f>
        <v>45413</v>
      </c>
      <c r="E282" s="9">
        <f>Elettricità!L282</f>
        <v>45417</v>
      </c>
      <c r="F282" s="8">
        <f>Elettricità!M282</f>
        <v>2900</v>
      </c>
      <c r="G282" s="8">
        <f>Elettricità!N282</f>
        <v>2272</v>
      </c>
      <c r="H282" s="8">
        <f>Elettricità!O282</f>
        <v>243</v>
      </c>
      <c r="I282" s="8">
        <f>Elettricità!P282</f>
        <v>385</v>
      </c>
      <c r="J282" s="8">
        <f>Elettricità!Q282</f>
        <v>41</v>
      </c>
      <c r="K282" s="8">
        <f>Elettricità!R282</f>
        <v>30</v>
      </c>
      <c r="L282" s="8">
        <f>Elettricità!S282</f>
        <v>7</v>
      </c>
      <c r="M282" s="8">
        <f>Elettricità!T282</f>
        <v>4</v>
      </c>
      <c r="N282" s="8">
        <f>Elettricità!W282</f>
        <v>643.74</v>
      </c>
      <c r="O282" s="8">
        <f>Elettricità!X282</f>
        <v>785.36</v>
      </c>
      <c r="P282" s="8">
        <f>Elettricità!Y282</f>
        <v>0</v>
      </c>
      <c r="Q282" s="8">
        <f>Elettricità!Z282</f>
        <v>347.68</v>
      </c>
      <c r="R282" s="8">
        <f>Elettricità!AA282</f>
        <v>80.89</v>
      </c>
      <c r="S282" s="8">
        <f>Elettricità!AB282</f>
        <v>178.92</v>
      </c>
      <c r="T282" s="8">
        <f>Elettricità!AC282</f>
        <v>0</v>
      </c>
      <c r="U282" s="8">
        <f>Elettricità!AD282</f>
        <v>141.62</v>
      </c>
      <c r="V282" s="8">
        <f t="shared" si="65"/>
        <v>2024</v>
      </c>
      <c r="W282" s="8">
        <f>_xlfn.XLOOKUP(A282,Fabbricati!E:E,Fabbricati!D:D)</f>
        <v>382919688</v>
      </c>
      <c r="X282" s="9">
        <f t="shared" si="66"/>
        <v>45449</v>
      </c>
      <c r="Y282" s="9">
        <f t="shared" si="67"/>
        <v>45413</v>
      </c>
      <c r="Z282" s="9">
        <f t="shared" si="68"/>
        <v>45417</v>
      </c>
      <c r="AA282" s="8">
        <f t="shared" si="69"/>
        <v>5</v>
      </c>
      <c r="AB282" s="8">
        <f t="shared" si="70"/>
        <v>2900</v>
      </c>
      <c r="AC282" s="12" t="s">
        <v>149</v>
      </c>
      <c r="AD282" s="11" t="str">
        <f t="shared" si="71"/>
        <v>2272
243
385</v>
      </c>
      <c r="AE282" s="11" t="str">
        <f t="shared" si="72"/>
        <v>30
7
4</v>
      </c>
      <c r="AF282" s="11"/>
      <c r="AG282" s="11"/>
      <c r="AH282" s="8">
        <f t="shared" si="73"/>
        <v>259.81</v>
      </c>
      <c r="AI282" s="8">
        <f t="shared" si="74"/>
        <v>347.68</v>
      </c>
      <c r="AJ282" s="8">
        <f t="shared" si="75"/>
        <v>141.62</v>
      </c>
      <c r="AK282" s="8"/>
      <c r="AL282" s="8"/>
      <c r="AM282" s="8">
        <f t="shared" si="76"/>
        <v>0</v>
      </c>
      <c r="AN282" s="8">
        <f t="shared" si="77"/>
        <v>785.36</v>
      </c>
    </row>
    <row r="283" spans="1:40" ht="48" customHeight="1" x14ac:dyDescent="0.2">
      <c r="A283" s="8" t="str">
        <f>Elettricità!I283</f>
        <v>IT001E04183781</v>
      </c>
      <c r="B283" s="8" t="str">
        <f>Elettricità!A283</f>
        <v>005051431121(2).PDF</v>
      </c>
      <c r="C283" s="9">
        <f>Elettricità!E283</f>
        <v>45478</v>
      </c>
      <c r="D283" s="9">
        <f>Elettricità!K283</f>
        <v>45444</v>
      </c>
      <c r="E283" s="9">
        <f>Elettricità!L283</f>
        <v>45473</v>
      </c>
      <c r="F283" s="8">
        <f>Elettricità!M283</f>
        <v>1020</v>
      </c>
      <c r="G283" s="8">
        <f>Elettricità!N283</f>
        <v>569</v>
      </c>
      <c r="H283" s="8">
        <f>Elettricità!O283</f>
        <v>142</v>
      </c>
      <c r="I283" s="8">
        <f>Elettricità!P283</f>
        <v>309</v>
      </c>
      <c r="J283" s="8">
        <f>Elettricità!Q283</f>
        <v>41</v>
      </c>
      <c r="K283" s="8">
        <f>Elettricità!R283</f>
        <v>19</v>
      </c>
      <c r="L283" s="8">
        <f>Elettricità!S283</f>
        <v>9</v>
      </c>
      <c r="M283" s="8">
        <f>Elettricità!T283</f>
        <v>13</v>
      </c>
      <c r="N283" s="8">
        <f>Elettricità!W283</f>
        <v>293.62</v>
      </c>
      <c r="O283" s="8">
        <f>Elettricità!X283</f>
        <v>358.22</v>
      </c>
      <c r="P283" s="8">
        <f>Elettricità!Y283</f>
        <v>0</v>
      </c>
      <c r="Q283" s="8">
        <f>Elettricità!Z283</f>
        <v>135.85</v>
      </c>
      <c r="R283" s="8">
        <f>Elettricità!AA283</f>
        <v>56.72</v>
      </c>
      <c r="S283" s="8">
        <f>Elettricità!AB283</f>
        <v>88.3</v>
      </c>
      <c r="T283" s="8">
        <f>Elettricità!AC283</f>
        <v>0</v>
      </c>
      <c r="U283" s="8">
        <f>Elettricità!AD283</f>
        <v>64.599999999999994</v>
      </c>
      <c r="V283" s="8">
        <f t="shared" si="65"/>
        <v>2024</v>
      </c>
      <c r="W283" s="8">
        <f>_xlfn.XLOOKUP(A283,Fabbricati!E:E,Fabbricati!D:D)</f>
        <v>382919688</v>
      </c>
      <c r="X283" s="9">
        <f t="shared" si="66"/>
        <v>45478</v>
      </c>
      <c r="Y283" s="9">
        <f t="shared" si="67"/>
        <v>45444</v>
      </c>
      <c r="Z283" s="9">
        <f t="shared" si="68"/>
        <v>45473</v>
      </c>
      <c r="AA283" s="8">
        <f t="shared" si="69"/>
        <v>30</v>
      </c>
      <c r="AB283" s="8">
        <f t="shared" si="70"/>
        <v>1020</v>
      </c>
      <c r="AC283" s="12" t="s">
        <v>149</v>
      </c>
      <c r="AD283" s="11" t="str">
        <f t="shared" si="71"/>
        <v>569
142
309</v>
      </c>
      <c r="AE283" s="11" t="str">
        <f t="shared" si="72"/>
        <v>19
9
13</v>
      </c>
      <c r="AF283" s="11"/>
      <c r="AG283" s="11"/>
      <c r="AH283" s="8">
        <f t="shared" si="73"/>
        <v>145.01999999999998</v>
      </c>
      <c r="AI283" s="8">
        <f t="shared" si="74"/>
        <v>135.85</v>
      </c>
      <c r="AJ283" s="8">
        <f t="shared" si="75"/>
        <v>64.599999999999994</v>
      </c>
      <c r="AK283" s="8"/>
      <c r="AL283" s="8"/>
      <c r="AM283" s="8">
        <f t="shared" si="76"/>
        <v>0</v>
      </c>
      <c r="AN283" s="8">
        <f t="shared" si="77"/>
        <v>358.22</v>
      </c>
    </row>
    <row r="284" spans="1:40" ht="48" customHeight="1" x14ac:dyDescent="0.2">
      <c r="A284" s="8" t="str">
        <f>Elettricità!I284</f>
        <v>IT001E04183781</v>
      </c>
      <c r="B284" s="8" t="str">
        <f>Elettricità!A284</f>
        <v>005059958085.PDF</v>
      </c>
      <c r="C284" s="9">
        <f>Elettricità!E284</f>
        <v>45511</v>
      </c>
      <c r="D284" s="9">
        <f>Elettricità!K284</f>
        <v>45474</v>
      </c>
      <c r="E284" s="9">
        <f>Elettricità!L284</f>
        <v>45504</v>
      </c>
      <c r="F284" s="8">
        <f>Elettricità!M284</f>
        <v>336</v>
      </c>
      <c r="G284" s="8">
        <f>Elettricità!N284</f>
        <v>14</v>
      </c>
      <c r="H284" s="8">
        <f>Elettricità!O284</f>
        <v>93</v>
      </c>
      <c r="I284" s="8">
        <f>Elettricità!P284</f>
        <v>229</v>
      </c>
      <c r="J284" s="8">
        <f>Elettricità!Q284</f>
        <v>22</v>
      </c>
      <c r="K284" s="8">
        <f>Elettricità!R284</f>
        <v>4</v>
      </c>
      <c r="L284" s="8">
        <f>Elettricità!S284</f>
        <v>7</v>
      </c>
      <c r="M284" s="8">
        <f>Elettricità!T284</f>
        <v>11</v>
      </c>
      <c r="N284" s="8">
        <f>Elettricità!W284</f>
        <v>158.97</v>
      </c>
      <c r="O284" s="8">
        <f>Elettricità!X284</f>
        <v>193.94</v>
      </c>
      <c r="P284" s="8">
        <f>Elettricità!Y284</f>
        <v>0</v>
      </c>
      <c r="Q284" s="8">
        <f>Elettricità!Z284</f>
        <v>51.5</v>
      </c>
      <c r="R284" s="8">
        <f>Elettricità!AA284</f>
        <v>47.94</v>
      </c>
      <c r="S284" s="8">
        <f>Elettricità!AB284</f>
        <v>55.33</v>
      </c>
      <c r="T284" s="8">
        <f>Elettricità!AC284</f>
        <v>0</v>
      </c>
      <c r="U284" s="8">
        <f>Elettricità!AD284</f>
        <v>34.97</v>
      </c>
      <c r="V284" s="8">
        <f t="shared" si="65"/>
        <v>2024</v>
      </c>
      <c r="W284" s="8">
        <f>_xlfn.XLOOKUP(A284,Fabbricati!E:E,Fabbricati!D:D)</f>
        <v>382919688</v>
      </c>
      <c r="X284" s="9">
        <f t="shared" si="66"/>
        <v>45511</v>
      </c>
      <c r="Y284" s="9">
        <f t="shared" si="67"/>
        <v>45474</v>
      </c>
      <c r="Z284" s="9">
        <f t="shared" si="68"/>
        <v>45504</v>
      </c>
      <c r="AA284" s="8">
        <f t="shared" si="69"/>
        <v>31</v>
      </c>
      <c r="AB284" s="8">
        <f t="shared" si="70"/>
        <v>336</v>
      </c>
      <c r="AC284" s="12" t="s">
        <v>149</v>
      </c>
      <c r="AD284" s="11" t="str">
        <f t="shared" si="71"/>
        <v>14
93
229</v>
      </c>
      <c r="AE284" s="11" t="str">
        <f t="shared" si="72"/>
        <v>4
7
11</v>
      </c>
      <c r="AF284" s="11"/>
      <c r="AG284" s="11"/>
      <c r="AH284" s="8">
        <f t="shared" si="73"/>
        <v>103.27</v>
      </c>
      <c r="AI284" s="8">
        <f t="shared" si="74"/>
        <v>51.5</v>
      </c>
      <c r="AJ284" s="8">
        <f t="shared" si="75"/>
        <v>34.97</v>
      </c>
      <c r="AK284" s="8"/>
      <c r="AL284" s="8"/>
      <c r="AM284" s="8">
        <f t="shared" si="76"/>
        <v>0</v>
      </c>
      <c r="AN284" s="8">
        <f t="shared" si="77"/>
        <v>193.94</v>
      </c>
    </row>
    <row r="285" spans="1:40" ht="48" customHeight="1" x14ac:dyDescent="0.2">
      <c r="A285" s="8" t="str">
        <f>Elettricità!I285</f>
        <v>IT001E04183781</v>
      </c>
      <c r="B285" s="8" t="str">
        <f>Elettricità!A285</f>
        <v>005067307621.PDF</v>
      </c>
      <c r="C285" s="9">
        <f>Elettricità!E285</f>
        <v>45541</v>
      </c>
      <c r="D285" s="9">
        <f>Elettricità!K285</f>
        <v>45505</v>
      </c>
      <c r="E285" s="9">
        <f>Elettricità!L285</f>
        <v>45535</v>
      </c>
      <c r="F285" s="8">
        <f>Elettricità!M285</f>
        <v>4511</v>
      </c>
      <c r="G285" s="8">
        <f>Elettricità!N285</f>
        <v>2869</v>
      </c>
      <c r="H285" s="8">
        <f>Elettricità!O285</f>
        <v>552</v>
      </c>
      <c r="I285" s="8">
        <f>Elettricità!P285</f>
        <v>1090</v>
      </c>
      <c r="J285" s="8">
        <f>Elettricità!Q285</f>
        <v>111</v>
      </c>
      <c r="K285" s="8">
        <f>Elettricità!R285</f>
        <v>58</v>
      </c>
      <c r="L285" s="8">
        <f>Elettricità!S285</f>
        <v>24</v>
      </c>
      <c r="M285" s="8">
        <f>Elettricità!T285</f>
        <v>29</v>
      </c>
      <c r="N285" s="8">
        <f>Elettricità!W285</f>
        <v>145.63999999999999</v>
      </c>
      <c r="O285" s="8">
        <f>Elettricità!X285</f>
        <v>177.68</v>
      </c>
      <c r="P285" s="8">
        <f>Elettricità!Y285</f>
        <v>0</v>
      </c>
      <c r="Q285" s="8">
        <f>Elettricità!Z285</f>
        <v>40.630000000000003</v>
      </c>
      <c r="R285" s="8">
        <f>Elettricità!AA285</f>
        <v>46.9</v>
      </c>
      <c r="S285" s="8">
        <f>Elettricità!AB285</f>
        <v>51.43</v>
      </c>
      <c r="T285" s="8">
        <f>Elettricità!AC285</f>
        <v>0</v>
      </c>
      <c r="U285" s="8">
        <f>Elettricità!AD285</f>
        <v>32.04</v>
      </c>
      <c r="V285" s="8">
        <f t="shared" si="65"/>
        <v>2024</v>
      </c>
      <c r="W285" s="8">
        <f>_xlfn.XLOOKUP(A285,Fabbricati!E:E,Fabbricati!D:D)</f>
        <v>382919688</v>
      </c>
      <c r="X285" s="9">
        <f t="shared" si="66"/>
        <v>45541</v>
      </c>
      <c r="Y285" s="9">
        <f t="shared" si="67"/>
        <v>45505</v>
      </c>
      <c r="Z285" s="9">
        <f t="shared" si="68"/>
        <v>45535</v>
      </c>
      <c r="AA285" s="8">
        <f t="shared" si="69"/>
        <v>31</v>
      </c>
      <c r="AB285" s="8">
        <f t="shared" si="70"/>
        <v>4511</v>
      </c>
      <c r="AC285" s="12" t="s">
        <v>149</v>
      </c>
      <c r="AD285" s="11" t="str">
        <f t="shared" si="71"/>
        <v>2869
552
1090</v>
      </c>
      <c r="AE285" s="11" t="str">
        <f t="shared" si="72"/>
        <v>58
24
29</v>
      </c>
      <c r="AF285" s="11"/>
      <c r="AG285" s="11"/>
      <c r="AH285" s="8">
        <f t="shared" si="73"/>
        <v>98.33</v>
      </c>
      <c r="AI285" s="8">
        <f t="shared" si="74"/>
        <v>40.630000000000003</v>
      </c>
      <c r="AJ285" s="8">
        <f t="shared" si="75"/>
        <v>32.04</v>
      </c>
      <c r="AK285" s="8"/>
      <c r="AL285" s="8"/>
      <c r="AM285" s="8">
        <f t="shared" si="76"/>
        <v>0</v>
      </c>
      <c r="AN285" s="8">
        <f t="shared" si="77"/>
        <v>177.68</v>
      </c>
    </row>
    <row r="286" spans="1:40" ht="48" customHeight="1" x14ac:dyDescent="0.2">
      <c r="A286" s="8" t="str">
        <f>Elettricità!I286</f>
        <v>IT001E04183781</v>
      </c>
      <c r="B286" s="8" t="str">
        <f>Elettricità!A286</f>
        <v>005085485057.PDF</v>
      </c>
      <c r="C286" s="9">
        <f>Elettricità!E286</f>
        <v>45604</v>
      </c>
      <c r="D286" s="9">
        <f>Elettricità!K286</f>
        <v>45566</v>
      </c>
      <c r="E286" s="9">
        <f>Elettricità!L286</f>
        <v>45596</v>
      </c>
      <c r="F286" s="8">
        <f>Elettricità!M286</f>
        <v>4320</v>
      </c>
      <c r="G286" s="8">
        <f>Elettricità!N286</f>
        <v>3467</v>
      </c>
      <c r="H286" s="8">
        <f>Elettricità!O286</f>
        <v>385</v>
      </c>
      <c r="I286" s="8">
        <f>Elettricità!P286</f>
        <v>468</v>
      </c>
      <c r="J286" s="8">
        <f>Elettricità!Q286</f>
        <v>93</v>
      </c>
      <c r="K286" s="8">
        <f>Elettricità!R286</f>
        <v>58</v>
      </c>
      <c r="L286" s="8">
        <f>Elettricità!S286</f>
        <v>22</v>
      </c>
      <c r="M286" s="8">
        <f>Elettricità!T286</f>
        <v>13</v>
      </c>
      <c r="N286" s="8">
        <f>Elettricità!W286</f>
        <v>1059.8399999999999</v>
      </c>
      <c r="O286" s="8">
        <f>Elettricità!X286</f>
        <v>1293</v>
      </c>
      <c r="P286" s="8">
        <f>Elettricità!Y286</f>
        <v>0</v>
      </c>
      <c r="Q286" s="8">
        <f>Elettricità!Z286</f>
        <v>659.33</v>
      </c>
      <c r="R286" s="8">
        <f>Elettricità!AA286</f>
        <v>99.13</v>
      </c>
      <c r="S286" s="8">
        <f>Elettricità!AB286</f>
        <v>247.38</v>
      </c>
      <c r="T286" s="8">
        <f>Elettricità!AC286</f>
        <v>0</v>
      </c>
      <c r="U286" s="8">
        <f>Elettricità!AD286</f>
        <v>233.16</v>
      </c>
      <c r="V286" s="8">
        <f t="shared" si="65"/>
        <v>2024</v>
      </c>
      <c r="W286" s="8">
        <f>_xlfn.XLOOKUP(A286,Fabbricati!E:E,Fabbricati!D:D)</f>
        <v>382919688</v>
      </c>
      <c r="X286" s="9">
        <f t="shared" si="66"/>
        <v>45604</v>
      </c>
      <c r="Y286" s="9">
        <f t="shared" si="67"/>
        <v>45566</v>
      </c>
      <c r="Z286" s="9">
        <f t="shared" si="68"/>
        <v>45596</v>
      </c>
      <c r="AA286" s="8">
        <f t="shared" si="69"/>
        <v>31</v>
      </c>
      <c r="AB286" s="8">
        <f t="shared" si="70"/>
        <v>4320</v>
      </c>
      <c r="AC286" s="12" t="s">
        <v>149</v>
      </c>
      <c r="AD286" s="11" t="str">
        <f t="shared" si="71"/>
        <v>3467
385
468</v>
      </c>
      <c r="AE286" s="11" t="str">
        <f t="shared" si="72"/>
        <v>58
22
13</v>
      </c>
      <c r="AF286" s="11"/>
      <c r="AG286" s="11"/>
      <c r="AH286" s="8">
        <f t="shared" si="73"/>
        <v>346.51</v>
      </c>
      <c r="AI286" s="8">
        <f t="shared" si="74"/>
        <v>659.33</v>
      </c>
      <c r="AJ286" s="8">
        <f t="shared" si="75"/>
        <v>233.16</v>
      </c>
      <c r="AK286" s="8"/>
      <c r="AL286" s="8"/>
      <c r="AM286" s="8">
        <f t="shared" si="76"/>
        <v>0</v>
      </c>
      <c r="AN286" s="8">
        <f t="shared" si="77"/>
        <v>1293</v>
      </c>
    </row>
    <row r="287" spans="1:40" ht="48" customHeight="1" x14ac:dyDescent="0.2">
      <c r="A287" s="8" t="str">
        <f>Elettricità!I287</f>
        <v>IT001E04183781</v>
      </c>
      <c r="B287" s="8" t="str">
        <f>Elettricità!A287</f>
        <v>005093369291.PDF</v>
      </c>
      <c r="C287" s="9">
        <f>Elettricità!E287</f>
        <v>45632</v>
      </c>
      <c r="D287" s="9">
        <f>Elettricità!K287</f>
        <v>45597</v>
      </c>
      <c r="E287" s="9">
        <f>Elettricità!L287</f>
        <v>45626</v>
      </c>
      <c r="F287" s="8">
        <f>Elettricità!M287</f>
        <v>4078</v>
      </c>
      <c r="G287" s="8">
        <f>Elettricità!N287</f>
        <v>3004</v>
      </c>
      <c r="H287" s="8">
        <f>Elettricità!O287</f>
        <v>446</v>
      </c>
      <c r="I287" s="8">
        <f>Elettricità!P287</f>
        <v>628</v>
      </c>
      <c r="J287" s="8">
        <f>Elettricità!Q287</f>
        <v>106</v>
      </c>
      <c r="K287" s="8">
        <f>Elettricità!R287</f>
        <v>71</v>
      </c>
      <c r="L287" s="8">
        <f>Elettricità!S287</f>
        <v>29</v>
      </c>
      <c r="M287" s="8">
        <f>Elettricità!T287</f>
        <v>6</v>
      </c>
      <c r="N287" s="8">
        <f>Elettricità!W287</f>
        <v>1087.01</v>
      </c>
      <c r="O287" s="8">
        <f>Elettricità!X287</f>
        <v>1326.15</v>
      </c>
      <c r="P287" s="8">
        <f>Elettricità!Y287</f>
        <v>0</v>
      </c>
      <c r="Q287" s="8">
        <f>Elettricità!Z287</f>
        <v>704.29</v>
      </c>
      <c r="R287" s="8">
        <f>Elettricità!AA287</f>
        <v>96.03</v>
      </c>
      <c r="S287" s="8">
        <f>Elettricità!AB287</f>
        <v>235.71</v>
      </c>
      <c r="T287" s="8">
        <f>Elettricità!AC287</f>
        <v>0</v>
      </c>
      <c r="U287" s="8">
        <f>Elettricità!AD287</f>
        <v>239.14</v>
      </c>
      <c r="V287" s="8">
        <f t="shared" si="65"/>
        <v>2024</v>
      </c>
      <c r="W287" s="8">
        <f>_xlfn.XLOOKUP(A287,Fabbricati!E:E,Fabbricati!D:D)</f>
        <v>382919688</v>
      </c>
      <c r="X287" s="9">
        <f t="shared" si="66"/>
        <v>45632</v>
      </c>
      <c r="Y287" s="9">
        <f t="shared" si="67"/>
        <v>45597</v>
      </c>
      <c r="Z287" s="9">
        <f t="shared" si="68"/>
        <v>45626</v>
      </c>
      <c r="AA287" s="8">
        <f t="shared" si="69"/>
        <v>30</v>
      </c>
      <c r="AB287" s="8">
        <f t="shared" si="70"/>
        <v>4078</v>
      </c>
      <c r="AC287" s="12" t="s">
        <v>149</v>
      </c>
      <c r="AD287" s="11" t="str">
        <f t="shared" si="71"/>
        <v>3004
446
628</v>
      </c>
      <c r="AE287" s="11" t="str">
        <f t="shared" si="72"/>
        <v>71
29
6</v>
      </c>
      <c r="AF287" s="11"/>
      <c r="AG287" s="11"/>
      <c r="AH287" s="8">
        <f t="shared" si="73"/>
        <v>331.74</v>
      </c>
      <c r="AI287" s="8">
        <f t="shared" si="74"/>
        <v>704.29</v>
      </c>
      <c r="AJ287" s="8">
        <f t="shared" si="75"/>
        <v>239.14</v>
      </c>
      <c r="AK287" s="8"/>
      <c r="AL287" s="8"/>
      <c r="AM287" s="8">
        <f t="shared" si="76"/>
        <v>0</v>
      </c>
      <c r="AN287" s="8">
        <f t="shared" si="77"/>
        <v>1326.15</v>
      </c>
    </row>
    <row r="288" spans="1:40" ht="48" customHeight="1" x14ac:dyDescent="0.2">
      <c r="A288" s="8" t="str">
        <f>Elettricità!I288</f>
        <v>IT001E04183781</v>
      </c>
      <c r="B288" s="8" t="str">
        <f>Elettricità!A288</f>
        <v>005200218704.PDF</v>
      </c>
      <c r="C288" s="9">
        <f>Elettricità!E288</f>
        <v>45665</v>
      </c>
      <c r="D288" s="9">
        <f>Elettricità!K288</f>
        <v>45627</v>
      </c>
      <c r="E288" s="9">
        <f>Elettricità!L288</f>
        <v>45657</v>
      </c>
      <c r="F288" s="8">
        <f>Elettricità!M288</f>
        <v>3774</v>
      </c>
      <c r="G288" s="8">
        <f>Elettricità!N288</f>
        <v>2494</v>
      </c>
      <c r="H288" s="8">
        <f>Elettricità!O288</f>
        <v>505</v>
      </c>
      <c r="I288" s="8">
        <f>Elettricità!P288</f>
        <v>775</v>
      </c>
      <c r="J288" s="8">
        <f>Elettricità!Q288</f>
        <v>105</v>
      </c>
      <c r="K288" s="8">
        <f>Elettricità!R288</f>
        <v>56</v>
      </c>
      <c r="L288" s="8">
        <f>Elettricità!S288</f>
        <v>35</v>
      </c>
      <c r="M288" s="8">
        <f>Elettricità!T288</f>
        <v>14</v>
      </c>
      <c r="N288" s="8">
        <f>Elettricità!W288</f>
        <v>1063.55</v>
      </c>
      <c r="O288" s="8">
        <f>Elettricità!X288</f>
        <v>1297.53</v>
      </c>
      <c r="P288" s="8">
        <f>Elettricità!Y288</f>
        <v>0</v>
      </c>
      <c r="Q288" s="8">
        <f>Elettricità!Z288</f>
        <v>703.2</v>
      </c>
      <c r="R288" s="8">
        <f>Elettricità!AA288</f>
        <v>92.11</v>
      </c>
      <c r="S288" s="8">
        <f>Elettricità!AB288</f>
        <v>221.06</v>
      </c>
      <c r="T288" s="8">
        <f>Elettricità!AC288</f>
        <v>0</v>
      </c>
      <c r="U288" s="8">
        <f>Elettricità!AD288</f>
        <v>233.98</v>
      </c>
      <c r="V288" s="8">
        <f t="shared" si="65"/>
        <v>2024</v>
      </c>
      <c r="W288" s="8">
        <f>_xlfn.XLOOKUP(A288,Fabbricati!E:E,Fabbricati!D:D)</f>
        <v>382919688</v>
      </c>
      <c r="X288" s="9">
        <f t="shared" si="66"/>
        <v>45665</v>
      </c>
      <c r="Y288" s="9">
        <f t="shared" si="67"/>
        <v>45627</v>
      </c>
      <c r="Z288" s="9">
        <f t="shared" si="68"/>
        <v>45657</v>
      </c>
      <c r="AA288" s="8">
        <f t="shared" si="69"/>
        <v>31</v>
      </c>
      <c r="AB288" s="8">
        <f t="shared" si="70"/>
        <v>3774</v>
      </c>
      <c r="AC288" s="12" t="s">
        <v>149</v>
      </c>
      <c r="AD288" s="11" t="str">
        <f t="shared" si="71"/>
        <v>2494
505
775</v>
      </c>
      <c r="AE288" s="11" t="str">
        <f t="shared" si="72"/>
        <v>56
35
14</v>
      </c>
      <c r="AF288" s="11"/>
      <c r="AG288" s="11"/>
      <c r="AH288" s="8">
        <f t="shared" si="73"/>
        <v>313.17</v>
      </c>
      <c r="AI288" s="8">
        <f t="shared" si="74"/>
        <v>703.2</v>
      </c>
      <c r="AJ288" s="8">
        <f t="shared" si="75"/>
        <v>233.98</v>
      </c>
      <c r="AK288" s="8"/>
      <c r="AL288" s="8"/>
      <c r="AM288" s="8">
        <f t="shared" si="76"/>
        <v>0</v>
      </c>
      <c r="AN288" s="8">
        <f t="shared" si="77"/>
        <v>1297.53</v>
      </c>
    </row>
    <row r="289" spans="1:40" ht="48" customHeight="1" x14ac:dyDescent="0.2">
      <c r="A289" s="8" t="str">
        <f>Elettricità!I289</f>
        <v>IT001E10631037</v>
      </c>
      <c r="B289" s="8" t="str">
        <f>Elettricità!A289</f>
        <v>005018359690.pdf</v>
      </c>
      <c r="C289" s="9">
        <f>Elettricità!E289</f>
        <v>45358</v>
      </c>
      <c r="D289" s="9">
        <f>Elettricità!K289</f>
        <v>45323</v>
      </c>
      <c r="E289" s="9">
        <f>Elettricità!L289</f>
        <v>45351</v>
      </c>
      <c r="F289" s="8">
        <f>Elettricità!M289</f>
        <v>11</v>
      </c>
      <c r="G289" s="8">
        <f>Elettricità!N289</f>
        <v>4</v>
      </c>
      <c r="H289" s="8">
        <f>Elettricità!O289</f>
        <v>3</v>
      </c>
      <c r="I289" s="8">
        <f>Elettricità!P289</f>
        <v>4</v>
      </c>
      <c r="J289" s="8">
        <f>Elettricità!Q289</f>
        <v>0</v>
      </c>
      <c r="K289" s="8">
        <f>Elettricità!R289</f>
        <v>0</v>
      </c>
      <c r="L289" s="8">
        <f>Elettricità!S289</f>
        <v>0</v>
      </c>
      <c r="M289" s="8">
        <f>Elettricità!T289</f>
        <v>0</v>
      </c>
      <c r="N289" s="8">
        <f>Elettricità!W289</f>
        <v>19.079999999999998</v>
      </c>
      <c r="O289" s="8">
        <f>Elettricità!X289</f>
        <v>23.28</v>
      </c>
      <c r="P289" s="8">
        <f>Elettricità!Y289</f>
        <v>0</v>
      </c>
      <c r="Q289" s="8">
        <f>Elettricità!Z289</f>
        <v>1.23</v>
      </c>
      <c r="R289" s="8">
        <f>Elettricità!AA289</f>
        <v>9.8699999999999992</v>
      </c>
      <c r="S289" s="8">
        <f>Elettricità!AB289</f>
        <v>7.84</v>
      </c>
      <c r="T289" s="8">
        <f>Elettricità!AC289</f>
        <v>0</v>
      </c>
      <c r="U289" s="8">
        <f>Elettricità!AD289</f>
        <v>4.2</v>
      </c>
      <c r="V289" s="8">
        <f t="shared" si="65"/>
        <v>2024</v>
      </c>
      <c r="W289" s="8" t="e">
        <f>_xlfn.XLOOKUP(A289,Fabbricati!E:E,Fabbricati!D:D)</f>
        <v>#N/A</v>
      </c>
      <c r="X289" s="9">
        <f t="shared" si="66"/>
        <v>45358</v>
      </c>
      <c r="Y289" s="9">
        <f t="shared" si="67"/>
        <v>45323</v>
      </c>
      <c r="Z289" s="9">
        <f t="shared" si="68"/>
        <v>45351</v>
      </c>
      <c r="AA289" s="8">
        <f t="shared" si="69"/>
        <v>29</v>
      </c>
      <c r="AB289" s="8">
        <f t="shared" si="70"/>
        <v>11</v>
      </c>
      <c r="AC289" s="12" t="s">
        <v>149</v>
      </c>
      <c r="AD289" s="11" t="str">
        <f t="shared" si="71"/>
        <v>4
3
4</v>
      </c>
      <c r="AE289" s="11" t="str">
        <f t="shared" si="72"/>
        <v>0
0
0</v>
      </c>
      <c r="AF289" s="11"/>
      <c r="AG289" s="11"/>
      <c r="AH289" s="8">
        <f t="shared" si="73"/>
        <v>17.71</v>
      </c>
      <c r="AI289" s="8">
        <f t="shared" si="74"/>
        <v>1.23</v>
      </c>
      <c r="AJ289" s="8">
        <f t="shared" si="75"/>
        <v>4.2</v>
      </c>
      <c r="AK289" s="8"/>
      <c r="AL289" s="8"/>
      <c r="AM289" s="8">
        <f t="shared" si="76"/>
        <v>0</v>
      </c>
      <c r="AN289" s="8">
        <f t="shared" si="77"/>
        <v>23.28</v>
      </c>
    </row>
    <row r="290" spans="1:40" ht="48" customHeight="1" x14ac:dyDescent="0.2">
      <c r="A290" s="8" t="str">
        <f>Elettricità!I290</f>
        <v>IT001E10631037</v>
      </c>
      <c r="B290" s="8" t="str">
        <f>Elettricità!A290</f>
        <v>005026659973.pdf</v>
      </c>
      <c r="C290" s="9">
        <f>Elettricità!E290</f>
        <v>45390</v>
      </c>
      <c r="D290" s="9">
        <f>Elettricità!K290</f>
        <v>45352</v>
      </c>
      <c r="E290" s="9">
        <f>Elettricità!L290</f>
        <v>45382</v>
      </c>
      <c r="F290" s="8">
        <f>Elettricità!M290</f>
        <v>13</v>
      </c>
      <c r="G290" s="8">
        <f>Elettricità!N290</f>
        <v>4</v>
      </c>
      <c r="H290" s="8">
        <f>Elettricità!O290</f>
        <v>3</v>
      </c>
      <c r="I290" s="8">
        <f>Elettricità!P290</f>
        <v>6</v>
      </c>
      <c r="J290" s="8">
        <f>Elettricità!Q290</f>
        <v>0</v>
      </c>
      <c r="K290" s="8">
        <f>Elettricità!R290</f>
        <v>0</v>
      </c>
      <c r="L290" s="8">
        <f>Elettricità!S290</f>
        <v>0</v>
      </c>
      <c r="M290" s="8">
        <f>Elettricità!T290</f>
        <v>0</v>
      </c>
      <c r="N290" s="8">
        <f>Elettricità!W290</f>
        <v>19.46</v>
      </c>
      <c r="O290" s="8">
        <f>Elettricità!X290</f>
        <v>23.74</v>
      </c>
      <c r="P290" s="8">
        <f>Elettricità!Y290</f>
        <v>0</v>
      </c>
      <c r="Q290" s="8">
        <f>Elettricità!Z290</f>
        <v>1.47</v>
      </c>
      <c r="R290" s="8">
        <f>Elettricità!AA290</f>
        <v>9.9</v>
      </c>
      <c r="S290" s="8">
        <f>Elettricità!AB290</f>
        <v>7.93</v>
      </c>
      <c r="T290" s="8">
        <f>Elettricità!AC290</f>
        <v>0</v>
      </c>
      <c r="U290" s="8">
        <f>Elettricità!AD290</f>
        <v>4.28</v>
      </c>
      <c r="V290" s="8">
        <f t="shared" si="65"/>
        <v>2024</v>
      </c>
      <c r="W290" s="8" t="e">
        <f>_xlfn.XLOOKUP(A290,Fabbricati!E:E,Fabbricati!D:D)</f>
        <v>#N/A</v>
      </c>
      <c r="X290" s="9">
        <f t="shared" si="66"/>
        <v>45390</v>
      </c>
      <c r="Y290" s="9">
        <f t="shared" si="67"/>
        <v>45352</v>
      </c>
      <c r="Z290" s="9">
        <f t="shared" si="68"/>
        <v>45382</v>
      </c>
      <c r="AA290" s="8">
        <f t="shared" si="69"/>
        <v>31</v>
      </c>
      <c r="AB290" s="8">
        <f t="shared" si="70"/>
        <v>13</v>
      </c>
      <c r="AC290" s="12" t="s">
        <v>149</v>
      </c>
      <c r="AD290" s="11" t="str">
        <f t="shared" si="71"/>
        <v>4
3
6</v>
      </c>
      <c r="AE290" s="11" t="str">
        <f t="shared" si="72"/>
        <v>0
0
0</v>
      </c>
      <c r="AF290" s="11"/>
      <c r="AG290" s="11"/>
      <c r="AH290" s="8">
        <f t="shared" si="73"/>
        <v>17.829999999999998</v>
      </c>
      <c r="AI290" s="8">
        <f t="shared" si="74"/>
        <v>1.47</v>
      </c>
      <c r="AJ290" s="8">
        <f t="shared" si="75"/>
        <v>4.28</v>
      </c>
      <c r="AK290" s="8"/>
      <c r="AL290" s="8"/>
      <c r="AM290" s="8">
        <f t="shared" si="76"/>
        <v>0</v>
      </c>
      <c r="AN290" s="8">
        <f t="shared" si="77"/>
        <v>23.74</v>
      </c>
    </row>
    <row r="291" spans="1:40" ht="48" customHeight="1" x14ac:dyDescent="0.2">
      <c r="A291" s="8" t="str">
        <f>Elettricità!I291</f>
        <v>IT001E10631037</v>
      </c>
      <c r="B291" s="8" t="str">
        <f>Elettricità!A291</f>
        <v>005043663109.PDF</v>
      </c>
      <c r="C291" s="9">
        <f>Elettricità!E291</f>
        <v>45449</v>
      </c>
      <c r="D291" s="9">
        <f>Elettricità!K291</f>
        <v>45413</v>
      </c>
      <c r="E291" s="9">
        <f>Elettricità!L291</f>
        <v>45443</v>
      </c>
      <c r="F291" s="8">
        <f>Elettricità!M291</f>
        <v>12</v>
      </c>
      <c r="G291" s="8">
        <f>Elettricità!N291</f>
        <v>4</v>
      </c>
      <c r="H291" s="8">
        <f>Elettricità!O291</f>
        <v>3</v>
      </c>
      <c r="I291" s="8">
        <f>Elettricità!P291</f>
        <v>5</v>
      </c>
      <c r="J291" s="8">
        <f>Elettricità!Q291</f>
        <v>0</v>
      </c>
      <c r="K291" s="8">
        <f>Elettricità!R291</f>
        <v>0</v>
      </c>
      <c r="L291" s="8">
        <f>Elettricità!S291</f>
        <v>0</v>
      </c>
      <c r="M291" s="8">
        <f>Elettricità!T291</f>
        <v>0</v>
      </c>
      <c r="N291" s="8">
        <f>Elettricità!W291</f>
        <v>20.65</v>
      </c>
      <c r="O291" s="8">
        <f>Elettricità!X291</f>
        <v>25.19</v>
      </c>
      <c r="P291" s="8">
        <f>Elettricità!Y291</f>
        <v>0</v>
      </c>
      <c r="Q291" s="8">
        <f>Elettricità!Z291</f>
        <v>1.43</v>
      </c>
      <c r="R291" s="8">
        <f>Elettricità!AA291</f>
        <v>9.8800000000000008</v>
      </c>
      <c r="S291" s="8">
        <f>Elettricità!AB291</f>
        <v>9.19</v>
      </c>
      <c r="T291" s="8">
        <f>Elettricità!AC291</f>
        <v>0</v>
      </c>
      <c r="U291" s="8">
        <f>Elettricità!AD291</f>
        <v>4.54</v>
      </c>
      <c r="V291" s="8">
        <f t="shared" si="65"/>
        <v>2024</v>
      </c>
      <c r="W291" s="8" t="e">
        <f>_xlfn.XLOOKUP(A291,Fabbricati!E:E,Fabbricati!D:D)</f>
        <v>#N/A</v>
      </c>
      <c r="X291" s="9">
        <f t="shared" si="66"/>
        <v>45449</v>
      </c>
      <c r="Y291" s="9">
        <f t="shared" si="67"/>
        <v>45413</v>
      </c>
      <c r="Z291" s="9">
        <f t="shared" si="68"/>
        <v>45443</v>
      </c>
      <c r="AA291" s="8">
        <f t="shared" si="69"/>
        <v>31</v>
      </c>
      <c r="AB291" s="8">
        <f t="shared" si="70"/>
        <v>12</v>
      </c>
      <c r="AC291" s="12" t="s">
        <v>149</v>
      </c>
      <c r="AD291" s="11" t="str">
        <f t="shared" si="71"/>
        <v>4
3
5</v>
      </c>
      <c r="AE291" s="11" t="str">
        <f t="shared" si="72"/>
        <v>0
0
0</v>
      </c>
      <c r="AF291" s="11"/>
      <c r="AG291" s="11"/>
      <c r="AH291" s="8">
        <f t="shared" si="73"/>
        <v>19.07</v>
      </c>
      <c r="AI291" s="8">
        <f t="shared" si="74"/>
        <v>1.43</v>
      </c>
      <c r="AJ291" s="8">
        <f t="shared" si="75"/>
        <v>4.54</v>
      </c>
      <c r="AK291" s="8"/>
      <c r="AL291" s="8"/>
      <c r="AM291" s="8">
        <f t="shared" si="76"/>
        <v>0</v>
      </c>
      <c r="AN291" s="8">
        <f t="shared" si="77"/>
        <v>25.19</v>
      </c>
    </row>
    <row r="292" spans="1:40" ht="48" customHeight="1" x14ac:dyDescent="0.2">
      <c r="A292" s="8" t="str">
        <f>Elettricità!I292</f>
        <v>IT001E10631037</v>
      </c>
      <c r="B292" s="8" t="str">
        <f>Elettricità!A292</f>
        <v>005051431120.PDF</v>
      </c>
      <c r="C292" s="9">
        <f>Elettricità!E292</f>
        <v>45478</v>
      </c>
      <c r="D292" s="9">
        <f>Elettricità!K292</f>
        <v>45444</v>
      </c>
      <c r="E292" s="9">
        <f>Elettricità!L292</f>
        <v>45473</v>
      </c>
      <c r="F292" s="8">
        <f>Elettricità!M292</f>
        <v>12</v>
      </c>
      <c r="G292" s="8">
        <f>Elettricità!N292</f>
        <v>3</v>
      </c>
      <c r="H292" s="8">
        <f>Elettricità!O292</f>
        <v>3</v>
      </c>
      <c r="I292" s="8">
        <f>Elettricità!P292</f>
        <v>6</v>
      </c>
      <c r="J292" s="8">
        <f>Elettricità!Q292</f>
        <v>0</v>
      </c>
      <c r="K292" s="8">
        <f>Elettricità!R292</f>
        <v>0</v>
      </c>
      <c r="L292" s="8">
        <f>Elettricità!S292</f>
        <v>0</v>
      </c>
      <c r="M292" s="8">
        <f>Elettricità!T292</f>
        <v>0</v>
      </c>
      <c r="N292" s="8">
        <f>Elettricità!W292</f>
        <v>20.79</v>
      </c>
      <c r="O292" s="8">
        <f>Elettricità!X292</f>
        <v>25.36</v>
      </c>
      <c r="P292" s="8">
        <f>Elettricità!Y292</f>
        <v>0</v>
      </c>
      <c r="Q292" s="8">
        <f>Elettricità!Z292</f>
        <v>1.57</v>
      </c>
      <c r="R292" s="8">
        <f>Elettricità!AA292</f>
        <v>9.8800000000000008</v>
      </c>
      <c r="S292" s="8">
        <f>Elettricità!AB292</f>
        <v>9.19</v>
      </c>
      <c r="T292" s="8">
        <f>Elettricità!AC292</f>
        <v>0</v>
      </c>
      <c r="U292" s="8">
        <f>Elettricità!AD292</f>
        <v>4.57</v>
      </c>
      <c r="V292" s="8">
        <f t="shared" si="65"/>
        <v>2024</v>
      </c>
      <c r="W292" s="8" t="e">
        <f>_xlfn.XLOOKUP(A292,Fabbricati!E:E,Fabbricati!D:D)</f>
        <v>#N/A</v>
      </c>
      <c r="X292" s="9">
        <f t="shared" si="66"/>
        <v>45478</v>
      </c>
      <c r="Y292" s="9">
        <f t="shared" si="67"/>
        <v>45444</v>
      </c>
      <c r="Z292" s="9">
        <f t="shared" si="68"/>
        <v>45473</v>
      </c>
      <c r="AA292" s="8">
        <f t="shared" si="69"/>
        <v>30</v>
      </c>
      <c r="AB292" s="8">
        <f t="shared" si="70"/>
        <v>12</v>
      </c>
      <c r="AC292" s="12" t="s">
        <v>149</v>
      </c>
      <c r="AD292" s="11" t="str">
        <f t="shared" si="71"/>
        <v>3
3
6</v>
      </c>
      <c r="AE292" s="11" t="str">
        <f t="shared" si="72"/>
        <v>0
0
0</v>
      </c>
      <c r="AF292" s="11"/>
      <c r="AG292" s="11"/>
      <c r="AH292" s="8">
        <f t="shared" si="73"/>
        <v>19.07</v>
      </c>
      <c r="AI292" s="8">
        <f t="shared" si="74"/>
        <v>1.57</v>
      </c>
      <c r="AJ292" s="8">
        <f t="shared" si="75"/>
        <v>4.57</v>
      </c>
      <c r="AK292" s="8"/>
      <c r="AL292" s="8"/>
      <c r="AM292" s="8">
        <f t="shared" si="76"/>
        <v>0</v>
      </c>
      <c r="AN292" s="8">
        <f t="shared" si="77"/>
        <v>25.36</v>
      </c>
    </row>
    <row r="293" spans="1:40" ht="48" customHeight="1" x14ac:dyDescent="0.2">
      <c r="A293" s="8" t="str">
        <f>Elettricità!I293</f>
        <v>IT001E10631037</v>
      </c>
      <c r="B293" s="8" t="str">
        <f>Elettricità!A293</f>
        <v>005064992990.PDF</v>
      </c>
      <c r="C293" s="9">
        <f>Elettricità!E293</f>
        <v>45514</v>
      </c>
      <c r="D293" s="9">
        <f>Elettricità!K293</f>
        <v>45474</v>
      </c>
      <c r="E293" s="9">
        <f>Elettricità!L293</f>
        <v>45504</v>
      </c>
      <c r="F293" s="8">
        <f>Elettricità!M293</f>
        <v>13</v>
      </c>
      <c r="G293" s="8">
        <f>Elettricità!N293</f>
        <v>5</v>
      </c>
      <c r="H293" s="8">
        <f>Elettricità!O293</f>
        <v>3</v>
      </c>
      <c r="I293" s="8">
        <f>Elettricità!P293</f>
        <v>5</v>
      </c>
      <c r="J293" s="8">
        <f>Elettricità!Q293</f>
        <v>0</v>
      </c>
      <c r="K293" s="8">
        <f>Elettricità!R293</f>
        <v>0</v>
      </c>
      <c r="L293" s="8">
        <f>Elettricità!S293</f>
        <v>0</v>
      </c>
      <c r="M293" s="8">
        <f>Elettricità!T293</f>
        <v>0</v>
      </c>
      <c r="N293" s="8">
        <f>Elettricità!W293</f>
        <v>21.36</v>
      </c>
      <c r="O293" s="8">
        <f>Elettricità!X293</f>
        <v>26.06</v>
      </c>
      <c r="P293" s="8">
        <f>Elettricità!Y293</f>
        <v>0</v>
      </c>
      <c r="Q293" s="8">
        <f>Elettricità!Z293</f>
        <v>2.0699999999999998</v>
      </c>
      <c r="R293" s="8">
        <f>Elettricità!AA293</f>
        <v>9.9</v>
      </c>
      <c r="S293" s="8">
        <f>Elettricità!AB293</f>
        <v>9.23</v>
      </c>
      <c r="T293" s="8">
        <f>Elettricità!AC293</f>
        <v>0</v>
      </c>
      <c r="U293" s="8">
        <f>Elettricità!AD293</f>
        <v>4.7</v>
      </c>
      <c r="V293" s="8">
        <f t="shared" si="65"/>
        <v>2024</v>
      </c>
      <c r="W293" s="8" t="e">
        <f>_xlfn.XLOOKUP(A293,Fabbricati!E:E,Fabbricati!D:D)</f>
        <v>#N/A</v>
      </c>
      <c r="X293" s="9">
        <f t="shared" si="66"/>
        <v>45514</v>
      </c>
      <c r="Y293" s="9">
        <f t="shared" si="67"/>
        <v>45474</v>
      </c>
      <c r="Z293" s="9">
        <f t="shared" si="68"/>
        <v>45504</v>
      </c>
      <c r="AA293" s="8">
        <f t="shared" si="69"/>
        <v>31</v>
      </c>
      <c r="AB293" s="8">
        <f t="shared" si="70"/>
        <v>13</v>
      </c>
      <c r="AC293" s="12" t="s">
        <v>149</v>
      </c>
      <c r="AD293" s="11" t="str">
        <f t="shared" si="71"/>
        <v>5
3
5</v>
      </c>
      <c r="AE293" s="11" t="str">
        <f t="shared" si="72"/>
        <v>0
0
0</v>
      </c>
      <c r="AF293" s="11"/>
      <c r="AG293" s="11"/>
      <c r="AH293" s="8">
        <f t="shared" si="73"/>
        <v>19.130000000000003</v>
      </c>
      <c r="AI293" s="8">
        <f t="shared" si="74"/>
        <v>2.0699999999999998</v>
      </c>
      <c r="AJ293" s="8">
        <f t="shared" si="75"/>
        <v>4.7</v>
      </c>
      <c r="AK293" s="8"/>
      <c r="AL293" s="8"/>
      <c r="AM293" s="8">
        <f t="shared" si="76"/>
        <v>0</v>
      </c>
      <c r="AN293" s="8">
        <f t="shared" si="77"/>
        <v>26.06</v>
      </c>
    </row>
    <row r="294" spans="1:40" ht="48" customHeight="1" x14ac:dyDescent="0.2">
      <c r="A294" s="8" t="str">
        <f>Elettricità!I294</f>
        <v>IT001E10631037</v>
      </c>
      <c r="B294" s="8" t="str">
        <f>Elettricità!A294</f>
        <v>005067307620.PDF</v>
      </c>
      <c r="C294" s="9">
        <f>Elettricità!E294</f>
        <v>45541</v>
      </c>
      <c r="D294" s="9">
        <f>Elettricità!K294</f>
        <v>45505</v>
      </c>
      <c r="E294" s="9">
        <f>Elettricità!L294</f>
        <v>45535</v>
      </c>
      <c r="F294" s="8">
        <f>Elettricità!M294</f>
        <v>12</v>
      </c>
      <c r="G294" s="8">
        <f>Elettricità!N294</f>
        <v>4</v>
      </c>
      <c r="H294" s="8">
        <f>Elettricità!O294</f>
        <v>3</v>
      </c>
      <c r="I294" s="8">
        <f>Elettricità!P294</f>
        <v>5</v>
      </c>
      <c r="J294" s="8">
        <f>Elettricità!Q294</f>
        <v>0</v>
      </c>
      <c r="K294" s="8">
        <f>Elettricità!R294</f>
        <v>0</v>
      </c>
      <c r="L294" s="8">
        <f>Elettricità!S294</f>
        <v>0</v>
      </c>
      <c r="M294" s="8">
        <f>Elettricità!T294</f>
        <v>0</v>
      </c>
      <c r="N294" s="8">
        <f>Elettricità!W294</f>
        <v>21.1</v>
      </c>
      <c r="O294" s="8">
        <f>Elettricità!X294</f>
        <v>25.74</v>
      </c>
      <c r="P294" s="8">
        <f>Elettricità!Y294</f>
        <v>0</v>
      </c>
      <c r="Q294" s="8">
        <f>Elettricità!Z294</f>
        <v>1.88</v>
      </c>
      <c r="R294" s="8">
        <f>Elettricità!AA294</f>
        <v>9.8800000000000008</v>
      </c>
      <c r="S294" s="8">
        <f>Elettricità!AB294</f>
        <v>9.19</v>
      </c>
      <c r="T294" s="8">
        <f>Elettricità!AC294</f>
        <v>0</v>
      </c>
      <c r="U294" s="8">
        <f>Elettricità!AD294</f>
        <v>4.6399999999999997</v>
      </c>
      <c r="V294" s="8">
        <f t="shared" si="65"/>
        <v>2024</v>
      </c>
      <c r="W294" s="8" t="e">
        <f>_xlfn.XLOOKUP(A294,Fabbricati!E:E,Fabbricati!D:D)</f>
        <v>#N/A</v>
      </c>
      <c r="X294" s="9">
        <f t="shared" si="66"/>
        <v>45541</v>
      </c>
      <c r="Y294" s="9">
        <f t="shared" si="67"/>
        <v>45505</v>
      </c>
      <c r="Z294" s="9">
        <f t="shared" si="68"/>
        <v>45535</v>
      </c>
      <c r="AA294" s="8">
        <f t="shared" si="69"/>
        <v>31</v>
      </c>
      <c r="AB294" s="8">
        <f t="shared" si="70"/>
        <v>12</v>
      </c>
      <c r="AC294" s="12" t="s">
        <v>149</v>
      </c>
      <c r="AD294" s="11" t="str">
        <f t="shared" si="71"/>
        <v>4
3
5</v>
      </c>
      <c r="AE294" s="11" t="str">
        <f t="shared" si="72"/>
        <v>0
0
0</v>
      </c>
      <c r="AF294" s="11"/>
      <c r="AG294" s="11"/>
      <c r="AH294" s="8">
        <f t="shared" si="73"/>
        <v>19.07</v>
      </c>
      <c r="AI294" s="8">
        <f t="shared" si="74"/>
        <v>1.88</v>
      </c>
      <c r="AJ294" s="8">
        <f t="shared" si="75"/>
        <v>4.6399999999999997</v>
      </c>
      <c r="AK294" s="8"/>
      <c r="AL294" s="8"/>
      <c r="AM294" s="8">
        <f t="shared" si="76"/>
        <v>0</v>
      </c>
      <c r="AN294" s="8">
        <f t="shared" si="77"/>
        <v>25.74</v>
      </c>
    </row>
    <row r="295" spans="1:40" ht="48" customHeight="1" x14ac:dyDescent="0.2">
      <c r="A295" s="8" t="str">
        <f>Elettricità!I295</f>
        <v>IT001E10631037</v>
      </c>
      <c r="B295" s="8" t="str">
        <f>Elettricità!A295</f>
        <v>005076347799.PDF</v>
      </c>
      <c r="C295" s="9">
        <f>Elettricità!E295</f>
        <v>45571</v>
      </c>
      <c r="D295" s="9">
        <f>Elettricità!K295</f>
        <v>45536</v>
      </c>
      <c r="E295" s="9">
        <f>Elettricità!L295</f>
        <v>45565</v>
      </c>
      <c r="F295" s="8">
        <f>Elettricità!M295</f>
        <v>12</v>
      </c>
      <c r="G295" s="8">
        <f>Elettricità!N295</f>
        <v>4</v>
      </c>
      <c r="H295" s="8">
        <f>Elettricità!O295</f>
        <v>3</v>
      </c>
      <c r="I295" s="8">
        <f>Elettricità!P295</f>
        <v>5</v>
      </c>
      <c r="J295" s="8">
        <f>Elettricità!Q295</f>
        <v>0</v>
      </c>
      <c r="K295" s="8">
        <f>Elettricità!R295</f>
        <v>0</v>
      </c>
      <c r="L295" s="8">
        <f>Elettricità!S295</f>
        <v>0</v>
      </c>
      <c r="M295" s="8">
        <f>Elettricità!T295</f>
        <v>0</v>
      </c>
      <c r="N295" s="8">
        <f>Elettricità!W295</f>
        <v>20.93</v>
      </c>
      <c r="O295" s="8">
        <f>Elettricità!X295</f>
        <v>25.53</v>
      </c>
      <c r="P295" s="8">
        <f>Elettricità!Y295</f>
        <v>0</v>
      </c>
      <c r="Q295" s="8">
        <f>Elettricità!Z295</f>
        <v>1.71</v>
      </c>
      <c r="R295" s="8">
        <f>Elettricità!AA295</f>
        <v>9.8800000000000008</v>
      </c>
      <c r="S295" s="8">
        <f>Elettricità!AB295</f>
        <v>9.19</v>
      </c>
      <c r="T295" s="8">
        <f>Elettricità!AC295</f>
        <v>0</v>
      </c>
      <c r="U295" s="8">
        <f>Elettricità!AD295</f>
        <v>4.5999999999999996</v>
      </c>
      <c r="V295" s="8">
        <f t="shared" si="65"/>
        <v>2024</v>
      </c>
      <c r="W295" s="8" t="e">
        <f>_xlfn.XLOOKUP(A295,Fabbricati!E:E,Fabbricati!D:D)</f>
        <v>#N/A</v>
      </c>
      <c r="X295" s="9">
        <f t="shared" si="66"/>
        <v>45571</v>
      </c>
      <c r="Y295" s="9">
        <f t="shared" si="67"/>
        <v>45536</v>
      </c>
      <c r="Z295" s="9">
        <f t="shared" si="68"/>
        <v>45565</v>
      </c>
      <c r="AA295" s="8">
        <f t="shared" si="69"/>
        <v>30</v>
      </c>
      <c r="AB295" s="8">
        <f t="shared" si="70"/>
        <v>12</v>
      </c>
      <c r="AC295" s="12" t="s">
        <v>149</v>
      </c>
      <c r="AD295" s="11" t="str">
        <f t="shared" si="71"/>
        <v>4
3
5</v>
      </c>
      <c r="AE295" s="11" t="str">
        <f t="shared" si="72"/>
        <v>0
0
0</v>
      </c>
      <c r="AF295" s="11"/>
      <c r="AG295" s="11"/>
      <c r="AH295" s="8">
        <f t="shared" si="73"/>
        <v>19.07</v>
      </c>
      <c r="AI295" s="8">
        <f t="shared" si="74"/>
        <v>1.71</v>
      </c>
      <c r="AJ295" s="8">
        <f t="shared" si="75"/>
        <v>4.5999999999999996</v>
      </c>
      <c r="AK295" s="8"/>
      <c r="AL295" s="8"/>
      <c r="AM295" s="8">
        <f t="shared" si="76"/>
        <v>0</v>
      </c>
      <c r="AN295" s="8">
        <f t="shared" si="77"/>
        <v>25.53</v>
      </c>
    </row>
    <row r="296" spans="1:40" ht="48" customHeight="1" x14ac:dyDescent="0.2">
      <c r="A296" s="8" t="str">
        <f>Elettricità!I296</f>
        <v>IT001E10631037</v>
      </c>
      <c r="B296" s="8" t="str">
        <f>Elettricità!A296</f>
        <v>005085485056.PDF</v>
      </c>
      <c r="C296" s="9">
        <f>Elettricità!E296</f>
        <v>45604</v>
      </c>
      <c r="D296" s="9">
        <f>Elettricità!K296</f>
        <v>45566</v>
      </c>
      <c r="E296" s="9">
        <f>Elettricità!L296</f>
        <v>45596</v>
      </c>
      <c r="F296" s="8">
        <f>Elettricità!M296</f>
        <v>12</v>
      </c>
      <c r="G296" s="8">
        <f>Elettricità!N296</f>
        <v>4</v>
      </c>
      <c r="H296" s="8">
        <f>Elettricità!O296</f>
        <v>3</v>
      </c>
      <c r="I296" s="8">
        <f>Elettricità!P296</f>
        <v>5</v>
      </c>
      <c r="J296" s="8">
        <f>Elettricità!Q296</f>
        <v>0</v>
      </c>
      <c r="K296" s="8">
        <f>Elettricità!R296</f>
        <v>0</v>
      </c>
      <c r="L296" s="8">
        <f>Elettricità!S296</f>
        <v>0</v>
      </c>
      <c r="M296" s="8">
        <f>Elettricità!T296</f>
        <v>0</v>
      </c>
      <c r="N296" s="8">
        <f>Elettricità!W296</f>
        <v>20.95</v>
      </c>
      <c r="O296" s="8">
        <f>Elettricità!X296</f>
        <v>25.56</v>
      </c>
      <c r="P296" s="8">
        <f>Elettricità!Y296</f>
        <v>0</v>
      </c>
      <c r="Q296" s="8">
        <f>Elettricità!Z296</f>
        <v>1.73</v>
      </c>
      <c r="R296" s="8">
        <f>Elettricità!AA296</f>
        <v>9.8800000000000008</v>
      </c>
      <c r="S296" s="8">
        <f>Elettricità!AB296</f>
        <v>9.19</v>
      </c>
      <c r="T296" s="8">
        <f>Elettricità!AC296</f>
        <v>0</v>
      </c>
      <c r="U296" s="8">
        <f>Elettricità!AD296</f>
        <v>4.6100000000000003</v>
      </c>
      <c r="V296" s="8">
        <f t="shared" si="65"/>
        <v>2024</v>
      </c>
      <c r="W296" s="8" t="e">
        <f>_xlfn.XLOOKUP(A296,Fabbricati!E:E,Fabbricati!D:D)</f>
        <v>#N/A</v>
      </c>
      <c r="X296" s="9">
        <f t="shared" si="66"/>
        <v>45604</v>
      </c>
      <c r="Y296" s="9">
        <f t="shared" si="67"/>
        <v>45566</v>
      </c>
      <c r="Z296" s="9">
        <f t="shared" si="68"/>
        <v>45596</v>
      </c>
      <c r="AA296" s="8">
        <f t="shared" si="69"/>
        <v>31</v>
      </c>
      <c r="AB296" s="8">
        <f t="shared" si="70"/>
        <v>12</v>
      </c>
      <c r="AC296" s="12" t="s">
        <v>149</v>
      </c>
      <c r="AD296" s="11" t="str">
        <f t="shared" si="71"/>
        <v>4
3
5</v>
      </c>
      <c r="AE296" s="11" t="str">
        <f t="shared" si="72"/>
        <v>0
0
0</v>
      </c>
      <c r="AF296" s="11"/>
      <c r="AG296" s="11"/>
      <c r="AH296" s="8">
        <f t="shared" si="73"/>
        <v>19.07</v>
      </c>
      <c r="AI296" s="8">
        <f t="shared" si="74"/>
        <v>1.73</v>
      </c>
      <c r="AJ296" s="8">
        <f t="shared" si="75"/>
        <v>4.6100000000000003</v>
      </c>
      <c r="AK296" s="8"/>
      <c r="AL296" s="8"/>
      <c r="AM296" s="8">
        <f t="shared" si="76"/>
        <v>0</v>
      </c>
      <c r="AN296" s="8">
        <f t="shared" si="77"/>
        <v>25.56</v>
      </c>
    </row>
    <row r="297" spans="1:40" ht="48" customHeight="1" x14ac:dyDescent="0.2">
      <c r="A297" s="8" t="str">
        <f>Elettricità!I297</f>
        <v>IT001E10631037</v>
      </c>
      <c r="B297" s="8" t="str">
        <f>Elettricità!A297</f>
        <v>005093369290.PDF</v>
      </c>
      <c r="C297" s="9">
        <f>Elettricità!E297</f>
        <v>45632</v>
      </c>
      <c r="D297" s="9">
        <f>Elettricità!K297</f>
        <v>45597</v>
      </c>
      <c r="E297" s="9">
        <f>Elettricità!L297</f>
        <v>45626</v>
      </c>
      <c r="F297" s="8">
        <f>Elettricità!M297</f>
        <v>11</v>
      </c>
      <c r="G297" s="8">
        <f>Elettricità!N297</f>
        <v>3</v>
      </c>
      <c r="H297" s="8">
        <f>Elettricità!O297</f>
        <v>3</v>
      </c>
      <c r="I297" s="8">
        <f>Elettricità!P297</f>
        <v>5</v>
      </c>
      <c r="J297" s="8">
        <f>Elettricità!Q297</f>
        <v>0</v>
      </c>
      <c r="K297" s="8">
        <f>Elettricità!R297</f>
        <v>0</v>
      </c>
      <c r="L297" s="8">
        <f>Elettricità!S297</f>
        <v>0</v>
      </c>
      <c r="M297" s="8">
        <f>Elettricità!T297</f>
        <v>0</v>
      </c>
      <c r="N297" s="8">
        <f>Elettricità!W297</f>
        <v>20.9</v>
      </c>
      <c r="O297" s="8">
        <f>Elettricità!X297</f>
        <v>25.5</v>
      </c>
      <c r="P297" s="8">
        <f>Elettricità!Y297</f>
        <v>0</v>
      </c>
      <c r="Q297" s="8">
        <f>Elettricità!Z297</f>
        <v>1.75</v>
      </c>
      <c r="R297" s="8">
        <f>Elettricità!AA297</f>
        <v>9.8699999999999992</v>
      </c>
      <c r="S297" s="8">
        <f>Elettricità!AB297</f>
        <v>9.14</v>
      </c>
      <c r="T297" s="8">
        <f>Elettricità!AC297</f>
        <v>0</v>
      </c>
      <c r="U297" s="8">
        <f>Elettricità!AD297</f>
        <v>4.5999999999999996</v>
      </c>
      <c r="V297" s="8">
        <f t="shared" si="65"/>
        <v>2024</v>
      </c>
      <c r="W297" s="8" t="e">
        <f>_xlfn.XLOOKUP(A297,Fabbricati!E:E,Fabbricati!D:D)</f>
        <v>#N/A</v>
      </c>
      <c r="X297" s="9">
        <f t="shared" si="66"/>
        <v>45632</v>
      </c>
      <c r="Y297" s="9">
        <f t="shared" si="67"/>
        <v>45597</v>
      </c>
      <c r="Z297" s="9">
        <f t="shared" si="68"/>
        <v>45626</v>
      </c>
      <c r="AA297" s="8">
        <f t="shared" si="69"/>
        <v>30</v>
      </c>
      <c r="AB297" s="8">
        <f t="shared" si="70"/>
        <v>11</v>
      </c>
      <c r="AC297" s="12" t="s">
        <v>149</v>
      </c>
      <c r="AD297" s="11" t="str">
        <f t="shared" si="71"/>
        <v>3
3
5</v>
      </c>
      <c r="AE297" s="11" t="str">
        <f t="shared" si="72"/>
        <v>0
0
0</v>
      </c>
      <c r="AF297" s="11"/>
      <c r="AG297" s="11"/>
      <c r="AH297" s="8">
        <f t="shared" si="73"/>
        <v>19.009999999999998</v>
      </c>
      <c r="AI297" s="8">
        <f t="shared" si="74"/>
        <v>1.75</v>
      </c>
      <c r="AJ297" s="8">
        <f t="shared" si="75"/>
        <v>4.5999999999999996</v>
      </c>
      <c r="AK297" s="8"/>
      <c r="AL297" s="8"/>
      <c r="AM297" s="8">
        <f t="shared" si="76"/>
        <v>0</v>
      </c>
      <c r="AN297" s="8">
        <f t="shared" si="77"/>
        <v>25.5</v>
      </c>
    </row>
    <row r="298" spans="1:40" ht="48" customHeight="1" x14ac:dyDescent="0.2">
      <c r="A298" s="8" t="str">
        <f>Elettricità!I298</f>
        <v>IT001E10631037</v>
      </c>
      <c r="B298" s="8" t="str">
        <f>Elettricità!A298</f>
        <v>005200218703.PDF</v>
      </c>
      <c r="C298" s="9">
        <f>Elettricità!E298</f>
        <v>45665</v>
      </c>
      <c r="D298" s="9">
        <f>Elettricità!K298</f>
        <v>45627</v>
      </c>
      <c r="E298" s="9">
        <f>Elettricità!L298</f>
        <v>45657</v>
      </c>
      <c r="F298" s="8">
        <f>Elettricità!M298</f>
        <v>12</v>
      </c>
      <c r="G298" s="8">
        <f>Elettricità!N298</f>
        <v>4</v>
      </c>
      <c r="H298" s="8">
        <f>Elettricità!O298</f>
        <v>2</v>
      </c>
      <c r="I298" s="8">
        <f>Elettricità!P298</f>
        <v>6</v>
      </c>
      <c r="J298" s="8">
        <f>Elettricità!Q298</f>
        <v>0</v>
      </c>
      <c r="K298" s="8">
        <f>Elettricità!R298</f>
        <v>0</v>
      </c>
      <c r="L298" s="8">
        <f>Elettricità!S298</f>
        <v>0</v>
      </c>
      <c r="M298" s="8">
        <f>Elettricità!T298</f>
        <v>0</v>
      </c>
      <c r="N298" s="8">
        <f>Elettricità!W298</f>
        <v>21.24</v>
      </c>
      <c r="O298" s="8">
        <f>Elettricità!X298</f>
        <v>25.91</v>
      </c>
      <c r="P298" s="8">
        <f>Elettricità!Y298</f>
        <v>0</v>
      </c>
      <c r="Q298" s="8">
        <f>Elettricità!Z298</f>
        <v>2.02</v>
      </c>
      <c r="R298" s="8">
        <f>Elettricità!AA298</f>
        <v>9.8800000000000008</v>
      </c>
      <c r="S298" s="8">
        <f>Elettricità!AB298</f>
        <v>9.19</v>
      </c>
      <c r="T298" s="8">
        <f>Elettricità!AC298</f>
        <v>0</v>
      </c>
      <c r="U298" s="8">
        <f>Elettricità!AD298</f>
        <v>4.67</v>
      </c>
      <c r="V298" s="8">
        <f t="shared" si="65"/>
        <v>2024</v>
      </c>
      <c r="W298" s="8" t="e">
        <f>_xlfn.XLOOKUP(A298,Fabbricati!E:E,Fabbricati!D:D)</f>
        <v>#N/A</v>
      </c>
      <c r="X298" s="9">
        <f t="shared" si="66"/>
        <v>45665</v>
      </c>
      <c r="Y298" s="9">
        <f t="shared" si="67"/>
        <v>45627</v>
      </c>
      <c r="Z298" s="9">
        <f t="shared" si="68"/>
        <v>45657</v>
      </c>
      <c r="AA298" s="8">
        <f t="shared" si="69"/>
        <v>31</v>
      </c>
      <c r="AB298" s="8">
        <f t="shared" si="70"/>
        <v>12</v>
      </c>
      <c r="AC298" s="12" t="s">
        <v>149</v>
      </c>
      <c r="AD298" s="11" t="str">
        <f t="shared" si="71"/>
        <v>4
2
6</v>
      </c>
      <c r="AE298" s="11" t="str">
        <f t="shared" si="72"/>
        <v>0
0
0</v>
      </c>
      <c r="AF298" s="11"/>
      <c r="AG298" s="11"/>
      <c r="AH298" s="8">
        <f t="shared" si="73"/>
        <v>19.07</v>
      </c>
      <c r="AI298" s="8">
        <f t="shared" si="74"/>
        <v>2.02</v>
      </c>
      <c r="AJ298" s="8">
        <f t="shared" si="75"/>
        <v>4.67</v>
      </c>
      <c r="AK298" s="8"/>
      <c r="AL298" s="8"/>
      <c r="AM298" s="8">
        <f t="shared" si="76"/>
        <v>0</v>
      </c>
      <c r="AN298" s="8">
        <f t="shared" si="77"/>
        <v>25.91</v>
      </c>
    </row>
    <row r="299" spans="1:40" ht="48" customHeight="1" x14ac:dyDescent="0.2">
      <c r="A299" s="8" t="str">
        <f>Elettricità!I299</f>
        <v>IT001E10911003</v>
      </c>
      <c r="B299" s="8" t="str">
        <f>Elettricità!A299</f>
        <v>005018359675.pdf</v>
      </c>
      <c r="C299" s="9">
        <f>Elettricità!E299</f>
        <v>45358</v>
      </c>
      <c r="D299" s="9">
        <f>Elettricità!K299</f>
        <v>45323</v>
      </c>
      <c r="E299" s="9">
        <f>Elettricità!L299</f>
        <v>45351</v>
      </c>
      <c r="F299" s="8">
        <f>Elettricità!M299</f>
        <v>35</v>
      </c>
      <c r="G299" s="8">
        <f>Elettricità!N299</f>
        <v>10</v>
      </c>
      <c r="H299" s="8">
        <f>Elettricità!O299</f>
        <v>9</v>
      </c>
      <c r="I299" s="8">
        <f>Elettricità!P299</f>
        <v>16</v>
      </c>
      <c r="J299" s="8">
        <f>Elettricità!Q299</f>
        <v>0</v>
      </c>
      <c r="K299" s="8">
        <f>Elettricità!R299</f>
        <v>0</v>
      </c>
      <c r="L299" s="8">
        <f>Elettricità!S299</f>
        <v>0</v>
      </c>
      <c r="M299" s="8">
        <f>Elettricità!T299</f>
        <v>0</v>
      </c>
      <c r="N299" s="8">
        <f>Elettricità!W299</f>
        <v>23.64</v>
      </c>
      <c r="O299" s="8">
        <f>Elettricità!X299</f>
        <v>28.84</v>
      </c>
      <c r="P299" s="8">
        <f>Elettricità!Y299</f>
        <v>0</v>
      </c>
      <c r="Q299" s="8">
        <f>Elettricità!Z299</f>
        <v>4.18</v>
      </c>
      <c r="R299" s="8">
        <f>Elettricità!AA299</f>
        <v>10.18</v>
      </c>
      <c r="S299" s="8">
        <f>Elettricità!AB299</f>
        <v>8.84</v>
      </c>
      <c r="T299" s="8">
        <f>Elettricità!AC299</f>
        <v>0</v>
      </c>
      <c r="U299" s="8">
        <f>Elettricità!AD299</f>
        <v>5.2</v>
      </c>
      <c r="V299" s="8">
        <f t="shared" si="65"/>
        <v>2024</v>
      </c>
      <c r="W299" s="8" t="e">
        <f>_xlfn.XLOOKUP(A299,Fabbricati!E:E,Fabbricati!D:D)</f>
        <v>#N/A</v>
      </c>
      <c r="X299" s="9">
        <f t="shared" si="66"/>
        <v>45358</v>
      </c>
      <c r="Y299" s="9">
        <f t="shared" si="67"/>
        <v>45323</v>
      </c>
      <c r="Z299" s="9">
        <f t="shared" si="68"/>
        <v>45351</v>
      </c>
      <c r="AA299" s="8">
        <f t="shared" si="69"/>
        <v>29</v>
      </c>
      <c r="AB299" s="8">
        <f t="shared" si="70"/>
        <v>35</v>
      </c>
      <c r="AC299" s="12" t="s">
        <v>149</v>
      </c>
      <c r="AD299" s="11" t="str">
        <f t="shared" si="71"/>
        <v>10
9
16</v>
      </c>
      <c r="AE299" s="11" t="str">
        <f t="shared" si="72"/>
        <v>0
0
0</v>
      </c>
      <c r="AF299" s="11"/>
      <c r="AG299" s="11"/>
      <c r="AH299" s="8">
        <f t="shared" si="73"/>
        <v>19.02</v>
      </c>
      <c r="AI299" s="8">
        <f t="shared" si="74"/>
        <v>4.18</v>
      </c>
      <c r="AJ299" s="8">
        <f t="shared" si="75"/>
        <v>5.2</v>
      </c>
      <c r="AK299" s="8"/>
      <c r="AL299" s="8"/>
      <c r="AM299" s="8">
        <f t="shared" si="76"/>
        <v>0</v>
      </c>
      <c r="AN299" s="8">
        <f t="shared" si="77"/>
        <v>28.84</v>
      </c>
    </row>
    <row r="300" spans="1:40" ht="48" customHeight="1" x14ac:dyDescent="0.2">
      <c r="A300" s="8" t="str">
        <f>Elettricità!I300</f>
        <v>IT001E10911003</v>
      </c>
      <c r="B300" s="8" t="str">
        <f>Elettricità!A300</f>
        <v>005026659960.pdf</v>
      </c>
      <c r="C300" s="9">
        <f>Elettricità!E300</f>
        <v>45390</v>
      </c>
      <c r="D300" s="9">
        <f>Elettricità!K300</f>
        <v>45352</v>
      </c>
      <c r="E300" s="9">
        <f>Elettricità!L300</f>
        <v>45382</v>
      </c>
      <c r="F300" s="8">
        <f>Elettricità!M300</f>
        <v>35</v>
      </c>
      <c r="G300" s="8">
        <f>Elettricità!N300</f>
        <v>10</v>
      </c>
      <c r="H300" s="8">
        <f>Elettricità!O300</f>
        <v>8</v>
      </c>
      <c r="I300" s="8">
        <f>Elettricità!P300</f>
        <v>17</v>
      </c>
      <c r="J300" s="8">
        <f>Elettricità!Q300</f>
        <v>0</v>
      </c>
      <c r="K300" s="8">
        <f>Elettricità!R300</f>
        <v>0</v>
      </c>
      <c r="L300" s="8">
        <f>Elettricità!S300</f>
        <v>0</v>
      </c>
      <c r="M300" s="8">
        <f>Elettricità!T300</f>
        <v>0</v>
      </c>
      <c r="N300" s="8">
        <f>Elettricità!W300</f>
        <v>23.53</v>
      </c>
      <c r="O300" s="8">
        <f>Elettricità!X300</f>
        <v>28.71</v>
      </c>
      <c r="P300" s="8">
        <f>Elettricità!Y300</f>
        <v>0</v>
      </c>
      <c r="Q300" s="8">
        <f>Elettricità!Z300</f>
        <v>4.07</v>
      </c>
      <c r="R300" s="8">
        <f>Elettricità!AA300</f>
        <v>10.18</v>
      </c>
      <c r="S300" s="8">
        <f>Elettricità!AB300</f>
        <v>8.84</v>
      </c>
      <c r="T300" s="8">
        <f>Elettricità!AC300</f>
        <v>0</v>
      </c>
      <c r="U300" s="8">
        <f>Elettricità!AD300</f>
        <v>5.18</v>
      </c>
      <c r="V300" s="8">
        <f t="shared" si="65"/>
        <v>2024</v>
      </c>
      <c r="W300" s="8" t="e">
        <f>_xlfn.XLOOKUP(A300,Fabbricati!E:E,Fabbricati!D:D)</f>
        <v>#N/A</v>
      </c>
      <c r="X300" s="9">
        <f t="shared" si="66"/>
        <v>45390</v>
      </c>
      <c r="Y300" s="9">
        <f t="shared" si="67"/>
        <v>45352</v>
      </c>
      <c r="Z300" s="9">
        <f t="shared" si="68"/>
        <v>45382</v>
      </c>
      <c r="AA300" s="8">
        <f t="shared" si="69"/>
        <v>31</v>
      </c>
      <c r="AB300" s="8">
        <f t="shared" si="70"/>
        <v>35</v>
      </c>
      <c r="AC300" s="12" t="s">
        <v>149</v>
      </c>
      <c r="AD300" s="11" t="str">
        <f t="shared" si="71"/>
        <v>10
8
17</v>
      </c>
      <c r="AE300" s="11" t="str">
        <f t="shared" si="72"/>
        <v>0
0
0</v>
      </c>
      <c r="AF300" s="11"/>
      <c r="AG300" s="11"/>
      <c r="AH300" s="8">
        <f t="shared" si="73"/>
        <v>19.02</v>
      </c>
      <c r="AI300" s="8">
        <f t="shared" si="74"/>
        <v>4.07</v>
      </c>
      <c r="AJ300" s="8">
        <f t="shared" si="75"/>
        <v>5.18</v>
      </c>
      <c r="AK300" s="8"/>
      <c r="AL300" s="8"/>
      <c r="AM300" s="8">
        <f t="shared" si="76"/>
        <v>0</v>
      </c>
      <c r="AN300" s="8">
        <f t="shared" si="77"/>
        <v>28.71</v>
      </c>
    </row>
    <row r="301" spans="1:40" ht="48" customHeight="1" x14ac:dyDescent="0.2">
      <c r="A301" s="8" t="str">
        <f>Elettricità!I301</f>
        <v>IT001E10911003</v>
      </c>
      <c r="B301" s="8" t="str">
        <f>Elettricità!A301</f>
        <v>005034930230.PDF</v>
      </c>
      <c r="C301" s="9">
        <f>Elettricità!E301</f>
        <v>45419</v>
      </c>
      <c r="D301" s="9">
        <f>Elettricità!K301</f>
        <v>45383</v>
      </c>
      <c r="E301" s="9">
        <f>Elettricità!L301</f>
        <v>45412</v>
      </c>
      <c r="F301" s="8">
        <f>Elettricità!M301</f>
        <v>29</v>
      </c>
      <c r="G301" s="8">
        <f>Elettricità!N301</f>
        <v>8</v>
      </c>
      <c r="H301" s="8">
        <f>Elettricità!O301</f>
        <v>6</v>
      </c>
      <c r="I301" s="8">
        <f>Elettricità!P301</f>
        <v>15</v>
      </c>
      <c r="J301" s="8">
        <f>Elettricità!Q301</f>
        <v>0</v>
      </c>
      <c r="K301" s="8">
        <f>Elettricità!R301</f>
        <v>0</v>
      </c>
      <c r="L301" s="8">
        <f>Elettricità!S301</f>
        <v>0</v>
      </c>
      <c r="M301" s="8">
        <f>Elettricità!T301</f>
        <v>0</v>
      </c>
      <c r="N301" s="8">
        <f>Elettricità!W301</f>
        <v>23.82</v>
      </c>
      <c r="O301" s="8">
        <f>Elettricità!X301</f>
        <v>29.06</v>
      </c>
      <c r="P301" s="8">
        <f>Elettricità!Y301</f>
        <v>0</v>
      </c>
      <c r="Q301" s="8">
        <f>Elettricità!Z301</f>
        <v>3.34</v>
      </c>
      <c r="R301" s="8">
        <f>Elettricità!AA301</f>
        <v>10.11</v>
      </c>
      <c r="S301" s="8">
        <f>Elettricità!AB301</f>
        <v>10.01</v>
      </c>
      <c r="T301" s="8">
        <f>Elettricità!AC301</f>
        <v>0</v>
      </c>
      <c r="U301" s="8">
        <f>Elettricità!AD301</f>
        <v>5.24</v>
      </c>
      <c r="V301" s="8">
        <f t="shared" si="65"/>
        <v>2024</v>
      </c>
      <c r="W301" s="8" t="e">
        <f>_xlfn.XLOOKUP(A301,Fabbricati!E:E,Fabbricati!D:D)</f>
        <v>#N/A</v>
      </c>
      <c r="X301" s="9">
        <f t="shared" si="66"/>
        <v>45419</v>
      </c>
      <c r="Y301" s="9">
        <f t="shared" si="67"/>
        <v>45383</v>
      </c>
      <c r="Z301" s="9">
        <f t="shared" si="68"/>
        <v>45412</v>
      </c>
      <c r="AA301" s="8">
        <f t="shared" si="69"/>
        <v>30</v>
      </c>
      <c r="AB301" s="8">
        <f t="shared" si="70"/>
        <v>29</v>
      </c>
      <c r="AC301" s="12" t="s">
        <v>149</v>
      </c>
      <c r="AD301" s="11" t="str">
        <f t="shared" si="71"/>
        <v>8
6
15</v>
      </c>
      <c r="AE301" s="11" t="str">
        <f t="shared" si="72"/>
        <v>0
0
0</v>
      </c>
      <c r="AF301" s="11"/>
      <c r="AG301" s="11"/>
      <c r="AH301" s="8">
        <f t="shared" si="73"/>
        <v>20.119999999999997</v>
      </c>
      <c r="AI301" s="8">
        <f t="shared" si="74"/>
        <v>3.34</v>
      </c>
      <c r="AJ301" s="8">
        <f t="shared" si="75"/>
        <v>5.24</v>
      </c>
      <c r="AK301" s="8"/>
      <c r="AL301" s="8"/>
      <c r="AM301" s="8">
        <f t="shared" si="76"/>
        <v>0</v>
      </c>
      <c r="AN301" s="8">
        <f t="shared" si="77"/>
        <v>29.06</v>
      </c>
    </row>
    <row r="302" spans="1:40" ht="48" customHeight="1" x14ac:dyDescent="0.2">
      <c r="A302" s="8" t="str">
        <f>Elettricità!I302</f>
        <v>IT001E10911003</v>
      </c>
      <c r="B302" s="8" t="str">
        <f>Elettricità!A302</f>
        <v>005043663094.PDF</v>
      </c>
      <c r="C302" s="9">
        <f>Elettricità!E302</f>
        <v>45449</v>
      </c>
      <c r="D302" s="9">
        <f>Elettricità!K302</f>
        <v>45413</v>
      </c>
      <c r="E302" s="9">
        <f>Elettricità!L302</f>
        <v>45432</v>
      </c>
      <c r="F302" s="8">
        <f>Elettricità!M302</f>
        <v>19</v>
      </c>
      <c r="G302" s="8">
        <f>Elettricità!N302</f>
        <v>6</v>
      </c>
      <c r="H302" s="8">
        <f>Elettricità!O302</f>
        <v>4</v>
      </c>
      <c r="I302" s="8">
        <f>Elettricità!P302</f>
        <v>9</v>
      </c>
      <c r="J302" s="8">
        <f>Elettricità!Q302</f>
        <v>0</v>
      </c>
      <c r="K302" s="8">
        <f>Elettricità!R302</f>
        <v>0</v>
      </c>
      <c r="L302" s="8">
        <f>Elettricità!S302</f>
        <v>0</v>
      </c>
      <c r="M302" s="8">
        <f>Elettricità!T302</f>
        <v>0</v>
      </c>
      <c r="N302" s="8">
        <f>Elettricità!W302</f>
        <v>21.84</v>
      </c>
      <c r="O302" s="8">
        <f>Elettricità!X302</f>
        <v>26.64</v>
      </c>
      <c r="P302" s="8">
        <f>Elettricità!Y302</f>
        <v>0</v>
      </c>
      <c r="Q302" s="8">
        <f>Elettricità!Z302</f>
        <v>2.1</v>
      </c>
      <c r="R302" s="8">
        <f>Elettricità!AA302</f>
        <v>9.9700000000000006</v>
      </c>
      <c r="S302" s="8">
        <f>Elettricità!AB302</f>
        <v>9.5299999999999994</v>
      </c>
      <c r="T302" s="8">
        <f>Elettricità!AC302</f>
        <v>0</v>
      </c>
      <c r="U302" s="8">
        <f>Elettricità!AD302</f>
        <v>4.8</v>
      </c>
      <c r="V302" s="8">
        <f t="shared" si="65"/>
        <v>2024</v>
      </c>
      <c r="W302" s="8" t="e">
        <f>_xlfn.XLOOKUP(A302,Fabbricati!E:E,Fabbricati!D:D)</f>
        <v>#N/A</v>
      </c>
      <c r="X302" s="9">
        <f t="shared" si="66"/>
        <v>45449</v>
      </c>
      <c r="Y302" s="9">
        <f t="shared" si="67"/>
        <v>45413</v>
      </c>
      <c r="Z302" s="9">
        <f t="shared" si="68"/>
        <v>45432</v>
      </c>
      <c r="AA302" s="8">
        <f t="shared" si="69"/>
        <v>20</v>
      </c>
      <c r="AB302" s="8">
        <f t="shared" si="70"/>
        <v>19</v>
      </c>
      <c r="AC302" s="12" t="s">
        <v>149</v>
      </c>
      <c r="AD302" s="11" t="str">
        <f t="shared" si="71"/>
        <v>6
4
9</v>
      </c>
      <c r="AE302" s="11" t="str">
        <f t="shared" si="72"/>
        <v>0
0
0</v>
      </c>
      <c r="AF302" s="11"/>
      <c r="AG302" s="11"/>
      <c r="AH302" s="8">
        <f t="shared" si="73"/>
        <v>19.5</v>
      </c>
      <c r="AI302" s="8">
        <f t="shared" si="74"/>
        <v>2.1</v>
      </c>
      <c r="AJ302" s="8">
        <f t="shared" si="75"/>
        <v>4.8</v>
      </c>
      <c r="AK302" s="8"/>
      <c r="AL302" s="8"/>
      <c r="AM302" s="8">
        <f t="shared" si="76"/>
        <v>0</v>
      </c>
      <c r="AN302" s="8">
        <f t="shared" si="77"/>
        <v>26.64</v>
      </c>
    </row>
    <row r="303" spans="1:40" ht="48" customHeight="1" x14ac:dyDescent="0.2">
      <c r="A303" s="8" t="str">
        <f>Elettricità!I303</f>
        <v>IT001E10911003</v>
      </c>
      <c r="B303" s="8" t="str">
        <f>Elettricità!A303</f>
        <v>005057542600.PDF</v>
      </c>
      <c r="C303" s="9">
        <f>Elettricità!E303</f>
        <v>45483</v>
      </c>
      <c r="D303" s="9">
        <f>Elettricità!K303</f>
        <v>45444</v>
      </c>
      <c r="E303" s="9">
        <f>Elettricità!L303</f>
        <v>45473</v>
      </c>
      <c r="F303" s="8">
        <f>Elettricità!M303</f>
        <v>23</v>
      </c>
      <c r="G303" s="8">
        <f>Elettricità!N303</f>
        <v>6</v>
      </c>
      <c r="H303" s="8">
        <f>Elettricità!O303</f>
        <v>6</v>
      </c>
      <c r="I303" s="8">
        <f>Elettricità!P303</f>
        <v>11</v>
      </c>
      <c r="J303" s="8">
        <f>Elettricità!Q303</f>
        <v>0</v>
      </c>
      <c r="K303" s="8">
        <f>Elettricità!R303</f>
        <v>0</v>
      </c>
      <c r="L303" s="8">
        <f>Elettricità!S303</f>
        <v>0</v>
      </c>
      <c r="M303" s="8">
        <f>Elettricità!T303</f>
        <v>0</v>
      </c>
      <c r="N303" s="8">
        <f>Elettricità!W303</f>
        <v>23.19</v>
      </c>
      <c r="O303" s="8">
        <f>Elettricità!X303</f>
        <v>28.29</v>
      </c>
      <c r="P303" s="8">
        <f>Elettricità!Y303</f>
        <v>0</v>
      </c>
      <c r="Q303" s="8">
        <f>Elettricità!Z303</f>
        <v>3.15</v>
      </c>
      <c r="R303" s="8">
        <f>Elettricità!AA303</f>
        <v>10.029999999999999</v>
      </c>
      <c r="S303" s="8">
        <f>Elettricità!AB303</f>
        <v>9.7200000000000006</v>
      </c>
      <c r="T303" s="8">
        <f>Elettricità!AC303</f>
        <v>0</v>
      </c>
      <c r="U303" s="8">
        <f>Elettricità!AD303</f>
        <v>5.0999999999999996</v>
      </c>
      <c r="V303" s="8">
        <f t="shared" si="65"/>
        <v>2024</v>
      </c>
      <c r="W303" s="8" t="e">
        <f>_xlfn.XLOOKUP(A303,Fabbricati!E:E,Fabbricati!D:D)</f>
        <v>#N/A</v>
      </c>
      <c r="X303" s="9">
        <f t="shared" si="66"/>
        <v>45483</v>
      </c>
      <c r="Y303" s="9">
        <f t="shared" si="67"/>
        <v>45444</v>
      </c>
      <c r="Z303" s="9">
        <f t="shared" si="68"/>
        <v>45473</v>
      </c>
      <c r="AA303" s="8">
        <f t="shared" si="69"/>
        <v>30</v>
      </c>
      <c r="AB303" s="8">
        <f t="shared" si="70"/>
        <v>23</v>
      </c>
      <c r="AC303" s="12" t="s">
        <v>149</v>
      </c>
      <c r="AD303" s="11" t="str">
        <f t="shared" si="71"/>
        <v>6
6
11</v>
      </c>
      <c r="AE303" s="11" t="str">
        <f t="shared" si="72"/>
        <v>0
0
0</v>
      </c>
      <c r="AF303" s="11"/>
      <c r="AG303" s="11"/>
      <c r="AH303" s="8">
        <f t="shared" si="73"/>
        <v>19.75</v>
      </c>
      <c r="AI303" s="8">
        <f t="shared" si="74"/>
        <v>3.15</v>
      </c>
      <c r="AJ303" s="8">
        <f t="shared" si="75"/>
        <v>5.0999999999999996</v>
      </c>
      <c r="AK303" s="8"/>
      <c r="AL303" s="8"/>
      <c r="AM303" s="8">
        <f t="shared" si="76"/>
        <v>0</v>
      </c>
      <c r="AN303" s="8">
        <f t="shared" si="77"/>
        <v>28.29</v>
      </c>
    </row>
    <row r="304" spans="1:40" ht="48" customHeight="1" x14ac:dyDescent="0.2">
      <c r="A304" s="8" t="str">
        <f>Elettricità!I304</f>
        <v>IT001E10911003</v>
      </c>
      <c r="B304" s="8" t="str">
        <f>Elettricità!A304</f>
        <v>005064992989.PDF</v>
      </c>
      <c r="C304" s="9">
        <f>Elettricità!E304</f>
        <v>45514</v>
      </c>
      <c r="D304" s="9">
        <f>Elettricità!K304</f>
        <v>45474</v>
      </c>
      <c r="E304" s="9">
        <f>Elettricità!L304</f>
        <v>45491</v>
      </c>
      <c r="F304" s="8">
        <f>Elettricità!M304</f>
        <v>27</v>
      </c>
      <c r="G304" s="8">
        <f>Elettricità!N304</f>
        <v>9</v>
      </c>
      <c r="H304" s="8">
        <f>Elettricità!O304</f>
        <v>6</v>
      </c>
      <c r="I304" s="8">
        <f>Elettricità!P304</f>
        <v>12</v>
      </c>
      <c r="J304" s="8">
        <f>Elettricità!Q304</f>
        <v>0</v>
      </c>
      <c r="K304" s="8">
        <f>Elettricità!R304</f>
        <v>0</v>
      </c>
      <c r="L304" s="8">
        <f>Elettricità!S304</f>
        <v>0</v>
      </c>
      <c r="M304" s="8">
        <f>Elettricità!T304</f>
        <v>0</v>
      </c>
      <c r="N304" s="8">
        <f>Elettricità!W304</f>
        <v>24.47</v>
      </c>
      <c r="O304" s="8">
        <f>Elettricità!X304</f>
        <v>29.85</v>
      </c>
      <c r="P304" s="8">
        <f>Elettricità!Y304</f>
        <v>0</v>
      </c>
      <c r="Q304" s="8">
        <f>Elettricità!Z304</f>
        <v>4.1500000000000004</v>
      </c>
      <c r="R304" s="8">
        <f>Elettricità!AA304</f>
        <v>10.07</v>
      </c>
      <c r="S304" s="8">
        <f>Elettricità!AB304</f>
        <v>9.91</v>
      </c>
      <c r="T304" s="8">
        <f>Elettricità!AC304</f>
        <v>0</v>
      </c>
      <c r="U304" s="8">
        <f>Elettricità!AD304</f>
        <v>5.38</v>
      </c>
      <c r="V304" s="8">
        <f t="shared" si="65"/>
        <v>2024</v>
      </c>
      <c r="W304" s="8" t="e">
        <f>_xlfn.XLOOKUP(A304,Fabbricati!E:E,Fabbricati!D:D)</f>
        <v>#N/A</v>
      </c>
      <c r="X304" s="9">
        <f t="shared" si="66"/>
        <v>45514</v>
      </c>
      <c r="Y304" s="9">
        <f t="shared" si="67"/>
        <v>45474</v>
      </c>
      <c r="Z304" s="9">
        <f t="shared" si="68"/>
        <v>45491</v>
      </c>
      <c r="AA304" s="8">
        <f t="shared" si="69"/>
        <v>18</v>
      </c>
      <c r="AB304" s="8">
        <f t="shared" si="70"/>
        <v>27</v>
      </c>
      <c r="AC304" s="12" t="s">
        <v>149</v>
      </c>
      <c r="AD304" s="11" t="str">
        <f t="shared" si="71"/>
        <v>9
6
12</v>
      </c>
      <c r="AE304" s="11" t="str">
        <f t="shared" si="72"/>
        <v>0
0
0</v>
      </c>
      <c r="AF304" s="11"/>
      <c r="AG304" s="11"/>
      <c r="AH304" s="8">
        <f t="shared" si="73"/>
        <v>19.98</v>
      </c>
      <c r="AI304" s="8">
        <f t="shared" si="74"/>
        <v>4.1500000000000004</v>
      </c>
      <c r="AJ304" s="8">
        <f t="shared" si="75"/>
        <v>5.38</v>
      </c>
      <c r="AK304" s="8"/>
      <c r="AL304" s="8"/>
      <c r="AM304" s="8">
        <f t="shared" si="76"/>
        <v>0</v>
      </c>
      <c r="AN304" s="8">
        <f t="shared" si="77"/>
        <v>29.85</v>
      </c>
    </row>
    <row r="305" spans="1:40" ht="48" customHeight="1" x14ac:dyDescent="0.2">
      <c r="A305" s="8" t="str">
        <f>Elettricità!I305</f>
        <v>IT001E10911003</v>
      </c>
      <c r="B305" s="8" t="str">
        <f>Elettricità!A305</f>
        <v>005067307606.PDF</v>
      </c>
      <c r="C305" s="9">
        <f>Elettricità!E305</f>
        <v>45541</v>
      </c>
      <c r="D305" s="9">
        <f>Elettricità!K305</f>
        <v>45505</v>
      </c>
      <c r="E305" s="9">
        <f>Elettricità!L305</f>
        <v>45535</v>
      </c>
      <c r="F305" s="8">
        <f>Elettricità!M305</f>
        <v>94</v>
      </c>
      <c r="G305" s="8">
        <f>Elettricità!N305</f>
        <v>28</v>
      </c>
      <c r="H305" s="8">
        <f>Elettricità!O305</f>
        <v>22</v>
      </c>
      <c r="I305" s="8">
        <f>Elettricità!P305</f>
        <v>44</v>
      </c>
      <c r="J305" s="8">
        <f>Elettricità!Q305</f>
        <v>0</v>
      </c>
      <c r="K305" s="8">
        <f>Elettricità!R305</f>
        <v>0</v>
      </c>
      <c r="L305" s="8">
        <f>Elettricità!S305</f>
        <v>0</v>
      </c>
      <c r="M305" s="8">
        <f>Elettricità!T305</f>
        <v>0</v>
      </c>
      <c r="N305" s="8">
        <f>Elettricità!W305</f>
        <v>24.29</v>
      </c>
      <c r="O305" s="8">
        <f>Elettricità!X305</f>
        <v>29.63</v>
      </c>
      <c r="P305" s="8">
        <f>Elettricità!Y305</f>
        <v>0</v>
      </c>
      <c r="Q305" s="8">
        <f>Elettricità!Z305</f>
        <v>4.0199999999999996</v>
      </c>
      <c r="R305" s="8">
        <f>Elettricità!AA305</f>
        <v>10.050000000000001</v>
      </c>
      <c r="S305" s="8">
        <f>Elettricità!AB305</f>
        <v>9.82</v>
      </c>
      <c r="T305" s="8">
        <f>Elettricità!AC305</f>
        <v>0</v>
      </c>
      <c r="U305" s="8">
        <f>Elettricità!AD305</f>
        <v>5.34</v>
      </c>
      <c r="V305" s="8">
        <f t="shared" si="65"/>
        <v>2024</v>
      </c>
      <c r="W305" s="8" t="e">
        <f>_xlfn.XLOOKUP(A305,Fabbricati!E:E,Fabbricati!D:D)</f>
        <v>#N/A</v>
      </c>
      <c r="X305" s="9">
        <f t="shared" si="66"/>
        <v>45541</v>
      </c>
      <c r="Y305" s="9">
        <f t="shared" si="67"/>
        <v>45505</v>
      </c>
      <c r="Z305" s="9">
        <f t="shared" si="68"/>
        <v>45535</v>
      </c>
      <c r="AA305" s="8">
        <f t="shared" si="69"/>
        <v>31</v>
      </c>
      <c r="AB305" s="8">
        <f t="shared" si="70"/>
        <v>94</v>
      </c>
      <c r="AC305" s="12" t="s">
        <v>149</v>
      </c>
      <c r="AD305" s="11" t="str">
        <f t="shared" si="71"/>
        <v>28
22
44</v>
      </c>
      <c r="AE305" s="11" t="str">
        <f t="shared" si="72"/>
        <v>0
0
0</v>
      </c>
      <c r="AF305" s="11"/>
      <c r="AG305" s="11"/>
      <c r="AH305" s="8">
        <f t="shared" si="73"/>
        <v>19.87</v>
      </c>
      <c r="AI305" s="8">
        <f t="shared" si="74"/>
        <v>4.0199999999999996</v>
      </c>
      <c r="AJ305" s="8">
        <f t="shared" si="75"/>
        <v>5.34</v>
      </c>
      <c r="AK305" s="8"/>
      <c r="AL305" s="8"/>
      <c r="AM305" s="8">
        <f t="shared" si="76"/>
        <v>0</v>
      </c>
      <c r="AN305" s="8">
        <f t="shared" si="77"/>
        <v>29.63</v>
      </c>
    </row>
    <row r="306" spans="1:40" ht="48" customHeight="1" x14ac:dyDescent="0.2">
      <c r="A306" s="8" t="str">
        <f>Elettricità!I306</f>
        <v>IT001E10911003</v>
      </c>
      <c r="B306" s="8" t="str">
        <f>Elettricità!A306</f>
        <v>005085485041.PDF</v>
      </c>
      <c r="C306" s="9">
        <f>Elettricità!E306</f>
        <v>45604</v>
      </c>
      <c r="D306" s="9">
        <f>Elettricità!K306</f>
        <v>45566</v>
      </c>
      <c r="E306" s="9">
        <f>Elettricità!L306</f>
        <v>45596</v>
      </c>
      <c r="F306" s="8">
        <f>Elettricità!M306</f>
        <v>27</v>
      </c>
      <c r="G306" s="8">
        <f>Elettricità!N306</f>
        <v>8</v>
      </c>
      <c r="H306" s="8">
        <f>Elettricità!O306</f>
        <v>6</v>
      </c>
      <c r="I306" s="8">
        <f>Elettricità!P306</f>
        <v>13</v>
      </c>
      <c r="J306" s="8">
        <f>Elettricità!Q306</f>
        <v>0</v>
      </c>
      <c r="K306" s="8">
        <f>Elettricità!R306</f>
        <v>0</v>
      </c>
      <c r="L306" s="8">
        <f>Elettricità!S306</f>
        <v>0</v>
      </c>
      <c r="M306" s="8">
        <f>Elettricità!T306</f>
        <v>0</v>
      </c>
      <c r="N306" s="8">
        <f>Elettricità!W306</f>
        <v>24.29</v>
      </c>
      <c r="O306" s="8">
        <f>Elettricità!X306</f>
        <v>29.63</v>
      </c>
      <c r="P306" s="8">
        <f>Elettricità!Y306</f>
        <v>0</v>
      </c>
      <c r="Q306" s="8">
        <f>Elettricità!Z306</f>
        <v>3.97</v>
      </c>
      <c r="R306" s="8">
        <f>Elettricità!AA306</f>
        <v>10.07</v>
      </c>
      <c r="S306" s="8">
        <f>Elettricità!AB306</f>
        <v>9.91</v>
      </c>
      <c r="T306" s="8">
        <f>Elettricità!AC306</f>
        <v>0</v>
      </c>
      <c r="U306" s="8">
        <f>Elettricità!AD306</f>
        <v>5.34</v>
      </c>
      <c r="V306" s="8">
        <f t="shared" si="65"/>
        <v>2024</v>
      </c>
      <c r="W306" s="8" t="e">
        <f>_xlfn.XLOOKUP(A306,Fabbricati!E:E,Fabbricati!D:D)</f>
        <v>#N/A</v>
      </c>
      <c r="X306" s="9">
        <f t="shared" si="66"/>
        <v>45604</v>
      </c>
      <c r="Y306" s="9">
        <f t="shared" si="67"/>
        <v>45566</v>
      </c>
      <c r="Z306" s="9">
        <f t="shared" si="68"/>
        <v>45596</v>
      </c>
      <c r="AA306" s="8">
        <f t="shared" si="69"/>
        <v>31</v>
      </c>
      <c r="AB306" s="8">
        <f t="shared" si="70"/>
        <v>27</v>
      </c>
      <c r="AC306" s="12" t="s">
        <v>149</v>
      </c>
      <c r="AD306" s="11" t="str">
        <f t="shared" si="71"/>
        <v>8
6
13</v>
      </c>
      <c r="AE306" s="11" t="str">
        <f t="shared" si="72"/>
        <v>0
0
0</v>
      </c>
      <c r="AF306" s="11"/>
      <c r="AG306" s="11"/>
      <c r="AH306" s="8">
        <f t="shared" si="73"/>
        <v>19.98</v>
      </c>
      <c r="AI306" s="8">
        <f t="shared" si="74"/>
        <v>3.97</v>
      </c>
      <c r="AJ306" s="8">
        <f t="shared" si="75"/>
        <v>5.34</v>
      </c>
      <c r="AK306" s="8"/>
      <c r="AL306" s="8"/>
      <c r="AM306" s="8">
        <f t="shared" si="76"/>
        <v>0</v>
      </c>
      <c r="AN306" s="8">
        <f t="shared" si="77"/>
        <v>29.63</v>
      </c>
    </row>
    <row r="307" spans="1:40" ht="48" customHeight="1" x14ac:dyDescent="0.2">
      <c r="A307" s="8" t="str">
        <f>Elettricità!I307</f>
        <v>IT001E10911003</v>
      </c>
      <c r="B307" s="8" t="str">
        <f>Elettricità!A307</f>
        <v>005093369275.PDF</v>
      </c>
      <c r="C307" s="9">
        <f>Elettricità!E307</f>
        <v>45632</v>
      </c>
      <c r="D307" s="9">
        <f>Elettricità!K307</f>
        <v>45597</v>
      </c>
      <c r="E307" s="9">
        <f>Elettricità!L307</f>
        <v>45626</v>
      </c>
      <c r="F307" s="8">
        <f>Elettricità!M307</f>
        <v>36</v>
      </c>
      <c r="G307" s="8">
        <f>Elettricità!N307</f>
        <v>10</v>
      </c>
      <c r="H307" s="8">
        <f>Elettricità!O307</f>
        <v>9</v>
      </c>
      <c r="I307" s="8">
        <f>Elettricità!P307</f>
        <v>17</v>
      </c>
      <c r="J307" s="8">
        <f>Elettricità!Q307</f>
        <v>0</v>
      </c>
      <c r="K307" s="8">
        <f>Elettricità!R307</f>
        <v>0</v>
      </c>
      <c r="L307" s="8">
        <f>Elettricità!S307</f>
        <v>0</v>
      </c>
      <c r="M307" s="8">
        <f>Elettricità!T307</f>
        <v>0</v>
      </c>
      <c r="N307" s="8">
        <f>Elettricità!W307</f>
        <v>26.84</v>
      </c>
      <c r="O307" s="8">
        <f>Elettricità!X307</f>
        <v>32.74</v>
      </c>
      <c r="P307" s="8">
        <f>Elettricità!Y307</f>
        <v>0</v>
      </c>
      <c r="Q307" s="8">
        <f>Elettricità!Z307</f>
        <v>5.86</v>
      </c>
      <c r="R307" s="8">
        <f>Elettricità!AA307</f>
        <v>10.19</v>
      </c>
      <c r="S307" s="8">
        <f>Elettricità!AB307</f>
        <v>10.34</v>
      </c>
      <c r="T307" s="8">
        <f>Elettricità!AC307</f>
        <v>0</v>
      </c>
      <c r="U307" s="8">
        <f>Elettricità!AD307</f>
        <v>5.9</v>
      </c>
      <c r="V307" s="8">
        <f t="shared" si="65"/>
        <v>2024</v>
      </c>
      <c r="W307" s="8" t="e">
        <f>_xlfn.XLOOKUP(A307,Fabbricati!E:E,Fabbricati!D:D)</f>
        <v>#N/A</v>
      </c>
      <c r="X307" s="9">
        <f t="shared" si="66"/>
        <v>45632</v>
      </c>
      <c r="Y307" s="9">
        <f t="shared" si="67"/>
        <v>45597</v>
      </c>
      <c r="Z307" s="9">
        <f t="shared" si="68"/>
        <v>45626</v>
      </c>
      <c r="AA307" s="8">
        <f t="shared" si="69"/>
        <v>30</v>
      </c>
      <c r="AB307" s="8">
        <f t="shared" si="70"/>
        <v>36</v>
      </c>
      <c r="AC307" s="12" t="s">
        <v>149</v>
      </c>
      <c r="AD307" s="11" t="str">
        <f t="shared" si="71"/>
        <v>10
9
17</v>
      </c>
      <c r="AE307" s="11" t="str">
        <f t="shared" si="72"/>
        <v>0
0
0</v>
      </c>
      <c r="AF307" s="11"/>
      <c r="AG307" s="11"/>
      <c r="AH307" s="8">
        <f t="shared" si="73"/>
        <v>20.53</v>
      </c>
      <c r="AI307" s="8">
        <f t="shared" si="74"/>
        <v>5.86</v>
      </c>
      <c r="AJ307" s="8">
        <f t="shared" si="75"/>
        <v>5.9</v>
      </c>
      <c r="AK307" s="8"/>
      <c r="AL307" s="8"/>
      <c r="AM307" s="8">
        <f t="shared" si="76"/>
        <v>0</v>
      </c>
      <c r="AN307" s="8">
        <f t="shared" si="77"/>
        <v>32.74</v>
      </c>
    </row>
    <row r="308" spans="1:40" ht="48" customHeight="1" x14ac:dyDescent="0.2">
      <c r="A308" s="8" t="str">
        <f>Elettricità!I308</f>
        <v>IT001E10911003</v>
      </c>
      <c r="B308" s="8" t="str">
        <f>Elettricità!A308</f>
        <v>005200218688.PDF</v>
      </c>
      <c r="C308" s="9">
        <f>Elettricità!E308</f>
        <v>45665</v>
      </c>
      <c r="D308" s="9">
        <f>Elettricità!K308</f>
        <v>45627</v>
      </c>
      <c r="E308" s="9">
        <f>Elettricità!L308</f>
        <v>45657</v>
      </c>
      <c r="F308" s="8">
        <f>Elettricità!M308</f>
        <v>40</v>
      </c>
      <c r="G308" s="8">
        <f>Elettricità!N308</f>
        <v>11</v>
      </c>
      <c r="H308" s="8">
        <f>Elettricità!O308</f>
        <v>9</v>
      </c>
      <c r="I308" s="8">
        <f>Elettricità!P308</f>
        <v>20</v>
      </c>
      <c r="J308" s="8">
        <f>Elettricità!Q308</f>
        <v>0</v>
      </c>
      <c r="K308" s="8">
        <f>Elettricità!R308</f>
        <v>0</v>
      </c>
      <c r="L308" s="8">
        <f>Elettricità!S308</f>
        <v>0</v>
      </c>
      <c r="M308" s="8">
        <f>Elettricità!T308</f>
        <v>0</v>
      </c>
      <c r="N308" s="8">
        <f>Elettricità!W308</f>
        <v>28.13</v>
      </c>
      <c r="O308" s="8">
        <f>Elettricità!X308</f>
        <v>34.32</v>
      </c>
      <c r="P308" s="8">
        <f>Elettricità!Y308</f>
        <v>0</v>
      </c>
      <c r="Q308" s="8">
        <f>Elettricità!Z308</f>
        <v>6.84</v>
      </c>
      <c r="R308" s="8">
        <f>Elettricità!AA308</f>
        <v>10.25</v>
      </c>
      <c r="S308" s="8">
        <f>Elettricità!AB308</f>
        <v>10.54</v>
      </c>
      <c r="T308" s="8">
        <f>Elettricità!AC308</f>
        <v>0</v>
      </c>
      <c r="U308" s="8">
        <f>Elettricità!AD308</f>
        <v>6.19</v>
      </c>
      <c r="V308" s="8">
        <f t="shared" si="65"/>
        <v>2024</v>
      </c>
      <c r="W308" s="8" t="e">
        <f>_xlfn.XLOOKUP(A308,Fabbricati!E:E,Fabbricati!D:D)</f>
        <v>#N/A</v>
      </c>
      <c r="X308" s="9">
        <f t="shared" si="66"/>
        <v>45665</v>
      </c>
      <c r="Y308" s="9">
        <f t="shared" si="67"/>
        <v>45627</v>
      </c>
      <c r="Z308" s="9">
        <f t="shared" si="68"/>
        <v>45657</v>
      </c>
      <c r="AA308" s="8">
        <f t="shared" si="69"/>
        <v>31</v>
      </c>
      <c r="AB308" s="8">
        <f t="shared" si="70"/>
        <v>40</v>
      </c>
      <c r="AC308" s="12" t="s">
        <v>149</v>
      </c>
      <c r="AD308" s="11" t="str">
        <f t="shared" si="71"/>
        <v>11
9
20</v>
      </c>
      <c r="AE308" s="11" t="str">
        <f t="shared" si="72"/>
        <v>0
0
0</v>
      </c>
      <c r="AF308" s="11"/>
      <c r="AG308" s="11"/>
      <c r="AH308" s="8">
        <f t="shared" si="73"/>
        <v>20.79</v>
      </c>
      <c r="AI308" s="8">
        <f t="shared" si="74"/>
        <v>6.84</v>
      </c>
      <c r="AJ308" s="8">
        <f t="shared" si="75"/>
        <v>6.19</v>
      </c>
      <c r="AK308" s="8"/>
      <c r="AL308" s="8"/>
      <c r="AM308" s="8">
        <f t="shared" si="76"/>
        <v>0</v>
      </c>
      <c r="AN308" s="8">
        <f t="shared" si="77"/>
        <v>34.32</v>
      </c>
    </row>
    <row r="309" spans="1:40" ht="48" customHeight="1" x14ac:dyDescent="0.2">
      <c r="A309" s="8" t="str">
        <f>Elettricità!I309</f>
        <v>IT001E10911293</v>
      </c>
      <c r="B309" s="8" t="str">
        <f>Elettricità!A309</f>
        <v>005018359677.pdf</v>
      </c>
      <c r="C309" s="9">
        <f>Elettricità!E309</f>
        <v>45358</v>
      </c>
      <c r="D309" s="9">
        <f>Elettricità!K309</f>
        <v>45323</v>
      </c>
      <c r="E309" s="9">
        <f>Elettricità!L309</f>
        <v>45351</v>
      </c>
      <c r="F309" s="8">
        <f>Elettricità!M309</f>
        <v>9</v>
      </c>
      <c r="G309" s="8">
        <f>Elettricità!N309</f>
        <v>3</v>
      </c>
      <c r="H309" s="8">
        <f>Elettricità!O309</f>
        <v>2</v>
      </c>
      <c r="I309" s="8">
        <f>Elettricità!P309</f>
        <v>4</v>
      </c>
      <c r="J309" s="8">
        <f>Elettricità!Q309</f>
        <v>0</v>
      </c>
      <c r="K309" s="8">
        <f>Elettricità!R309</f>
        <v>0</v>
      </c>
      <c r="L309" s="8">
        <f>Elettricità!S309</f>
        <v>0</v>
      </c>
      <c r="M309" s="8">
        <f>Elettricità!T309</f>
        <v>0</v>
      </c>
      <c r="N309" s="8">
        <f>Elettricità!W309</f>
        <v>18.690000000000001</v>
      </c>
      <c r="O309" s="8">
        <f>Elettricità!X309</f>
        <v>22.8</v>
      </c>
      <c r="P309" s="8">
        <f>Elettricità!Y309</f>
        <v>0</v>
      </c>
      <c r="Q309" s="8">
        <f>Elettricità!Z309</f>
        <v>0.98</v>
      </c>
      <c r="R309" s="8">
        <f>Elettricità!AA309</f>
        <v>9.84</v>
      </c>
      <c r="S309" s="8">
        <f>Elettricità!AB309</f>
        <v>7.76</v>
      </c>
      <c r="T309" s="8">
        <f>Elettricità!AC309</f>
        <v>0</v>
      </c>
      <c r="U309" s="8">
        <f>Elettricità!AD309</f>
        <v>4.1100000000000003</v>
      </c>
      <c r="V309" s="8">
        <f t="shared" si="65"/>
        <v>2024</v>
      </c>
      <c r="W309" s="8" t="e">
        <f>_xlfn.XLOOKUP(A309,Fabbricati!E:E,Fabbricati!D:D)</f>
        <v>#N/A</v>
      </c>
      <c r="X309" s="9">
        <f t="shared" si="66"/>
        <v>45358</v>
      </c>
      <c r="Y309" s="9">
        <f t="shared" si="67"/>
        <v>45323</v>
      </c>
      <c r="Z309" s="9">
        <f t="shared" si="68"/>
        <v>45351</v>
      </c>
      <c r="AA309" s="8">
        <f t="shared" si="69"/>
        <v>29</v>
      </c>
      <c r="AB309" s="8">
        <f t="shared" si="70"/>
        <v>9</v>
      </c>
      <c r="AC309" s="12" t="s">
        <v>149</v>
      </c>
      <c r="AD309" s="11" t="str">
        <f t="shared" si="71"/>
        <v>3
2
4</v>
      </c>
      <c r="AE309" s="11" t="str">
        <f t="shared" si="72"/>
        <v>0
0
0</v>
      </c>
      <c r="AF309" s="11"/>
      <c r="AG309" s="11"/>
      <c r="AH309" s="8">
        <f t="shared" si="73"/>
        <v>17.600000000000001</v>
      </c>
      <c r="AI309" s="8">
        <f t="shared" si="74"/>
        <v>0.98</v>
      </c>
      <c r="AJ309" s="8">
        <f t="shared" si="75"/>
        <v>4.1100000000000003</v>
      </c>
      <c r="AK309" s="8"/>
      <c r="AL309" s="8"/>
      <c r="AM309" s="8">
        <f t="shared" si="76"/>
        <v>0</v>
      </c>
      <c r="AN309" s="8">
        <f t="shared" si="77"/>
        <v>22.8</v>
      </c>
    </row>
    <row r="310" spans="1:40" ht="48" customHeight="1" x14ac:dyDescent="0.2">
      <c r="A310" s="8" t="str">
        <f>Elettricità!I310</f>
        <v>IT001E10911293</v>
      </c>
      <c r="B310" s="8" t="str">
        <f>Elettricità!A310</f>
        <v>005026659962.pdf</v>
      </c>
      <c r="C310" s="9">
        <f>Elettricità!E310</f>
        <v>45390</v>
      </c>
      <c r="D310" s="9">
        <f>Elettricità!K310</f>
        <v>45352</v>
      </c>
      <c r="E310" s="9">
        <f>Elettricità!L310</f>
        <v>45382</v>
      </c>
      <c r="F310" s="8">
        <f>Elettricità!M310</f>
        <v>10</v>
      </c>
      <c r="G310" s="8">
        <f>Elettricità!N310</f>
        <v>3</v>
      </c>
      <c r="H310" s="8">
        <f>Elettricità!O310</f>
        <v>3</v>
      </c>
      <c r="I310" s="8">
        <f>Elettricità!P310</f>
        <v>4</v>
      </c>
      <c r="J310" s="8">
        <f>Elettricità!Q310</f>
        <v>0</v>
      </c>
      <c r="K310" s="8">
        <f>Elettricità!R310</f>
        <v>0</v>
      </c>
      <c r="L310" s="8">
        <f>Elettricità!S310</f>
        <v>0</v>
      </c>
      <c r="M310" s="8">
        <f>Elettricità!T310</f>
        <v>0</v>
      </c>
      <c r="N310" s="8">
        <f>Elettricità!W310</f>
        <v>18.88</v>
      </c>
      <c r="O310" s="8">
        <f>Elettricità!X310</f>
        <v>23.03</v>
      </c>
      <c r="P310" s="8">
        <f>Elettricità!Y310</f>
        <v>0</v>
      </c>
      <c r="Q310" s="8">
        <f>Elettricità!Z310</f>
        <v>1.08</v>
      </c>
      <c r="R310" s="8">
        <f>Elettricità!AA310</f>
        <v>9.86</v>
      </c>
      <c r="S310" s="8">
        <f>Elettricità!AB310</f>
        <v>7.81</v>
      </c>
      <c r="T310" s="8">
        <f>Elettricità!AC310</f>
        <v>0</v>
      </c>
      <c r="U310" s="8">
        <f>Elettricità!AD310</f>
        <v>4.1500000000000004</v>
      </c>
      <c r="V310" s="8">
        <f t="shared" si="65"/>
        <v>2024</v>
      </c>
      <c r="W310" s="8" t="e">
        <f>_xlfn.XLOOKUP(A310,Fabbricati!E:E,Fabbricati!D:D)</f>
        <v>#N/A</v>
      </c>
      <c r="X310" s="9">
        <f t="shared" si="66"/>
        <v>45390</v>
      </c>
      <c r="Y310" s="9">
        <f t="shared" si="67"/>
        <v>45352</v>
      </c>
      <c r="Z310" s="9">
        <f t="shared" si="68"/>
        <v>45382</v>
      </c>
      <c r="AA310" s="8">
        <f t="shared" si="69"/>
        <v>31</v>
      </c>
      <c r="AB310" s="8">
        <f t="shared" si="70"/>
        <v>10</v>
      </c>
      <c r="AC310" s="12" t="s">
        <v>149</v>
      </c>
      <c r="AD310" s="11" t="str">
        <f t="shared" si="71"/>
        <v>3
3
4</v>
      </c>
      <c r="AE310" s="11" t="str">
        <f t="shared" si="72"/>
        <v>0
0
0</v>
      </c>
      <c r="AF310" s="11"/>
      <c r="AG310" s="11"/>
      <c r="AH310" s="8">
        <f t="shared" si="73"/>
        <v>17.669999999999998</v>
      </c>
      <c r="AI310" s="8">
        <f t="shared" si="74"/>
        <v>1.08</v>
      </c>
      <c r="AJ310" s="8">
        <f t="shared" si="75"/>
        <v>4.1500000000000004</v>
      </c>
      <c r="AK310" s="8"/>
      <c r="AL310" s="8"/>
      <c r="AM310" s="8">
        <f t="shared" si="76"/>
        <v>0</v>
      </c>
      <c r="AN310" s="8">
        <f t="shared" si="77"/>
        <v>23.03</v>
      </c>
    </row>
    <row r="311" spans="1:40" ht="48" customHeight="1" x14ac:dyDescent="0.2">
      <c r="A311" s="8" t="str">
        <f>Elettricità!I311</f>
        <v>IT001E10911293</v>
      </c>
      <c r="B311" s="8" t="str">
        <f>Elettricità!A311</f>
        <v>005034930232.PDF</v>
      </c>
      <c r="C311" s="9">
        <f>Elettricità!E311</f>
        <v>45419</v>
      </c>
      <c r="D311" s="9">
        <f>Elettricità!K311</f>
        <v>45383</v>
      </c>
      <c r="E311" s="9">
        <f>Elettricità!L311</f>
        <v>45412</v>
      </c>
      <c r="F311" s="8">
        <f>Elettricità!M311</f>
        <v>9</v>
      </c>
      <c r="G311" s="8">
        <f>Elettricità!N311</f>
        <v>3</v>
      </c>
      <c r="H311" s="8">
        <f>Elettricità!O311</f>
        <v>2</v>
      </c>
      <c r="I311" s="8">
        <f>Elettricità!P311</f>
        <v>4</v>
      </c>
      <c r="J311" s="8">
        <f>Elettricità!Q311</f>
        <v>0</v>
      </c>
      <c r="K311" s="8">
        <f>Elettricità!R311</f>
        <v>0</v>
      </c>
      <c r="L311" s="8">
        <f>Elettricità!S311</f>
        <v>0</v>
      </c>
      <c r="M311" s="8">
        <f>Elettricità!T311</f>
        <v>0</v>
      </c>
      <c r="N311" s="8">
        <f>Elettricità!W311</f>
        <v>19.91</v>
      </c>
      <c r="O311" s="8">
        <f>Elettricità!X311</f>
        <v>24.29</v>
      </c>
      <c r="P311" s="8">
        <f>Elettricità!Y311</f>
        <v>0</v>
      </c>
      <c r="Q311" s="8">
        <f>Elettricità!Z311</f>
        <v>0.92</v>
      </c>
      <c r="R311" s="8">
        <f>Elettricità!AA311</f>
        <v>9.84</v>
      </c>
      <c r="S311" s="8">
        <f>Elettricità!AB311</f>
        <v>9.0399999999999991</v>
      </c>
      <c r="T311" s="8">
        <f>Elettricità!AC311</f>
        <v>0</v>
      </c>
      <c r="U311" s="8">
        <f>Elettricità!AD311</f>
        <v>4.38</v>
      </c>
      <c r="V311" s="8">
        <f t="shared" si="65"/>
        <v>2024</v>
      </c>
      <c r="W311" s="8" t="e">
        <f>_xlfn.XLOOKUP(A311,Fabbricati!E:E,Fabbricati!D:D)</f>
        <v>#N/A</v>
      </c>
      <c r="X311" s="9">
        <f t="shared" si="66"/>
        <v>45419</v>
      </c>
      <c r="Y311" s="9">
        <f t="shared" si="67"/>
        <v>45383</v>
      </c>
      <c r="Z311" s="9">
        <f t="shared" si="68"/>
        <v>45412</v>
      </c>
      <c r="AA311" s="8">
        <f t="shared" si="69"/>
        <v>30</v>
      </c>
      <c r="AB311" s="8">
        <f t="shared" si="70"/>
        <v>9</v>
      </c>
      <c r="AC311" s="12" t="s">
        <v>149</v>
      </c>
      <c r="AD311" s="11" t="str">
        <f t="shared" si="71"/>
        <v>3
2
4</v>
      </c>
      <c r="AE311" s="11" t="str">
        <f t="shared" si="72"/>
        <v>0
0
0</v>
      </c>
      <c r="AF311" s="11"/>
      <c r="AG311" s="11"/>
      <c r="AH311" s="8">
        <f t="shared" si="73"/>
        <v>18.88</v>
      </c>
      <c r="AI311" s="8">
        <f t="shared" si="74"/>
        <v>0.92</v>
      </c>
      <c r="AJ311" s="8">
        <f t="shared" si="75"/>
        <v>4.38</v>
      </c>
      <c r="AK311" s="8"/>
      <c r="AL311" s="8"/>
      <c r="AM311" s="8">
        <f t="shared" si="76"/>
        <v>0</v>
      </c>
      <c r="AN311" s="8">
        <f t="shared" si="77"/>
        <v>24.29</v>
      </c>
    </row>
    <row r="312" spans="1:40" ht="48" customHeight="1" x14ac:dyDescent="0.2">
      <c r="A312" s="8" t="str">
        <f>Elettricità!I312</f>
        <v>IT001E10911293</v>
      </c>
      <c r="B312" s="8" t="str">
        <f>Elettricità!A312</f>
        <v>005043663096.PDF</v>
      </c>
      <c r="C312" s="9">
        <f>Elettricità!E312</f>
        <v>45449</v>
      </c>
      <c r="D312" s="9">
        <f>Elettricità!K312</f>
        <v>45413</v>
      </c>
      <c r="E312" s="9">
        <f>Elettricità!L312</f>
        <v>45443</v>
      </c>
      <c r="F312" s="8">
        <f>Elettricità!M312</f>
        <v>9</v>
      </c>
      <c r="G312" s="8">
        <f>Elettricità!N312</f>
        <v>3</v>
      </c>
      <c r="H312" s="8">
        <f>Elettricità!O312</f>
        <v>2</v>
      </c>
      <c r="I312" s="8">
        <f>Elettricità!P312</f>
        <v>4</v>
      </c>
      <c r="J312" s="8">
        <f>Elettricità!Q312</f>
        <v>0</v>
      </c>
      <c r="K312" s="8">
        <f>Elettricità!R312</f>
        <v>0</v>
      </c>
      <c r="L312" s="8">
        <f>Elettricità!S312</f>
        <v>0</v>
      </c>
      <c r="M312" s="8">
        <f>Elettricità!T312</f>
        <v>0</v>
      </c>
      <c r="N312" s="8">
        <f>Elettricità!W312</f>
        <v>19.989999999999998</v>
      </c>
      <c r="O312" s="8">
        <f>Elettricità!X312</f>
        <v>24.39</v>
      </c>
      <c r="P312" s="8">
        <f>Elettricità!Y312</f>
        <v>0</v>
      </c>
      <c r="Q312" s="8">
        <f>Elettricità!Z312</f>
        <v>1</v>
      </c>
      <c r="R312" s="8">
        <f>Elettricità!AA312</f>
        <v>9.84</v>
      </c>
      <c r="S312" s="8">
        <f>Elettricità!AB312</f>
        <v>9.0399999999999991</v>
      </c>
      <c r="T312" s="8">
        <f>Elettricità!AC312</f>
        <v>0</v>
      </c>
      <c r="U312" s="8">
        <f>Elettricità!AD312</f>
        <v>4.4000000000000004</v>
      </c>
      <c r="V312" s="8">
        <f t="shared" si="65"/>
        <v>2024</v>
      </c>
      <c r="W312" s="8" t="e">
        <f>_xlfn.XLOOKUP(A312,Fabbricati!E:E,Fabbricati!D:D)</f>
        <v>#N/A</v>
      </c>
      <c r="X312" s="9">
        <f t="shared" si="66"/>
        <v>45449</v>
      </c>
      <c r="Y312" s="9">
        <f t="shared" si="67"/>
        <v>45413</v>
      </c>
      <c r="Z312" s="9">
        <f t="shared" si="68"/>
        <v>45443</v>
      </c>
      <c r="AA312" s="8">
        <f t="shared" si="69"/>
        <v>31</v>
      </c>
      <c r="AB312" s="8">
        <f t="shared" si="70"/>
        <v>9</v>
      </c>
      <c r="AC312" s="12" t="s">
        <v>149</v>
      </c>
      <c r="AD312" s="11" t="str">
        <f t="shared" si="71"/>
        <v>3
2
4</v>
      </c>
      <c r="AE312" s="11" t="str">
        <f t="shared" si="72"/>
        <v>0
0
0</v>
      </c>
      <c r="AF312" s="11"/>
      <c r="AG312" s="11"/>
      <c r="AH312" s="8">
        <f t="shared" si="73"/>
        <v>18.88</v>
      </c>
      <c r="AI312" s="8">
        <f t="shared" si="74"/>
        <v>1</v>
      </c>
      <c r="AJ312" s="8">
        <f t="shared" si="75"/>
        <v>4.4000000000000004</v>
      </c>
      <c r="AK312" s="8"/>
      <c r="AL312" s="8"/>
      <c r="AM312" s="8">
        <f t="shared" si="76"/>
        <v>0</v>
      </c>
      <c r="AN312" s="8">
        <f t="shared" si="77"/>
        <v>24.39</v>
      </c>
    </row>
    <row r="313" spans="1:40" ht="48" customHeight="1" x14ac:dyDescent="0.2">
      <c r="A313" s="8" t="str">
        <f>Elettricità!I313</f>
        <v>IT001E10911293</v>
      </c>
      <c r="B313" s="8" t="str">
        <f>Elettricità!A313</f>
        <v>005051431110.PDF</v>
      </c>
      <c r="C313" s="9">
        <f>Elettricità!E313</f>
        <v>45478</v>
      </c>
      <c r="D313" s="9">
        <f>Elettricità!K313</f>
        <v>45444</v>
      </c>
      <c r="E313" s="9">
        <f>Elettricità!L313</f>
        <v>45473</v>
      </c>
      <c r="F313" s="8">
        <f>Elettricità!M313</f>
        <v>8</v>
      </c>
      <c r="G313" s="8">
        <f>Elettricità!N313</f>
        <v>2</v>
      </c>
      <c r="H313" s="8">
        <f>Elettricità!O313</f>
        <v>2</v>
      </c>
      <c r="I313" s="8">
        <f>Elettricità!P313</f>
        <v>4</v>
      </c>
      <c r="J313" s="8">
        <f>Elettricità!Q313</f>
        <v>0</v>
      </c>
      <c r="K313" s="8">
        <f>Elettricità!R313</f>
        <v>0</v>
      </c>
      <c r="L313" s="8">
        <f>Elettricità!S313</f>
        <v>0</v>
      </c>
      <c r="M313" s="8">
        <f>Elettricità!T313</f>
        <v>0</v>
      </c>
      <c r="N313" s="8">
        <f>Elettricità!W313</f>
        <v>19.89</v>
      </c>
      <c r="O313" s="8">
        <f>Elettricità!X313</f>
        <v>24.27</v>
      </c>
      <c r="P313" s="8">
        <f>Elettricità!Y313</f>
        <v>0</v>
      </c>
      <c r="Q313" s="8">
        <f>Elettricità!Z313</f>
        <v>0.97</v>
      </c>
      <c r="R313" s="8">
        <f>Elettricità!AA313</f>
        <v>9.83</v>
      </c>
      <c r="S313" s="8">
        <f>Elettricità!AB313</f>
        <v>8.99</v>
      </c>
      <c r="T313" s="8">
        <f>Elettricità!AC313</f>
        <v>0</v>
      </c>
      <c r="U313" s="8">
        <f>Elettricità!AD313</f>
        <v>4.38</v>
      </c>
      <c r="V313" s="8">
        <f t="shared" si="65"/>
        <v>2024</v>
      </c>
      <c r="W313" s="8" t="e">
        <f>_xlfn.XLOOKUP(A313,Fabbricati!E:E,Fabbricati!D:D)</f>
        <v>#N/A</v>
      </c>
      <c r="X313" s="9">
        <f t="shared" si="66"/>
        <v>45478</v>
      </c>
      <c r="Y313" s="9">
        <f t="shared" si="67"/>
        <v>45444</v>
      </c>
      <c r="Z313" s="9">
        <f t="shared" si="68"/>
        <v>45473</v>
      </c>
      <c r="AA313" s="8">
        <f t="shared" si="69"/>
        <v>30</v>
      </c>
      <c r="AB313" s="8">
        <f t="shared" si="70"/>
        <v>8</v>
      </c>
      <c r="AC313" s="12" t="s">
        <v>149</v>
      </c>
      <c r="AD313" s="11" t="str">
        <f t="shared" si="71"/>
        <v>2
2
4</v>
      </c>
      <c r="AE313" s="11" t="str">
        <f t="shared" si="72"/>
        <v>0
0
0</v>
      </c>
      <c r="AF313" s="11"/>
      <c r="AG313" s="11"/>
      <c r="AH313" s="8">
        <f t="shared" si="73"/>
        <v>18.82</v>
      </c>
      <c r="AI313" s="8">
        <f t="shared" si="74"/>
        <v>0.97</v>
      </c>
      <c r="AJ313" s="8">
        <f t="shared" si="75"/>
        <v>4.38</v>
      </c>
      <c r="AK313" s="8"/>
      <c r="AL313" s="8"/>
      <c r="AM313" s="8">
        <f t="shared" si="76"/>
        <v>0</v>
      </c>
      <c r="AN313" s="8">
        <f t="shared" si="77"/>
        <v>24.27</v>
      </c>
    </row>
    <row r="314" spans="1:40" ht="48" customHeight="1" x14ac:dyDescent="0.2">
      <c r="A314" s="8" t="str">
        <f>Elettricità!I314</f>
        <v>IT001E10911293</v>
      </c>
      <c r="B314" s="8" t="str">
        <f>Elettricità!A314</f>
        <v>005059958073(1).PDF</v>
      </c>
      <c r="C314" s="9">
        <f>Elettricità!E314</f>
        <v>45511</v>
      </c>
      <c r="D314" s="9">
        <f>Elettricità!K314</f>
        <v>45474</v>
      </c>
      <c r="E314" s="9">
        <f>Elettricità!L314</f>
        <v>45504</v>
      </c>
      <c r="F314" s="8">
        <f>Elettricità!M314</f>
        <v>9</v>
      </c>
      <c r="G314" s="8">
        <f>Elettricità!N314</f>
        <v>4</v>
      </c>
      <c r="H314" s="8">
        <f>Elettricità!O314</f>
        <v>2</v>
      </c>
      <c r="I314" s="8">
        <f>Elettricità!P314</f>
        <v>3</v>
      </c>
      <c r="J314" s="8">
        <f>Elettricità!Q314</f>
        <v>0</v>
      </c>
      <c r="K314" s="8">
        <f>Elettricità!R314</f>
        <v>0</v>
      </c>
      <c r="L314" s="8">
        <f>Elettricità!S314</f>
        <v>0</v>
      </c>
      <c r="M314" s="8">
        <f>Elettricità!T314</f>
        <v>0</v>
      </c>
      <c r="N314" s="8">
        <f>Elettricità!W314</f>
        <v>20.27</v>
      </c>
      <c r="O314" s="8">
        <f>Elettricità!X314</f>
        <v>24.73</v>
      </c>
      <c r="P314" s="8">
        <f>Elettricità!Y314</f>
        <v>0</v>
      </c>
      <c r="Q314" s="8">
        <f>Elettricità!Z314</f>
        <v>1.28</v>
      </c>
      <c r="R314" s="8">
        <f>Elettricità!AA314</f>
        <v>9.84</v>
      </c>
      <c r="S314" s="8">
        <f>Elettricità!AB314</f>
        <v>9.0399999999999991</v>
      </c>
      <c r="T314" s="8">
        <f>Elettricità!AC314</f>
        <v>0</v>
      </c>
      <c r="U314" s="8">
        <f>Elettricità!AD314</f>
        <v>4.46</v>
      </c>
      <c r="V314" s="8">
        <f t="shared" si="65"/>
        <v>2024</v>
      </c>
      <c r="W314" s="8" t="e">
        <f>_xlfn.XLOOKUP(A314,Fabbricati!E:E,Fabbricati!D:D)</f>
        <v>#N/A</v>
      </c>
      <c r="X314" s="9">
        <f t="shared" si="66"/>
        <v>45511</v>
      </c>
      <c r="Y314" s="9">
        <f t="shared" si="67"/>
        <v>45474</v>
      </c>
      <c r="Z314" s="9">
        <f t="shared" si="68"/>
        <v>45504</v>
      </c>
      <c r="AA314" s="8">
        <f t="shared" si="69"/>
        <v>31</v>
      </c>
      <c r="AB314" s="8">
        <f t="shared" si="70"/>
        <v>9</v>
      </c>
      <c r="AC314" s="12" t="s">
        <v>149</v>
      </c>
      <c r="AD314" s="11" t="str">
        <f t="shared" si="71"/>
        <v>4
2
3</v>
      </c>
      <c r="AE314" s="11" t="str">
        <f t="shared" si="72"/>
        <v>0
0
0</v>
      </c>
      <c r="AF314" s="11"/>
      <c r="AG314" s="11"/>
      <c r="AH314" s="8">
        <f t="shared" si="73"/>
        <v>18.88</v>
      </c>
      <c r="AI314" s="8">
        <f t="shared" si="74"/>
        <v>1.28</v>
      </c>
      <c r="AJ314" s="8">
        <f t="shared" si="75"/>
        <v>4.46</v>
      </c>
      <c r="AK314" s="8"/>
      <c r="AL314" s="8"/>
      <c r="AM314" s="8">
        <f t="shared" si="76"/>
        <v>0</v>
      </c>
      <c r="AN314" s="8">
        <f t="shared" si="77"/>
        <v>24.73</v>
      </c>
    </row>
    <row r="315" spans="1:40" ht="48" customHeight="1" x14ac:dyDescent="0.2">
      <c r="A315" s="8" t="str">
        <f>Elettricità!I315</f>
        <v>IT001E10911293</v>
      </c>
      <c r="B315" s="8" t="str">
        <f>Elettricità!A315</f>
        <v>005067307608.PDF</v>
      </c>
      <c r="C315" s="9">
        <f>Elettricità!E315</f>
        <v>45541</v>
      </c>
      <c r="D315" s="9">
        <f>Elettricità!K315</f>
        <v>45505</v>
      </c>
      <c r="E315" s="9">
        <f>Elettricità!L315</f>
        <v>45535</v>
      </c>
      <c r="F315" s="8">
        <f>Elettricità!M315</f>
        <v>8</v>
      </c>
      <c r="G315" s="8">
        <f>Elettricità!N315</f>
        <v>2</v>
      </c>
      <c r="H315" s="8">
        <f>Elettricità!O315</f>
        <v>2</v>
      </c>
      <c r="I315" s="8">
        <f>Elettricità!P315</f>
        <v>4</v>
      </c>
      <c r="J315" s="8">
        <f>Elettricità!Q315</f>
        <v>0</v>
      </c>
      <c r="K315" s="8">
        <f>Elettricità!R315</f>
        <v>0</v>
      </c>
      <c r="L315" s="8">
        <f>Elettricità!S315</f>
        <v>0</v>
      </c>
      <c r="M315" s="8">
        <f>Elettricità!T315</f>
        <v>0</v>
      </c>
      <c r="N315" s="8">
        <f>Elettricità!W315</f>
        <v>20.07</v>
      </c>
      <c r="O315" s="8">
        <f>Elettricità!X315</f>
        <v>24.49</v>
      </c>
      <c r="P315" s="8">
        <f>Elettricità!Y315</f>
        <v>0</v>
      </c>
      <c r="Q315" s="8">
        <f>Elettricità!Z315</f>
        <v>1.1499999999999999</v>
      </c>
      <c r="R315" s="8">
        <f>Elettricità!AA315</f>
        <v>9.83</v>
      </c>
      <c r="S315" s="8">
        <f>Elettricità!AB315</f>
        <v>8.99</v>
      </c>
      <c r="T315" s="8">
        <f>Elettricità!AC315</f>
        <v>0</v>
      </c>
      <c r="U315" s="8">
        <f>Elettricità!AD315</f>
        <v>4.42</v>
      </c>
      <c r="V315" s="8">
        <f t="shared" si="65"/>
        <v>2024</v>
      </c>
      <c r="W315" s="8" t="e">
        <f>_xlfn.XLOOKUP(A315,Fabbricati!E:E,Fabbricati!D:D)</f>
        <v>#N/A</v>
      </c>
      <c r="X315" s="9">
        <f t="shared" si="66"/>
        <v>45541</v>
      </c>
      <c r="Y315" s="9">
        <f t="shared" si="67"/>
        <v>45505</v>
      </c>
      <c r="Z315" s="9">
        <f t="shared" si="68"/>
        <v>45535</v>
      </c>
      <c r="AA315" s="8">
        <f t="shared" si="69"/>
        <v>31</v>
      </c>
      <c r="AB315" s="8">
        <f t="shared" si="70"/>
        <v>8</v>
      </c>
      <c r="AC315" s="12" t="s">
        <v>149</v>
      </c>
      <c r="AD315" s="11" t="str">
        <f t="shared" si="71"/>
        <v>2
2
4</v>
      </c>
      <c r="AE315" s="11" t="str">
        <f t="shared" si="72"/>
        <v>0
0
0</v>
      </c>
      <c r="AF315" s="11"/>
      <c r="AG315" s="11"/>
      <c r="AH315" s="8">
        <f t="shared" si="73"/>
        <v>18.82</v>
      </c>
      <c r="AI315" s="8">
        <f t="shared" si="74"/>
        <v>1.1499999999999999</v>
      </c>
      <c r="AJ315" s="8">
        <f t="shared" si="75"/>
        <v>4.42</v>
      </c>
      <c r="AK315" s="8"/>
      <c r="AL315" s="8"/>
      <c r="AM315" s="8">
        <f t="shared" si="76"/>
        <v>0</v>
      </c>
      <c r="AN315" s="8">
        <f t="shared" si="77"/>
        <v>24.49</v>
      </c>
    </row>
    <row r="316" spans="1:40" ht="48" customHeight="1" x14ac:dyDescent="0.2">
      <c r="A316" s="8" t="str">
        <f>Elettricità!I316</f>
        <v>IT001E10911293</v>
      </c>
      <c r="B316" s="8" t="str">
        <f>Elettricità!A316</f>
        <v>005076347787.PDF</v>
      </c>
      <c r="C316" s="9">
        <f>Elettricità!E316</f>
        <v>45571</v>
      </c>
      <c r="D316" s="9">
        <f>Elettricità!K316</f>
        <v>45536</v>
      </c>
      <c r="E316" s="9">
        <f>Elettricità!L316</f>
        <v>45565</v>
      </c>
      <c r="F316" s="8">
        <f>Elettricità!M316</f>
        <v>9</v>
      </c>
      <c r="G316" s="8">
        <f>Elettricità!N316</f>
        <v>3</v>
      </c>
      <c r="H316" s="8">
        <f>Elettricità!O316</f>
        <v>2</v>
      </c>
      <c r="I316" s="8">
        <f>Elettricità!P316</f>
        <v>4</v>
      </c>
      <c r="J316" s="8">
        <f>Elettricità!Q316</f>
        <v>0</v>
      </c>
      <c r="K316" s="8">
        <f>Elettricità!R316</f>
        <v>0</v>
      </c>
      <c r="L316" s="8">
        <f>Elettricità!S316</f>
        <v>0</v>
      </c>
      <c r="M316" s="8">
        <f>Elettricità!T316</f>
        <v>0</v>
      </c>
      <c r="N316" s="8">
        <f>Elettricità!W316</f>
        <v>20.18</v>
      </c>
      <c r="O316" s="8">
        <f>Elettricità!X316</f>
        <v>24.62</v>
      </c>
      <c r="P316" s="8">
        <f>Elettricità!Y316</f>
        <v>0</v>
      </c>
      <c r="Q316" s="8">
        <f>Elettricità!Z316</f>
        <v>1.19</v>
      </c>
      <c r="R316" s="8">
        <f>Elettricità!AA316</f>
        <v>9.84</v>
      </c>
      <c r="S316" s="8">
        <f>Elettricità!AB316</f>
        <v>9.0399999999999991</v>
      </c>
      <c r="T316" s="8">
        <f>Elettricità!AC316</f>
        <v>0</v>
      </c>
      <c r="U316" s="8">
        <f>Elettricità!AD316</f>
        <v>4.4400000000000004</v>
      </c>
      <c r="V316" s="8">
        <f t="shared" si="65"/>
        <v>2024</v>
      </c>
      <c r="W316" s="8" t="e">
        <f>_xlfn.XLOOKUP(A316,Fabbricati!E:E,Fabbricati!D:D)</f>
        <v>#N/A</v>
      </c>
      <c r="X316" s="9">
        <f t="shared" si="66"/>
        <v>45571</v>
      </c>
      <c r="Y316" s="9">
        <f t="shared" si="67"/>
        <v>45536</v>
      </c>
      <c r="Z316" s="9">
        <f t="shared" si="68"/>
        <v>45565</v>
      </c>
      <c r="AA316" s="8">
        <f t="shared" si="69"/>
        <v>30</v>
      </c>
      <c r="AB316" s="8">
        <f t="shared" si="70"/>
        <v>9</v>
      </c>
      <c r="AC316" s="12" t="s">
        <v>149</v>
      </c>
      <c r="AD316" s="11" t="str">
        <f t="shared" si="71"/>
        <v>3
2
4</v>
      </c>
      <c r="AE316" s="11" t="str">
        <f t="shared" si="72"/>
        <v>0
0
0</v>
      </c>
      <c r="AF316" s="11"/>
      <c r="AG316" s="11"/>
      <c r="AH316" s="8">
        <f t="shared" si="73"/>
        <v>18.88</v>
      </c>
      <c r="AI316" s="8">
        <f t="shared" si="74"/>
        <v>1.19</v>
      </c>
      <c r="AJ316" s="8">
        <f t="shared" si="75"/>
        <v>4.4400000000000004</v>
      </c>
      <c r="AK316" s="8"/>
      <c r="AL316" s="8"/>
      <c r="AM316" s="8">
        <f t="shared" si="76"/>
        <v>0</v>
      </c>
      <c r="AN316" s="8">
        <f t="shared" si="77"/>
        <v>24.62</v>
      </c>
    </row>
    <row r="317" spans="1:40" ht="48" customHeight="1" x14ac:dyDescent="0.2">
      <c r="A317" s="8" t="str">
        <f>Elettricità!I317</f>
        <v>IT001E10911293</v>
      </c>
      <c r="B317" s="8" t="str">
        <f>Elettricità!A317</f>
        <v>005085485043.PDF</v>
      </c>
      <c r="C317" s="9">
        <f>Elettricità!E317</f>
        <v>45604</v>
      </c>
      <c r="D317" s="9">
        <f>Elettricità!K317</f>
        <v>45566</v>
      </c>
      <c r="E317" s="9">
        <f>Elettricità!L317</f>
        <v>45596</v>
      </c>
      <c r="F317" s="8">
        <f>Elettricità!M317</f>
        <v>8</v>
      </c>
      <c r="G317" s="8">
        <f>Elettricità!N317</f>
        <v>3</v>
      </c>
      <c r="H317" s="8">
        <f>Elettricità!O317</f>
        <v>2</v>
      </c>
      <c r="I317" s="8">
        <f>Elettricità!P317</f>
        <v>3</v>
      </c>
      <c r="J317" s="8">
        <f>Elettricità!Q317</f>
        <v>0</v>
      </c>
      <c r="K317" s="8">
        <f>Elettricità!R317</f>
        <v>0</v>
      </c>
      <c r="L317" s="8">
        <f>Elettricità!S317</f>
        <v>0</v>
      </c>
      <c r="M317" s="8">
        <f>Elettricità!T317</f>
        <v>0</v>
      </c>
      <c r="N317" s="8">
        <f>Elettricità!W317</f>
        <v>19.989999999999998</v>
      </c>
      <c r="O317" s="8">
        <f>Elettricità!X317</f>
        <v>24.39</v>
      </c>
      <c r="P317" s="8">
        <f>Elettricità!Y317</f>
        <v>0</v>
      </c>
      <c r="Q317" s="8">
        <f>Elettricità!Z317</f>
        <v>1.07</v>
      </c>
      <c r="R317" s="8">
        <f>Elettricità!AA317</f>
        <v>9.83</v>
      </c>
      <c r="S317" s="8">
        <f>Elettricità!AB317</f>
        <v>8.99</v>
      </c>
      <c r="T317" s="8">
        <f>Elettricità!AC317</f>
        <v>0</v>
      </c>
      <c r="U317" s="8">
        <f>Elettricità!AD317</f>
        <v>4.4000000000000004</v>
      </c>
      <c r="V317" s="8">
        <f t="shared" si="65"/>
        <v>2024</v>
      </c>
      <c r="W317" s="8" t="e">
        <f>_xlfn.XLOOKUP(A317,Fabbricati!E:E,Fabbricati!D:D)</f>
        <v>#N/A</v>
      </c>
      <c r="X317" s="9">
        <f t="shared" si="66"/>
        <v>45604</v>
      </c>
      <c r="Y317" s="9">
        <f t="shared" si="67"/>
        <v>45566</v>
      </c>
      <c r="Z317" s="9">
        <f t="shared" si="68"/>
        <v>45596</v>
      </c>
      <c r="AA317" s="8">
        <f t="shared" si="69"/>
        <v>31</v>
      </c>
      <c r="AB317" s="8">
        <f t="shared" si="70"/>
        <v>8</v>
      </c>
      <c r="AC317" s="12" t="s">
        <v>149</v>
      </c>
      <c r="AD317" s="11" t="str">
        <f t="shared" si="71"/>
        <v>3
2
3</v>
      </c>
      <c r="AE317" s="11" t="str">
        <f t="shared" si="72"/>
        <v>0
0
0</v>
      </c>
      <c r="AF317" s="11"/>
      <c r="AG317" s="11"/>
      <c r="AH317" s="8">
        <f t="shared" si="73"/>
        <v>18.82</v>
      </c>
      <c r="AI317" s="8">
        <f t="shared" si="74"/>
        <v>1.07</v>
      </c>
      <c r="AJ317" s="8">
        <f t="shared" si="75"/>
        <v>4.4000000000000004</v>
      </c>
      <c r="AK317" s="8"/>
      <c r="AL317" s="8"/>
      <c r="AM317" s="8">
        <f t="shared" si="76"/>
        <v>0</v>
      </c>
      <c r="AN317" s="8">
        <f t="shared" si="77"/>
        <v>24.39</v>
      </c>
    </row>
    <row r="318" spans="1:40" ht="48" customHeight="1" x14ac:dyDescent="0.2">
      <c r="A318" s="8" t="str">
        <f>Elettricità!I318</f>
        <v>IT001E10911293</v>
      </c>
      <c r="B318" s="8" t="str">
        <f>Elettricità!A318</f>
        <v>005093369277.PDF</v>
      </c>
      <c r="C318" s="9">
        <f>Elettricità!E318</f>
        <v>45632</v>
      </c>
      <c r="D318" s="9">
        <f>Elettricità!K318</f>
        <v>45597</v>
      </c>
      <c r="E318" s="9">
        <f>Elettricità!L318</f>
        <v>45626</v>
      </c>
      <c r="F318" s="8">
        <f>Elettricità!M318</f>
        <v>10</v>
      </c>
      <c r="G318" s="8">
        <f>Elettricità!N318</f>
        <v>3</v>
      </c>
      <c r="H318" s="8">
        <f>Elettricità!O318</f>
        <v>2</v>
      </c>
      <c r="I318" s="8">
        <f>Elettricità!P318</f>
        <v>5</v>
      </c>
      <c r="J318" s="8">
        <f>Elettricità!Q318</f>
        <v>0</v>
      </c>
      <c r="K318" s="8">
        <f>Elettricità!R318</f>
        <v>0</v>
      </c>
      <c r="L318" s="8">
        <f>Elettricità!S318</f>
        <v>0</v>
      </c>
      <c r="M318" s="8">
        <f>Elettricità!T318</f>
        <v>0</v>
      </c>
      <c r="N318" s="8">
        <f>Elettricità!W318</f>
        <v>20.69</v>
      </c>
      <c r="O318" s="8">
        <f>Elettricità!X318</f>
        <v>25.24</v>
      </c>
      <c r="P318" s="8">
        <f>Elettricità!Y318</f>
        <v>0</v>
      </c>
      <c r="Q318" s="8">
        <f>Elettricità!Z318</f>
        <v>1.6</v>
      </c>
      <c r="R318" s="8">
        <f>Elettricità!AA318</f>
        <v>9.86</v>
      </c>
      <c r="S318" s="8">
        <f>Elettricità!AB318</f>
        <v>9.1</v>
      </c>
      <c r="T318" s="8">
        <f>Elettricità!AC318</f>
        <v>0</v>
      </c>
      <c r="U318" s="8">
        <f>Elettricità!AD318</f>
        <v>4.55</v>
      </c>
      <c r="V318" s="8">
        <f t="shared" si="65"/>
        <v>2024</v>
      </c>
      <c r="W318" s="8" t="e">
        <f>_xlfn.XLOOKUP(A318,Fabbricati!E:E,Fabbricati!D:D)</f>
        <v>#N/A</v>
      </c>
      <c r="X318" s="9">
        <f t="shared" si="66"/>
        <v>45632</v>
      </c>
      <c r="Y318" s="9">
        <f t="shared" si="67"/>
        <v>45597</v>
      </c>
      <c r="Z318" s="9">
        <f t="shared" si="68"/>
        <v>45626</v>
      </c>
      <c r="AA318" s="8">
        <f t="shared" si="69"/>
        <v>30</v>
      </c>
      <c r="AB318" s="8">
        <f t="shared" si="70"/>
        <v>10</v>
      </c>
      <c r="AC318" s="12" t="s">
        <v>149</v>
      </c>
      <c r="AD318" s="11" t="str">
        <f t="shared" si="71"/>
        <v>3
2
5</v>
      </c>
      <c r="AE318" s="11" t="str">
        <f t="shared" si="72"/>
        <v>0
0
0</v>
      </c>
      <c r="AF318" s="11"/>
      <c r="AG318" s="11"/>
      <c r="AH318" s="8">
        <f t="shared" si="73"/>
        <v>18.96</v>
      </c>
      <c r="AI318" s="8">
        <f t="shared" si="74"/>
        <v>1.6</v>
      </c>
      <c r="AJ318" s="8">
        <f t="shared" si="75"/>
        <v>4.55</v>
      </c>
      <c r="AK318" s="8"/>
      <c r="AL318" s="8"/>
      <c r="AM318" s="8">
        <f t="shared" si="76"/>
        <v>0</v>
      </c>
      <c r="AN318" s="8">
        <f t="shared" si="77"/>
        <v>25.24</v>
      </c>
    </row>
    <row r="319" spans="1:40" ht="48" customHeight="1" x14ac:dyDescent="0.2">
      <c r="A319" s="8" t="str">
        <f>Elettricità!I319</f>
        <v>IT001E10911293</v>
      </c>
      <c r="B319" s="8" t="str">
        <f>Elettricità!A319</f>
        <v>005200218690.PDF</v>
      </c>
      <c r="C319" s="9">
        <f>Elettricità!E319</f>
        <v>45665</v>
      </c>
      <c r="D319" s="9">
        <f>Elettricità!K319</f>
        <v>45627</v>
      </c>
      <c r="E319" s="9">
        <f>Elettricità!L319</f>
        <v>45657</v>
      </c>
      <c r="F319" s="8">
        <f>Elettricità!M319</f>
        <v>12</v>
      </c>
      <c r="G319" s="8">
        <f>Elettricità!N319</f>
        <v>3</v>
      </c>
      <c r="H319" s="8">
        <f>Elettricità!O319</f>
        <v>3</v>
      </c>
      <c r="I319" s="8">
        <f>Elettricità!P319</f>
        <v>6</v>
      </c>
      <c r="J319" s="8">
        <f>Elettricità!Q319</f>
        <v>0</v>
      </c>
      <c r="K319" s="8">
        <f>Elettricità!R319</f>
        <v>0</v>
      </c>
      <c r="L319" s="8">
        <f>Elettricità!S319</f>
        <v>0</v>
      </c>
      <c r="M319" s="8">
        <f>Elettricità!T319</f>
        <v>0</v>
      </c>
      <c r="N319" s="8">
        <f>Elettricità!W319</f>
        <v>21.22</v>
      </c>
      <c r="O319" s="8">
        <f>Elettricità!X319</f>
        <v>25.89</v>
      </c>
      <c r="P319" s="8">
        <f>Elettricità!Y319</f>
        <v>0</v>
      </c>
      <c r="Q319" s="8">
        <f>Elettricità!Z319</f>
        <v>2</v>
      </c>
      <c r="R319" s="8">
        <f>Elettricità!AA319</f>
        <v>9.8800000000000008</v>
      </c>
      <c r="S319" s="8">
        <f>Elettricità!AB319</f>
        <v>9.19</v>
      </c>
      <c r="T319" s="8">
        <f>Elettricità!AC319</f>
        <v>0</v>
      </c>
      <c r="U319" s="8">
        <f>Elettricità!AD319</f>
        <v>4.67</v>
      </c>
      <c r="V319" s="8">
        <f t="shared" si="65"/>
        <v>2024</v>
      </c>
      <c r="W319" s="8" t="e">
        <f>_xlfn.XLOOKUP(A319,Fabbricati!E:E,Fabbricati!D:D)</f>
        <v>#N/A</v>
      </c>
      <c r="X319" s="9">
        <f t="shared" si="66"/>
        <v>45665</v>
      </c>
      <c r="Y319" s="9">
        <f t="shared" si="67"/>
        <v>45627</v>
      </c>
      <c r="Z319" s="9">
        <f t="shared" si="68"/>
        <v>45657</v>
      </c>
      <c r="AA319" s="8">
        <f t="shared" si="69"/>
        <v>31</v>
      </c>
      <c r="AB319" s="8">
        <f t="shared" si="70"/>
        <v>12</v>
      </c>
      <c r="AC319" s="12" t="s">
        <v>149</v>
      </c>
      <c r="AD319" s="11" t="str">
        <f t="shared" si="71"/>
        <v>3
3
6</v>
      </c>
      <c r="AE319" s="11" t="str">
        <f t="shared" si="72"/>
        <v>0
0
0</v>
      </c>
      <c r="AF319" s="11"/>
      <c r="AG319" s="11"/>
      <c r="AH319" s="8">
        <f t="shared" si="73"/>
        <v>19.07</v>
      </c>
      <c r="AI319" s="8">
        <f t="shared" si="74"/>
        <v>2</v>
      </c>
      <c r="AJ319" s="8">
        <f t="shared" si="75"/>
        <v>4.67</v>
      </c>
      <c r="AK319" s="8"/>
      <c r="AL319" s="8"/>
      <c r="AM319" s="8">
        <f t="shared" si="76"/>
        <v>0</v>
      </c>
      <c r="AN319" s="8">
        <f t="shared" si="77"/>
        <v>25.89</v>
      </c>
    </row>
    <row r="320" spans="1:40" ht="48" customHeight="1" x14ac:dyDescent="0.2">
      <c r="A320" s="8" t="str">
        <f>Elettricità!I320</f>
        <v>IT001E34174747</v>
      </c>
      <c r="B320" s="8" t="str">
        <f>Elettricità!A320</f>
        <v>824500045756_2024_d(1).pdf</v>
      </c>
      <c r="C320" s="9">
        <f>Elettricità!E320</f>
        <v>45350</v>
      </c>
      <c r="D320" s="9">
        <f>Elettricità!K320</f>
        <v>45292</v>
      </c>
      <c r="E320" s="9">
        <f>Elettricità!L320</f>
        <v>45322</v>
      </c>
      <c r="F320" s="8">
        <f>Elettricità!M320</f>
        <v>28</v>
      </c>
      <c r="G320" s="8">
        <f>Elettricità!N320</f>
        <v>9</v>
      </c>
      <c r="H320" s="8">
        <f>Elettricità!O320</f>
        <v>6</v>
      </c>
      <c r="I320" s="8">
        <f>Elettricità!P320</f>
        <v>13</v>
      </c>
      <c r="J320" s="8">
        <f>Elettricità!Q320</f>
        <v>401</v>
      </c>
      <c r="K320" s="8">
        <f>Elettricità!R320</f>
        <v>130</v>
      </c>
      <c r="L320" s="8">
        <f>Elettricità!S320</f>
        <v>85</v>
      </c>
      <c r="M320" s="8">
        <f>Elettricità!T320</f>
        <v>186</v>
      </c>
      <c r="N320" s="8">
        <f>Elettricità!W320</f>
        <v>23.49</v>
      </c>
      <c r="O320" s="8">
        <f>Elettricità!X320</f>
        <v>28.66</v>
      </c>
      <c r="P320" s="8">
        <f>Elettricità!Y320</f>
        <v>0</v>
      </c>
      <c r="Q320" s="8">
        <f>Elettricità!Z320</f>
        <v>4.3600000000000003</v>
      </c>
      <c r="R320" s="8">
        <f>Elettricità!AA320</f>
        <v>10.09</v>
      </c>
      <c r="S320" s="8">
        <f>Elettricità!AB320</f>
        <v>8.5500000000000007</v>
      </c>
      <c r="T320" s="8">
        <f>Elettricità!AC320</f>
        <v>0.14000000000000001</v>
      </c>
      <c r="U320" s="8">
        <f>Elettricità!AD320</f>
        <v>0.35</v>
      </c>
      <c r="V320" s="8">
        <f t="shared" si="65"/>
        <v>2024</v>
      </c>
      <c r="W320" s="8">
        <f>_xlfn.XLOOKUP(A320,Fabbricati!E:E,Fabbricati!D:D)</f>
        <v>341747473</v>
      </c>
      <c r="X320" s="9">
        <f t="shared" si="66"/>
        <v>45350</v>
      </c>
      <c r="Y320" s="9">
        <f t="shared" si="67"/>
        <v>45292</v>
      </c>
      <c r="Z320" s="9">
        <f t="shared" si="68"/>
        <v>45322</v>
      </c>
      <c r="AA320" s="8">
        <f t="shared" si="69"/>
        <v>31</v>
      </c>
      <c r="AB320" s="8">
        <f t="shared" si="70"/>
        <v>28</v>
      </c>
      <c r="AC320" s="12" t="s">
        <v>149</v>
      </c>
      <c r="AD320" s="11" t="str">
        <f t="shared" si="71"/>
        <v>9
6
13</v>
      </c>
      <c r="AE320" s="11" t="str">
        <f t="shared" si="72"/>
        <v>130
85
186</v>
      </c>
      <c r="AF320" s="11"/>
      <c r="AG320" s="11"/>
      <c r="AH320" s="8">
        <f t="shared" si="73"/>
        <v>18.64</v>
      </c>
      <c r="AI320" s="8">
        <f t="shared" si="74"/>
        <v>4.3600000000000003</v>
      </c>
      <c r="AJ320" s="8">
        <f t="shared" si="75"/>
        <v>0.35</v>
      </c>
      <c r="AK320" s="8"/>
      <c r="AL320" s="8"/>
      <c r="AM320" s="8">
        <f t="shared" si="76"/>
        <v>0.14000000000000001</v>
      </c>
      <c r="AN320" s="8">
        <f t="shared" si="77"/>
        <v>28.66</v>
      </c>
    </row>
    <row r="321" spans="1:40" ht="48" customHeight="1" x14ac:dyDescent="0.2">
      <c r="A321" s="8" t="str">
        <f>Elettricità!I321</f>
        <v>IT001E34174747</v>
      </c>
      <c r="B321" s="8" t="str">
        <f>Elettricità!A321</f>
        <v>005018359676.pdf</v>
      </c>
      <c r="C321" s="9">
        <f>Elettricità!E321</f>
        <v>45358</v>
      </c>
      <c r="D321" s="9">
        <f>Elettricità!K321</f>
        <v>45323</v>
      </c>
      <c r="E321" s="9">
        <f>Elettricità!L321</f>
        <v>45351</v>
      </c>
      <c r="F321" s="8">
        <f>Elettricità!M321</f>
        <v>26</v>
      </c>
      <c r="G321" s="8">
        <f>Elettricità!N321</f>
        <v>8</v>
      </c>
      <c r="H321" s="8">
        <f>Elettricità!O321</f>
        <v>6</v>
      </c>
      <c r="I321" s="8">
        <f>Elettricità!P321</f>
        <v>12</v>
      </c>
      <c r="J321" s="8">
        <f>Elettricità!Q321</f>
        <v>369</v>
      </c>
      <c r="K321" s="8">
        <f>Elettricità!R321</f>
        <v>121</v>
      </c>
      <c r="L321" s="8">
        <f>Elettricità!S321</f>
        <v>89</v>
      </c>
      <c r="M321" s="8">
        <f>Elettricità!T321</f>
        <v>159</v>
      </c>
      <c r="N321" s="8">
        <f>Elettricità!W321</f>
        <v>21.96</v>
      </c>
      <c r="O321" s="8">
        <f>Elettricità!X321</f>
        <v>26.79</v>
      </c>
      <c r="P321" s="8">
        <f>Elettricità!Y321</f>
        <v>0</v>
      </c>
      <c r="Q321" s="8">
        <f>Elettricità!Z321</f>
        <v>3.11</v>
      </c>
      <c r="R321" s="8">
        <f>Elettricità!AA321</f>
        <v>10.06</v>
      </c>
      <c r="S321" s="8">
        <f>Elettricità!AB321</f>
        <v>8.4600000000000009</v>
      </c>
      <c r="T321" s="8">
        <f>Elettricità!AC321</f>
        <v>0</v>
      </c>
      <c r="U321" s="8">
        <f>Elettricità!AD321</f>
        <v>4.83</v>
      </c>
      <c r="V321" s="8">
        <f t="shared" si="65"/>
        <v>2024</v>
      </c>
      <c r="W321" s="8">
        <f>_xlfn.XLOOKUP(A321,Fabbricati!E:E,Fabbricati!D:D)</f>
        <v>341747473</v>
      </c>
      <c r="X321" s="9">
        <f t="shared" si="66"/>
        <v>45358</v>
      </c>
      <c r="Y321" s="9">
        <f t="shared" si="67"/>
        <v>45323</v>
      </c>
      <c r="Z321" s="9">
        <f t="shared" si="68"/>
        <v>45351</v>
      </c>
      <c r="AA321" s="8">
        <f t="shared" si="69"/>
        <v>29</v>
      </c>
      <c r="AB321" s="8">
        <f t="shared" si="70"/>
        <v>26</v>
      </c>
      <c r="AC321" s="12" t="s">
        <v>149</v>
      </c>
      <c r="AD321" s="11" t="str">
        <f t="shared" si="71"/>
        <v>8
6
12</v>
      </c>
      <c r="AE321" s="11" t="str">
        <f t="shared" si="72"/>
        <v>121
89
159</v>
      </c>
      <c r="AF321" s="11"/>
      <c r="AG321" s="11"/>
      <c r="AH321" s="8">
        <f t="shared" si="73"/>
        <v>18.520000000000003</v>
      </c>
      <c r="AI321" s="8">
        <f t="shared" si="74"/>
        <v>3.11</v>
      </c>
      <c r="AJ321" s="8">
        <f t="shared" si="75"/>
        <v>4.83</v>
      </c>
      <c r="AK321" s="8"/>
      <c r="AL321" s="8"/>
      <c r="AM321" s="8">
        <f t="shared" si="76"/>
        <v>0</v>
      </c>
      <c r="AN321" s="8">
        <f t="shared" si="77"/>
        <v>26.79</v>
      </c>
    </row>
    <row r="322" spans="1:40" ht="48" customHeight="1" x14ac:dyDescent="0.2">
      <c r="A322" s="8" t="str">
        <f>Elettricità!I322</f>
        <v>IT001E34174747</v>
      </c>
      <c r="B322" s="8" t="str">
        <f>Elettricità!A322</f>
        <v>005026659961.pdf</v>
      </c>
      <c r="C322" s="9">
        <f>Elettricità!E322</f>
        <v>45390</v>
      </c>
      <c r="D322" s="9">
        <f>Elettricità!K322</f>
        <v>45352</v>
      </c>
      <c r="E322" s="9">
        <f>Elettricità!L322</f>
        <v>45382</v>
      </c>
      <c r="F322" s="8">
        <f>Elettricità!M322</f>
        <v>28</v>
      </c>
      <c r="G322" s="8">
        <f>Elettricità!N322</f>
        <v>9</v>
      </c>
      <c r="H322" s="8">
        <f>Elettricità!O322</f>
        <v>7</v>
      </c>
      <c r="I322" s="8">
        <f>Elettricità!P322</f>
        <v>12</v>
      </c>
      <c r="J322" s="8">
        <f>Elettricità!Q322</f>
        <v>377</v>
      </c>
      <c r="K322" s="8">
        <f>Elettricità!R322</f>
        <v>119</v>
      </c>
      <c r="L322" s="8">
        <f>Elettricità!S322</f>
        <v>93</v>
      </c>
      <c r="M322" s="8">
        <f>Elettricità!T322</f>
        <v>165</v>
      </c>
      <c r="N322" s="8">
        <f>Elettricità!W322</f>
        <v>22.26</v>
      </c>
      <c r="O322" s="8">
        <f>Elettricità!X322</f>
        <v>27.16</v>
      </c>
      <c r="P322" s="8">
        <f>Elettricità!Y322</f>
        <v>0</v>
      </c>
      <c r="Q322" s="8">
        <f>Elettricità!Z322</f>
        <v>3.27</v>
      </c>
      <c r="R322" s="8">
        <f>Elettricità!AA322</f>
        <v>10.09</v>
      </c>
      <c r="S322" s="8">
        <f>Elettricità!AB322</f>
        <v>8.5500000000000007</v>
      </c>
      <c r="T322" s="8">
        <f>Elettricità!AC322</f>
        <v>0</v>
      </c>
      <c r="U322" s="8">
        <f>Elettricità!AD322</f>
        <v>4.9000000000000004</v>
      </c>
      <c r="V322" s="8">
        <f t="shared" si="65"/>
        <v>2024</v>
      </c>
      <c r="W322" s="8">
        <f>_xlfn.XLOOKUP(A322,Fabbricati!E:E,Fabbricati!D:D)</f>
        <v>341747473</v>
      </c>
      <c r="X322" s="9">
        <f t="shared" si="66"/>
        <v>45390</v>
      </c>
      <c r="Y322" s="9">
        <f t="shared" si="67"/>
        <v>45352</v>
      </c>
      <c r="Z322" s="9">
        <f t="shared" si="68"/>
        <v>45382</v>
      </c>
      <c r="AA322" s="8">
        <f t="shared" si="69"/>
        <v>31</v>
      </c>
      <c r="AB322" s="8">
        <f t="shared" si="70"/>
        <v>28</v>
      </c>
      <c r="AC322" s="12" t="s">
        <v>149</v>
      </c>
      <c r="AD322" s="11" t="str">
        <f t="shared" si="71"/>
        <v>9
7
12</v>
      </c>
      <c r="AE322" s="11" t="str">
        <f t="shared" si="72"/>
        <v>119
93
165</v>
      </c>
      <c r="AF322" s="11"/>
      <c r="AG322" s="11"/>
      <c r="AH322" s="8">
        <f t="shared" si="73"/>
        <v>18.64</v>
      </c>
      <c r="AI322" s="8">
        <f t="shared" si="74"/>
        <v>3.27</v>
      </c>
      <c r="AJ322" s="8">
        <f t="shared" si="75"/>
        <v>4.9000000000000004</v>
      </c>
      <c r="AK322" s="8"/>
      <c r="AL322" s="8"/>
      <c r="AM322" s="8">
        <f t="shared" si="76"/>
        <v>0</v>
      </c>
      <c r="AN322" s="8">
        <f t="shared" si="77"/>
        <v>27.16</v>
      </c>
    </row>
    <row r="323" spans="1:40" ht="48" customHeight="1" x14ac:dyDescent="0.2">
      <c r="A323" s="8" t="str">
        <f>Elettricità!I323</f>
        <v>IT001E34174747</v>
      </c>
      <c r="B323" s="8" t="str">
        <f>Elettricità!A323</f>
        <v>005034930231(1).PDF</v>
      </c>
      <c r="C323" s="9">
        <f>Elettricità!E323</f>
        <v>45419</v>
      </c>
      <c r="D323" s="9">
        <f>Elettricità!K323</f>
        <v>45383</v>
      </c>
      <c r="E323" s="9">
        <f>Elettricità!L323</f>
        <v>45391</v>
      </c>
      <c r="F323" s="8">
        <f>Elettricità!M323</f>
        <v>26</v>
      </c>
      <c r="G323" s="8">
        <f>Elettricità!N323</f>
        <v>7</v>
      </c>
      <c r="H323" s="8">
        <f>Elettricità!O323</f>
        <v>6</v>
      </c>
      <c r="I323" s="8">
        <f>Elettricità!P323</f>
        <v>13</v>
      </c>
      <c r="J323" s="8">
        <f>Elettricità!Q323</f>
        <v>120</v>
      </c>
      <c r="K323" s="8">
        <f>Elettricità!R323</f>
        <v>37</v>
      </c>
      <c r="L323" s="8">
        <f>Elettricità!S323</f>
        <v>25</v>
      </c>
      <c r="M323" s="8">
        <f>Elettricità!T323</f>
        <v>58</v>
      </c>
      <c r="N323" s="8">
        <f>Elettricità!W323</f>
        <v>23.21</v>
      </c>
      <c r="O323" s="8">
        <f>Elettricità!X323</f>
        <v>28.32</v>
      </c>
      <c r="P323" s="8">
        <f>Elettricità!Y323</f>
        <v>0</v>
      </c>
      <c r="Q323" s="8">
        <f>Elettricità!Z323</f>
        <v>2.96</v>
      </c>
      <c r="R323" s="8">
        <f>Elettricità!AA323</f>
        <v>10.07</v>
      </c>
      <c r="S323" s="8">
        <f>Elettricità!AB323</f>
        <v>9.86</v>
      </c>
      <c r="T323" s="8">
        <f>Elettricità!AC323</f>
        <v>0</v>
      </c>
      <c r="U323" s="8">
        <f>Elettricità!AD323</f>
        <v>5.1100000000000003</v>
      </c>
      <c r="V323" s="8">
        <f t="shared" ref="V323:V345" si="78">YEAR(Y323)</f>
        <v>2024</v>
      </c>
      <c r="W323" s="8">
        <f>_xlfn.XLOOKUP(A323,Fabbricati!E:E,Fabbricati!D:D)</f>
        <v>341747473</v>
      </c>
      <c r="X323" s="9">
        <f t="shared" ref="X323:X345" si="79">C323</f>
        <v>45419</v>
      </c>
      <c r="Y323" s="9">
        <f t="shared" ref="Y323:Y345" si="80">D323</f>
        <v>45383</v>
      </c>
      <c r="Z323" s="9">
        <f t="shared" ref="Z323:Z345" si="81">E323</f>
        <v>45391</v>
      </c>
      <c r="AA323" s="8">
        <f t="shared" ref="AA323:AA345" si="82">Z323-Y323+1</f>
        <v>9</v>
      </c>
      <c r="AB323" s="8">
        <f t="shared" ref="AB323:AB345" si="83">F323</f>
        <v>26</v>
      </c>
      <c r="AC323" s="12" t="s">
        <v>149</v>
      </c>
      <c r="AD323" s="11" t="str">
        <f t="shared" ref="AD323:AD345" si="84">G323  &amp; _xlfn.UNICHAR(10) &amp; H323  &amp; _xlfn.UNICHAR(10)  &amp;  I323</f>
        <v>7
6
13</v>
      </c>
      <c r="AE323" s="11" t="str">
        <f t="shared" ref="AE323:AE345" si="85">K323  &amp; _xlfn.UNICHAR(10) &amp; L323  &amp; _xlfn.UNICHAR(10)  &amp;  M323</f>
        <v>37
25
58</v>
      </c>
      <c r="AF323" s="11"/>
      <c r="AG323" s="11"/>
      <c r="AH323" s="8">
        <f t="shared" ref="AH323:AH345" si="86">R323+S323</f>
        <v>19.93</v>
      </c>
      <c r="AI323" s="8">
        <f t="shared" ref="AI323:AI345" si="87">Q323</f>
        <v>2.96</v>
      </c>
      <c r="AJ323" s="8">
        <f t="shared" ref="AJ323:AJ345" si="88">U323</f>
        <v>5.1100000000000003</v>
      </c>
      <c r="AK323" s="8"/>
      <c r="AL323" s="8"/>
      <c r="AM323" s="8">
        <f t="shared" ref="AM323:AM345" si="89">T323</f>
        <v>0</v>
      </c>
      <c r="AN323" s="8">
        <f t="shared" ref="AN323:AN345" si="90">O323</f>
        <v>28.32</v>
      </c>
    </row>
    <row r="324" spans="1:40" ht="48" customHeight="1" x14ac:dyDescent="0.2">
      <c r="A324" s="8" t="str">
        <f>Elettricità!I324</f>
        <v>IT001E34174747</v>
      </c>
      <c r="B324" s="8" t="str">
        <f>Elettricità!A324</f>
        <v>005043663095(2).PDF</v>
      </c>
      <c r="C324" s="9">
        <f>Elettricità!E324</f>
        <v>45449</v>
      </c>
      <c r="D324" s="9">
        <f>Elettricità!K324</f>
        <v>45413</v>
      </c>
      <c r="E324" s="9">
        <f>Elettricità!L324</f>
        <v>45443</v>
      </c>
      <c r="F324" s="8">
        <f>Elettricità!M324</f>
        <v>23</v>
      </c>
      <c r="G324" s="8">
        <f>Elettricità!N324</f>
        <v>7</v>
      </c>
      <c r="H324" s="8">
        <f>Elettricità!O324</f>
        <v>5</v>
      </c>
      <c r="I324" s="8">
        <f>Elettricità!P324</f>
        <v>11</v>
      </c>
      <c r="J324" s="8">
        <f>Elettricità!Q324</f>
        <v>12</v>
      </c>
      <c r="K324" s="8">
        <f>Elettricità!R324</f>
        <v>5</v>
      </c>
      <c r="L324" s="8">
        <f>Elettricità!S324</f>
        <v>3</v>
      </c>
      <c r="M324" s="8">
        <f>Elettricità!T324</f>
        <v>4</v>
      </c>
      <c r="N324" s="8">
        <f>Elettricità!W324</f>
        <v>22.88</v>
      </c>
      <c r="O324" s="8">
        <f>Elettricità!X324</f>
        <v>27.91</v>
      </c>
      <c r="P324" s="8">
        <f>Elettricità!Y324</f>
        <v>0</v>
      </c>
      <c r="Q324" s="8">
        <f>Elettricità!Z324</f>
        <v>2.84</v>
      </c>
      <c r="R324" s="8">
        <f>Elettricità!AA324</f>
        <v>10.029999999999999</v>
      </c>
      <c r="S324" s="8">
        <f>Elettricità!AB324</f>
        <v>9.7200000000000006</v>
      </c>
      <c r="T324" s="8">
        <f>Elettricità!AC324</f>
        <v>0</v>
      </c>
      <c r="U324" s="8">
        <f>Elettricità!AD324</f>
        <v>5.03</v>
      </c>
      <c r="V324" s="8">
        <f t="shared" si="78"/>
        <v>2024</v>
      </c>
      <c r="W324" s="8">
        <f>_xlfn.XLOOKUP(A324,Fabbricati!E:E,Fabbricati!D:D)</f>
        <v>341747473</v>
      </c>
      <c r="X324" s="9">
        <f t="shared" si="79"/>
        <v>45449</v>
      </c>
      <c r="Y324" s="9">
        <f t="shared" si="80"/>
        <v>45413</v>
      </c>
      <c r="Z324" s="9">
        <f t="shared" si="81"/>
        <v>45443</v>
      </c>
      <c r="AA324" s="8">
        <f t="shared" si="82"/>
        <v>31</v>
      </c>
      <c r="AB324" s="8">
        <f t="shared" si="83"/>
        <v>23</v>
      </c>
      <c r="AC324" s="12" t="s">
        <v>149</v>
      </c>
      <c r="AD324" s="11" t="str">
        <f t="shared" si="84"/>
        <v>7
5
11</v>
      </c>
      <c r="AE324" s="11" t="str">
        <f t="shared" si="85"/>
        <v>5
3
4</v>
      </c>
      <c r="AF324" s="11"/>
      <c r="AG324" s="11"/>
      <c r="AH324" s="8">
        <f t="shared" si="86"/>
        <v>19.75</v>
      </c>
      <c r="AI324" s="8">
        <f t="shared" si="87"/>
        <v>2.84</v>
      </c>
      <c r="AJ324" s="8">
        <f t="shared" si="88"/>
        <v>5.03</v>
      </c>
      <c r="AK324" s="8"/>
      <c r="AL324" s="8"/>
      <c r="AM324" s="8">
        <f t="shared" si="89"/>
        <v>0</v>
      </c>
      <c r="AN324" s="8">
        <f t="shared" si="90"/>
        <v>27.91</v>
      </c>
    </row>
    <row r="325" spans="1:40" ht="48" customHeight="1" x14ac:dyDescent="0.2">
      <c r="A325" s="8" t="str">
        <f>Elettricità!I325</f>
        <v>IT001E34174747</v>
      </c>
      <c r="B325" s="8" t="str">
        <f>Elettricità!A325</f>
        <v>005051431109.PDF</v>
      </c>
      <c r="C325" s="9">
        <f>Elettricità!E325</f>
        <v>45478</v>
      </c>
      <c r="D325" s="9">
        <f>Elettricità!K325</f>
        <v>45444</v>
      </c>
      <c r="E325" s="9">
        <f>Elettricità!L325</f>
        <v>45473</v>
      </c>
      <c r="F325" s="8">
        <f>Elettricità!M325</f>
        <v>20</v>
      </c>
      <c r="G325" s="8">
        <f>Elettricità!N325</f>
        <v>5</v>
      </c>
      <c r="H325" s="8">
        <f>Elettricità!O325</f>
        <v>5</v>
      </c>
      <c r="I325" s="8">
        <f>Elettricità!P325</f>
        <v>10</v>
      </c>
      <c r="J325" s="8">
        <f>Elettricità!Q325</f>
        <v>23</v>
      </c>
      <c r="K325" s="8">
        <f>Elettricità!R325</f>
        <v>10</v>
      </c>
      <c r="L325" s="8">
        <f>Elettricità!S325</f>
        <v>7</v>
      </c>
      <c r="M325" s="8">
        <f>Elettricità!T325</f>
        <v>6</v>
      </c>
      <c r="N325" s="8">
        <f>Elettricità!W325</f>
        <v>22.58</v>
      </c>
      <c r="O325" s="8">
        <f>Elettricità!X325</f>
        <v>27.55</v>
      </c>
      <c r="P325" s="8">
        <f>Elettricità!Y325</f>
        <v>0</v>
      </c>
      <c r="Q325" s="8">
        <f>Elettricità!Z325</f>
        <v>2.78</v>
      </c>
      <c r="R325" s="8">
        <f>Elettricità!AA325</f>
        <v>9.98</v>
      </c>
      <c r="S325" s="8">
        <f>Elettricità!AB325</f>
        <v>9.57</v>
      </c>
      <c r="T325" s="8">
        <f>Elettricità!AC325</f>
        <v>0</v>
      </c>
      <c r="U325" s="8">
        <f>Elettricità!AD325</f>
        <v>4.97</v>
      </c>
      <c r="V325" s="8">
        <f t="shared" si="78"/>
        <v>2024</v>
      </c>
      <c r="W325" s="8">
        <f>_xlfn.XLOOKUP(A325,Fabbricati!E:E,Fabbricati!D:D)</f>
        <v>341747473</v>
      </c>
      <c r="X325" s="9">
        <f t="shared" si="79"/>
        <v>45478</v>
      </c>
      <c r="Y325" s="9">
        <f t="shared" si="80"/>
        <v>45444</v>
      </c>
      <c r="Z325" s="9">
        <f t="shared" si="81"/>
        <v>45473</v>
      </c>
      <c r="AA325" s="8">
        <f t="shared" si="82"/>
        <v>30</v>
      </c>
      <c r="AB325" s="8">
        <f t="shared" si="83"/>
        <v>20</v>
      </c>
      <c r="AC325" s="12" t="s">
        <v>149</v>
      </c>
      <c r="AD325" s="11" t="str">
        <f t="shared" si="84"/>
        <v>5
5
10</v>
      </c>
      <c r="AE325" s="11" t="str">
        <f t="shared" si="85"/>
        <v>10
7
6</v>
      </c>
      <c r="AF325" s="11"/>
      <c r="AG325" s="11"/>
      <c r="AH325" s="8">
        <f t="shared" si="86"/>
        <v>19.55</v>
      </c>
      <c r="AI325" s="8">
        <f t="shared" si="87"/>
        <v>2.78</v>
      </c>
      <c r="AJ325" s="8">
        <f t="shared" si="88"/>
        <v>4.97</v>
      </c>
      <c r="AK325" s="8"/>
      <c r="AL325" s="8"/>
      <c r="AM325" s="8">
        <f t="shared" si="89"/>
        <v>0</v>
      </c>
      <c r="AN325" s="8">
        <f t="shared" si="90"/>
        <v>27.55</v>
      </c>
    </row>
    <row r="326" spans="1:40" ht="48" customHeight="1" x14ac:dyDescent="0.2">
      <c r="A326" s="8" t="str">
        <f>Elettricità!I326</f>
        <v>IT001E34174747</v>
      </c>
      <c r="B326" s="8" t="str">
        <f>Elettricità!A326</f>
        <v>005062825963(4).PDF</v>
      </c>
      <c r="C326" s="9">
        <f>Elettricità!E326</f>
        <v>45513</v>
      </c>
      <c r="D326" s="9">
        <f>Elettricità!K326</f>
        <v>45474</v>
      </c>
      <c r="E326" s="9">
        <f>Elettricità!L326</f>
        <v>45504</v>
      </c>
      <c r="F326" s="8">
        <f>Elettricità!M326</f>
        <v>19</v>
      </c>
      <c r="G326" s="8">
        <f>Elettricità!N326</f>
        <v>5</v>
      </c>
      <c r="H326" s="8">
        <f>Elettricità!O326</f>
        <v>4</v>
      </c>
      <c r="I326" s="8">
        <f>Elettricità!P326</f>
        <v>10</v>
      </c>
      <c r="J326" s="8">
        <f>Elettricità!Q326</f>
        <v>23</v>
      </c>
      <c r="K326" s="8">
        <f>Elettricità!R326</f>
        <v>12</v>
      </c>
      <c r="L326" s="8">
        <f>Elettricità!S326</f>
        <v>6</v>
      </c>
      <c r="M326" s="8">
        <f>Elettricità!T326</f>
        <v>5</v>
      </c>
      <c r="N326" s="8">
        <f>Elettricità!W326</f>
        <v>22.63</v>
      </c>
      <c r="O326" s="8">
        <f>Elettricità!X326</f>
        <v>27.61</v>
      </c>
      <c r="P326" s="8">
        <f>Elettricità!Y326</f>
        <v>0</v>
      </c>
      <c r="Q326" s="8">
        <f>Elettricità!Z326</f>
        <v>2.89</v>
      </c>
      <c r="R326" s="8">
        <f>Elettricità!AA326</f>
        <v>9.9700000000000006</v>
      </c>
      <c r="S326" s="8">
        <f>Elettricità!AB326</f>
        <v>9.5299999999999994</v>
      </c>
      <c r="T326" s="8">
        <f>Elettricità!AC326</f>
        <v>0</v>
      </c>
      <c r="U326" s="8">
        <f>Elettricità!AD326</f>
        <v>4.9800000000000004</v>
      </c>
      <c r="V326" s="8">
        <f t="shared" si="78"/>
        <v>2024</v>
      </c>
      <c r="W326" s="8">
        <f>_xlfn.XLOOKUP(A326,Fabbricati!E:E,Fabbricati!D:D)</f>
        <v>341747473</v>
      </c>
      <c r="X326" s="9">
        <f t="shared" si="79"/>
        <v>45513</v>
      </c>
      <c r="Y326" s="9">
        <f t="shared" si="80"/>
        <v>45474</v>
      </c>
      <c r="Z326" s="9">
        <f t="shared" si="81"/>
        <v>45504</v>
      </c>
      <c r="AA326" s="8">
        <f t="shared" si="82"/>
        <v>31</v>
      </c>
      <c r="AB326" s="8">
        <f t="shared" si="83"/>
        <v>19</v>
      </c>
      <c r="AC326" s="12" t="s">
        <v>149</v>
      </c>
      <c r="AD326" s="11" t="str">
        <f t="shared" si="84"/>
        <v>5
4
10</v>
      </c>
      <c r="AE326" s="11" t="str">
        <f t="shared" si="85"/>
        <v>12
6
5</v>
      </c>
      <c r="AF326" s="11"/>
      <c r="AG326" s="11"/>
      <c r="AH326" s="8">
        <f t="shared" si="86"/>
        <v>19.5</v>
      </c>
      <c r="AI326" s="8">
        <f t="shared" si="87"/>
        <v>2.89</v>
      </c>
      <c r="AJ326" s="8">
        <f t="shared" si="88"/>
        <v>4.9800000000000004</v>
      </c>
      <c r="AK326" s="8"/>
      <c r="AL326" s="8"/>
      <c r="AM326" s="8">
        <f t="shared" si="89"/>
        <v>0</v>
      </c>
      <c r="AN326" s="8">
        <f t="shared" si="90"/>
        <v>27.61</v>
      </c>
    </row>
    <row r="327" spans="1:40" ht="48" customHeight="1" x14ac:dyDescent="0.2">
      <c r="A327" s="8" t="str">
        <f>Elettricità!I327</f>
        <v>IT001E34174747</v>
      </c>
      <c r="B327" s="8" t="str">
        <f>Elettricità!A327</f>
        <v>005067307607.PDF</v>
      </c>
      <c r="C327" s="9">
        <f>Elettricità!E327</f>
        <v>45541</v>
      </c>
      <c r="D327" s="9">
        <f>Elettricità!K327</f>
        <v>45505</v>
      </c>
      <c r="E327" s="9">
        <f>Elettricità!L327</f>
        <v>45535</v>
      </c>
      <c r="F327" s="8">
        <f>Elettricità!M327</f>
        <v>98</v>
      </c>
      <c r="G327" s="8">
        <f>Elettricità!N327</f>
        <v>28</v>
      </c>
      <c r="H327" s="8">
        <f>Elettricità!O327</f>
        <v>22</v>
      </c>
      <c r="I327" s="8">
        <f>Elettricità!P327</f>
        <v>48</v>
      </c>
      <c r="J327" s="8">
        <f>Elettricità!Q327</f>
        <v>182</v>
      </c>
      <c r="K327" s="8">
        <f>Elettricità!R327</f>
        <v>66</v>
      </c>
      <c r="L327" s="8">
        <f>Elettricità!S327</f>
        <v>42</v>
      </c>
      <c r="M327" s="8">
        <f>Elettricità!T327</f>
        <v>74</v>
      </c>
      <c r="N327" s="8">
        <f>Elettricità!W327</f>
        <v>20.52</v>
      </c>
      <c r="O327" s="8">
        <f>Elettricità!X327</f>
        <v>25.03</v>
      </c>
      <c r="P327" s="8">
        <f>Elettricità!Y327</f>
        <v>0</v>
      </c>
      <c r="Q327" s="8">
        <f>Elettricità!Z327</f>
        <v>1.44</v>
      </c>
      <c r="R327" s="8">
        <f>Elettricità!AA327</f>
        <v>9.86</v>
      </c>
      <c r="S327" s="8">
        <f>Elettricità!AB327</f>
        <v>9.1</v>
      </c>
      <c r="T327" s="8">
        <f>Elettricità!AC327</f>
        <v>0</v>
      </c>
      <c r="U327" s="8">
        <f>Elettricità!AD327</f>
        <v>4.51</v>
      </c>
      <c r="V327" s="8">
        <f t="shared" si="78"/>
        <v>2024</v>
      </c>
      <c r="W327" s="8">
        <f>_xlfn.XLOOKUP(A327,Fabbricati!E:E,Fabbricati!D:D)</f>
        <v>341747473</v>
      </c>
      <c r="X327" s="9">
        <f t="shared" si="79"/>
        <v>45541</v>
      </c>
      <c r="Y327" s="9">
        <f t="shared" si="80"/>
        <v>45505</v>
      </c>
      <c r="Z327" s="9">
        <f t="shared" si="81"/>
        <v>45535</v>
      </c>
      <c r="AA327" s="8">
        <f t="shared" si="82"/>
        <v>31</v>
      </c>
      <c r="AB327" s="8">
        <f t="shared" si="83"/>
        <v>98</v>
      </c>
      <c r="AC327" s="12" t="s">
        <v>149</v>
      </c>
      <c r="AD327" s="11" t="str">
        <f t="shared" si="84"/>
        <v>28
22
48</v>
      </c>
      <c r="AE327" s="11" t="str">
        <f t="shared" si="85"/>
        <v>66
42
74</v>
      </c>
      <c r="AF327" s="11"/>
      <c r="AG327" s="11"/>
      <c r="AH327" s="8">
        <f t="shared" si="86"/>
        <v>18.96</v>
      </c>
      <c r="AI327" s="8">
        <f t="shared" si="87"/>
        <v>1.44</v>
      </c>
      <c r="AJ327" s="8">
        <f t="shared" si="88"/>
        <v>4.51</v>
      </c>
      <c r="AK327" s="8"/>
      <c r="AL327" s="8"/>
      <c r="AM327" s="8">
        <f t="shared" si="89"/>
        <v>0</v>
      </c>
      <c r="AN327" s="8">
        <f t="shared" si="90"/>
        <v>25.03</v>
      </c>
    </row>
    <row r="328" spans="1:40" ht="48" customHeight="1" x14ac:dyDescent="0.2">
      <c r="A328" s="8" t="str">
        <f>Elettricità!I328</f>
        <v>IT001E34174747</v>
      </c>
      <c r="B328" s="8" t="str">
        <f>Elettricità!A328</f>
        <v>005076347786.PDF</v>
      </c>
      <c r="C328" s="9">
        <f>Elettricità!E328</f>
        <v>45571</v>
      </c>
      <c r="D328" s="9">
        <f>Elettricità!K328</f>
        <v>45536</v>
      </c>
      <c r="E328" s="9">
        <f>Elettricità!L328</f>
        <v>45565</v>
      </c>
      <c r="F328" s="8">
        <f>Elettricità!M328</f>
        <v>20</v>
      </c>
      <c r="G328" s="8">
        <f>Elettricità!N328</f>
        <v>5</v>
      </c>
      <c r="H328" s="8">
        <f>Elettricità!O328</f>
        <v>5</v>
      </c>
      <c r="I328" s="8">
        <f>Elettricità!P328</f>
        <v>10</v>
      </c>
      <c r="J328" s="8">
        <f>Elettricità!Q328</f>
        <v>20</v>
      </c>
      <c r="K328" s="8">
        <f>Elettricità!R328</f>
        <v>11</v>
      </c>
      <c r="L328" s="8">
        <f>Elettricità!S328</f>
        <v>5</v>
      </c>
      <c r="M328" s="8">
        <f>Elettricità!T328</f>
        <v>4</v>
      </c>
      <c r="N328" s="8">
        <f>Elettricità!W328</f>
        <v>22.82</v>
      </c>
      <c r="O328" s="8">
        <f>Elettricità!X328</f>
        <v>27.84</v>
      </c>
      <c r="P328" s="8">
        <f>Elettricità!Y328</f>
        <v>0</v>
      </c>
      <c r="Q328" s="8">
        <f>Elettricità!Z328</f>
        <v>3.02</v>
      </c>
      <c r="R328" s="8">
        <f>Elettricità!AA328</f>
        <v>9.98</v>
      </c>
      <c r="S328" s="8">
        <f>Elettricità!AB328</f>
        <v>9.57</v>
      </c>
      <c r="T328" s="8">
        <f>Elettricità!AC328</f>
        <v>0</v>
      </c>
      <c r="U328" s="8">
        <f>Elettricità!AD328</f>
        <v>5.0199999999999996</v>
      </c>
      <c r="V328" s="8">
        <f t="shared" si="78"/>
        <v>2024</v>
      </c>
      <c r="W328" s="8">
        <f>_xlfn.XLOOKUP(A328,Fabbricati!E:E,Fabbricati!D:D)</f>
        <v>341747473</v>
      </c>
      <c r="X328" s="9">
        <f t="shared" si="79"/>
        <v>45571</v>
      </c>
      <c r="Y328" s="9">
        <f t="shared" si="80"/>
        <v>45536</v>
      </c>
      <c r="Z328" s="9">
        <f t="shared" si="81"/>
        <v>45565</v>
      </c>
      <c r="AA328" s="8">
        <f t="shared" si="82"/>
        <v>30</v>
      </c>
      <c r="AB328" s="8">
        <f t="shared" si="83"/>
        <v>20</v>
      </c>
      <c r="AC328" s="12" t="s">
        <v>149</v>
      </c>
      <c r="AD328" s="11" t="str">
        <f t="shared" si="84"/>
        <v>5
5
10</v>
      </c>
      <c r="AE328" s="11" t="str">
        <f t="shared" si="85"/>
        <v>11
5
4</v>
      </c>
      <c r="AF328" s="11"/>
      <c r="AG328" s="11"/>
      <c r="AH328" s="8">
        <f t="shared" si="86"/>
        <v>19.55</v>
      </c>
      <c r="AI328" s="8">
        <f t="shared" si="87"/>
        <v>3.02</v>
      </c>
      <c r="AJ328" s="8">
        <f t="shared" si="88"/>
        <v>5.0199999999999996</v>
      </c>
      <c r="AK328" s="8"/>
      <c r="AL328" s="8"/>
      <c r="AM328" s="8">
        <f t="shared" si="89"/>
        <v>0</v>
      </c>
      <c r="AN328" s="8">
        <f t="shared" si="90"/>
        <v>27.84</v>
      </c>
    </row>
    <row r="329" spans="1:40" ht="48" customHeight="1" x14ac:dyDescent="0.2">
      <c r="A329" s="8" t="str">
        <f>Elettricità!I329</f>
        <v>IT001E34174747</v>
      </c>
      <c r="B329" s="8" t="str">
        <f>Elettricità!A329</f>
        <v>005085485042.PDF</v>
      </c>
      <c r="C329" s="9">
        <f>Elettricità!E329</f>
        <v>45604</v>
      </c>
      <c r="D329" s="9">
        <f>Elettricità!K329</f>
        <v>45566</v>
      </c>
      <c r="E329" s="9">
        <f>Elettricità!L329</f>
        <v>45596</v>
      </c>
      <c r="F329" s="8">
        <f>Elettricità!M329</f>
        <v>22</v>
      </c>
      <c r="G329" s="8">
        <f>Elettricità!N329</f>
        <v>5</v>
      </c>
      <c r="H329" s="8">
        <f>Elettricità!O329</f>
        <v>6</v>
      </c>
      <c r="I329" s="8">
        <f>Elettricità!P329</f>
        <v>11</v>
      </c>
      <c r="J329" s="8">
        <f>Elettricità!Q329</f>
        <v>16</v>
      </c>
      <c r="K329" s="8">
        <f>Elettricità!R329</f>
        <v>11</v>
      </c>
      <c r="L329" s="8">
        <f>Elettricità!S329</f>
        <v>3</v>
      </c>
      <c r="M329" s="8">
        <f>Elettricità!T329</f>
        <v>2</v>
      </c>
      <c r="N329" s="8">
        <f>Elettricità!W329</f>
        <v>23.27</v>
      </c>
      <c r="O329" s="8">
        <f>Elettricità!X329</f>
        <v>28.39</v>
      </c>
      <c r="P329" s="8">
        <f>Elettricità!Y329</f>
        <v>0</v>
      </c>
      <c r="Q329" s="8">
        <f>Elettricità!Z329</f>
        <v>3.3</v>
      </c>
      <c r="R329" s="8">
        <f>Elettricità!AA329</f>
        <v>10.02</v>
      </c>
      <c r="S329" s="8">
        <f>Elettricità!AB329</f>
        <v>9.67</v>
      </c>
      <c r="T329" s="8">
        <f>Elettricità!AC329</f>
        <v>0</v>
      </c>
      <c r="U329" s="8">
        <f>Elettricità!AD329</f>
        <v>5.12</v>
      </c>
      <c r="V329" s="8">
        <f t="shared" si="78"/>
        <v>2024</v>
      </c>
      <c r="W329" s="8">
        <f>_xlfn.XLOOKUP(A329,Fabbricati!E:E,Fabbricati!D:D)</f>
        <v>341747473</v>
      </c>
      <c r="X329" s="9">
        <f t="shared" si="79"/>
        <v>45604</v>
      </c>
      <c r="Y329" s="9">
        <f t="shared" si="80"/>
        <v>45566</v>
      </c>
      <c r="Z329" s="9">
        <f t="shared" si="81"/>
        <v>45596</v>
      </c>
      <c r="AA329" s="8">
        <f t="shared" si="82"/>
        <v>31</v>
      </c>
      <c r="AB329" s="8">
        <f t="shared" si="83"/>
        <v>22</v>
      </c>
      <c r="AC329" s="12" t="s">
        <v>149</v>
      </c>
      <c r="AD329" s="11" t="str">
        <f t="shared" si="84"/>
        <v>5
6
11</v>
      </c>
      <c r="AE329" s="11" t="str">
        <f t="shared" si="85"/>
        <v>11
3
2</v>
      </c>
      <c r="AF329" s="11"/>
      <c r="AG329" s="11"/>
      <c r="AH329" s="8">
        <f t="shared" si="86"/>
        <v>19.689999999999998</v>
      </c>
      <c r="AI329" s="8">
        <f t="shared" si="87"/>
        <v>3.3</v>
      </c>
      <c r="AJ329" s="8">
        <f t="shared" si="88"/>
        <v>5.12</v>
      </c>
      <c r="AK329" s="8"/>
      <c r="AL329" s="8"/>
      <c r="AM329" s="8">
        <f t="shared" si="89"/>
        <v>0</v>
      </c>
      <c r="AN329" s="8">
        <f t="shared" si="90"/>
        <v>28.39</v>
      </c>
    </row>
    <row r="330" spans="1:40" ht="48" customHeight="1" x14ac:dyDescent="0.2">
      <c r="A330" s="8" t="str">
        <f>Elettricità!I330</f>
        <v>IT001E34174747</v>
      </c>
      <c r="B330" s="8" t="str">
        <f>Elettricità!A330</f>
        <v>005093369276.PDF</v>
      </c>
      <c r="C330" s="9">
        <f>Elettricità!E330</f>
        <v>45632</v>
      </c>
      <c r="D330" s="9">
        <f>Elettricità!K330</f>
        <v>45597</v>
      </c>
      <c r="E330" s="9">
        <f>Elettricità!L330</f>
        <v>45626</v>
      </c>
      <c r="F330" s="8">
        <f>Elettricità!M330</f>
        <v>20</v>
      </c>
      <c r="G330" s="8">
        <f>Elettricità!N330</f>
        <v>5</v>
      </c>
      <c r="H330" s="8">
        <f>Elettricità!O330</f>
        <v>5</v>
      </c>
      <c r="I330" s="8">
        <f>Elettricità!P330</f>
        <v>10</v>
      </c>
      <c r="J330" s="8">
        <f>Elettricità!Q330</f>
        <v>14</v>
      </c>
      <c r="K330" s="8">
        <f>Elettricità!R330</f>
        <v>8</v>
      </c>
      <c r="L330" s="8">
        <f>Elettricità!S330</f>
        <v>3</v>
      </c>
      <c r="M330" s="8">
        <f>Elettricità!T330</f>
        <v>3</v>
      </c>
      <c r="N330" s="8">
        <f>Elettricità!W330</f>
        <v>23.16</v>
      </c>
      <c r="O330" s="8">
        <f>Elettricità!X330</f>
        <v>28.26</v>
      </c>
      <c r="P330" s="8">
        <f>Elettricità!Y330</f>
        <v>0</v>
      </c>
      <c r="Q330" s="8">
        <f>Elettricità!Z330</f>
        <v>3.36</v>
      </c>
      <c r="R330" s="8">
        <f>Elettricità!AA330</f>
        <v>9.98</v>
      </c>
      <c r="S330" s="8">
        <f>Elettricità!AB330</f>
        <v>9.57</v>
      </c>
      <c r="T330" s="8">
        <f>Elettricità!AC330</f>
        <v>0</v>
      </c>
      <c r="U330" s="8">
        <f>Elettricità!AD330</f>
        <v>5.0999999999999996</v>
      </c>
      <c r="V330" s="8">
        <f t="shared" si="78"/>
        <v>2024</v>
      </c>
      <c r="W330" s="8">
        <f>_xlfn.XLOOKUP(A330,Fabbricati!E:E,Fabbricati!D:D)</f>
        <v>341747473</v>
      </c>
      <c r="X330" s="9">
        <f t="shared" si="79"/>
        <v>45632</v>
      </c>
      <c r="Y330" s="9">
        <f t="shared" si="80"/>
        <v>45597</v>
      </c>
      <c r="Z330" s="9">
        <f t="shared" si="81"/>
        <v>45626</v>
      </c>
      <c r="AA330" s="8">
        <f t="shared" si="82"/>
        <v>30</v>
      </c>
      <c r="AB330" s="8">
        <f t="shared" si="83"/>
        <v>20</v>
      </c>
      <c r="AC330" s="12" t="s">
        <v>149</v>
      </c>
      <c r="AD330" s="11" t="str">
        <f t="shared" si="84"/>
        <v>5
5
10</v>
      </c>
      <c r="AE330" s="11" t="str">
        <f t="shared" si="85"/>
        <v>8
3
3</v>
      </c>
      <c r="AF330" s="11"/>
      <c r="AG330" s="11"/>
      <c r="AH330" s="8">
        <f t="shared" si="86"/>
        <v>19.55</v>
      </c>
      <c r="AI330" s="8">
        <f t="shared" si="87"/>
        <v>3.36</v>
      </c>
      <c r="AJ330" s="8">
        <f t="shared" si="88"/>
        <v>5.0999999999999996</v>
      </c>
      <c r="AK330" s="8"/>
      <c r="AL330" s="8"/>
      <c r="AM330" s="8">
        <f t="shared" si="89"/>
        <v>0</v>
      </c>
      <c r="AN330" s="8">
        <f t="shared" si="90"/>
        <v>28.26</v>
      </c>
    </row>
    <row r="331" spans="1:40" ht="48" customHeight="1" x14ac:dyDescent="0.2">
      <c r="A331" s="8" t="str">
        <f>Elettricità!I331</f>
        <v>IT001E34174747</v>
      </c>
      <c r="B331" s="8" t="str">
        <f>Elettricità!A331</f>
        <v>005200218689.PDF</v>
      </c>
      <c r="C331" s="9">
        <f>Elettricità!E331</f>
        <v>45665</v>
      </c>
      <c r="D331" s="9">
        <f>Elettricità!K331</f>
        <v>45627</v>
      </c>
      <c r="E331" s="9">
        <f>Elettricità!L331</f>
        <v>45657</v>
      </c>
      <c r="F331" s="8">
        <f>Elettricità!M331</f>
        <v>23</v>
      </c>
      <c r="G331" s="8">
        <f>Elettricità!N331</f>
        <v>5</v>
      </c>
      <c r="H331" s="8">
        <f>Elettricità!O331</f>
        <v>5</v>
      </c>
      <c r="I331" s="8">
        <f>Elettricità!P331</f>
        <v>13</v>
      </c>
      <c r="J331" s="8">
        <f>Elettricità!Q331</f>
        <v>13</v>
      </c>
      <c r="K331" s="8">
        <f>Elettricità!R331</f>
        <v>8</v>
      </c>
      <c r="L331" s="8">
        <f>Elettricità!S331</f>
        <v>2</v>
      </c>
      <c r="M331" s="8">
        <f>Elettricità!T331</f>
        <v>3</v>
      </c>
      <c r="N331" s="8">
        <f>Elettricità!W331</f>
        <v>24.03</v>
      </c>
      <c r="O331" s="8">
        <f>Elettricità!X331</f>
        <v>29.32</v>
      </c>
      <c r="P331" s="8">
        <f>Elettricità!Y331</f>
        <v>0</v>
      </c>
      <c r="Q331" s="8">
        <f>Elettricità!Z331</f>
        <v>3.99</v>
      </c>
      <c r="R331" s="8">
        <f>Elettricità!AA331</f>
        <v>10.029999999999999</v>
      </c>
      <c r="S331" s="8">
        <f>Elettricità!AB331</f>
        <v>9.7200000000000006</v>
      </c>
      <c r="T331" s="8">
        <f>Elettricità!AC331</f>
        <v>0</v>
      </c>
      <c r="U331" s="8">
        <f>Elettricità!AD331</f>
        <v>5.29</v>
      </c>
      <c r="V331" s="8">
        <f t="shared" si="78"/>
        <v>2024</v>
      </c>
      <c r="W331" s="8">
        <f>_xlfn.XLOOKUP(A331,Fabbricati!E:E,Fabbricati!D:D)</f>
        <v>341747473</v>
      </c>
      <c r="X331" s="9">
        <f t="shared" si="79"/>
        <v>45665</v>
      </c>
      <c r="Y331" s="9">
        <f t="shared" si="80"/>
        <v>45627</v>
      </c>
      <c r="Z331" s="9">
        <f t="shared" si="81"/>
        <v>45657</v>
      </c>
      <c r="AA331" s="8">
        <f t="shared" si="82"/>
        <v>31</v>
      </c>
      <c r="AB331" s="8">
        <f t="shared" si="83"/>
        <v>23</v>
      </c>
      <c r="AC331" s="12" t="s">
        <v>149</v>
      </c>
      <c r="AD331" s="11" t="str">
        <f t="shared" si="84"/>
        <v>5
5
13</v>
      </c>
      <c r="AE331" s="11" t="str">
        <f t="shared" si="85"/>
        <v>8
2
3</v>
      </c>
      <c r="AF331" s="11"/>
      <c r="AG331" s="11"/>
      <c r="AH331" s="8">
        <f t="shared" si="86"/>
        <v>19.75</v>
      </c>
      <c r="AI331" s="8">
        <f t="shared" si="87"/>
        <v>3.99</v>
      </c>
      <c r="AJ331" s="8">
        <f t="shared" si="88"/>
        <v>5.29</v>
      </c>
      <c r="AK331" s="8"/>
      <c r="AL331" s="8"/>
      <c r="AM331" s="8">
        <f t="shared" si="89"/>
        <v>0</v>
      </c>
      <c r="AN331" s="8">
        <f t="shared" si="90"/>
        <v>29.32</v>
      </c>
    </row>
    <row r="332" spans="1:40" ht="48" customHeight="1" x14ac:dyDescent="0.2">
      <c r="A332" s="8" t="str">
        <f>Elettricità!I332</f>
        <v>IT001E34690694</v>
      </c>
      <c r="B332" s="8" t="str">
        <f>Elettricità!A332</f>
        <v>824500037559_2024_d.pdf</v>
      </c>
      <c r="C332" s="9">
        <f>Elettricità!E332</f>
        <v>45349</v>
      </c>
      <c r="D332" s="9">
        <f>Elettricità!K332</f>
        <v>45292</v>
      </c>
      <c r="E332" s="9">
        <f>Elettricità!L332</f>
        <v>45322</v>
      </c>
      <c r="F332" s="8">
        <f>Elettricità!M332</f>
        <v>1025</v>
      </c>
      <c r="G332" s="8">
        <f>Elettricità!N332</f>
        <v>175</v>
      </c>
      <c r="H332" s="8">
        <f>Elettricità!O332</f>
        <v>325</v>
      </c>
      <c r="I332" s="8">
        <f>Elettricità!P332</f>
        <v>525</v>
      </c>
      <c r="J332" s="8">
        <f>Elettricità!Q332</f>
        <v>0</v>
      </c>
      <c r="K332" s="8">
        <f>Elettricità!R332</f>
        <v>0</v>
      </c>
      <c r="L332" s="8">
        <f>Elettricità!S332</f>
        <v>0</v>
      </c>
      <c r="M332" s="8">
        <f>Elettricità!T332</f>
        <v>0</v>
      </c>
      <c r="N332" s="8">
        <f>Elettricità!W332</f>
        <v>254.08</v>
      </c>
      <c r="O332" s="8">
        <f>Elettricità!X332</f>
        <v>309.98</v>
      </c>
      <c r="P332" s="8">
        <f>Elettricità!Y332</f>
        <v>0</v>
      </c>
      <c r="Q332" s="8">
        <f>Elettricità!Z332</f>
        <v>157.78</v>
      </c>
      <c r="R332" s="8">
        <f>Elettricità!AA332</f>
        <v>27.47</v>
      </c>
      <c r="S332" s="8">
        <f>Elettricità!AB332</f>
        <v>50.89</v>
      </c>
      <c r="T332" s="8">
        <f>Elettricità!AC332</f>
        <v>5.13</v>
      </c>
      <c r="U332" s="8">
        <f>Elettricità!AD332</f>
        <v>12.81</v>
      </c>
      <c r="V332" s="8">
        <f t="shared" si="78"/>
        <v>2024</v>
      </c>
      <c r="W332" s="8">
        <f>_xlfn.XLOOKUP(A332,Fabbricati!E:E,Fabbricati!D:D)</f>
        <v>346906944</v>
      </c>
      <c r="X332" s="9">
        <f t="shared" si="79"/>
        <v>45349</v>
      </c>
      <c r="Y332" s="9">
        <f t="shared" si="80"/>
        <v>45292</v>
      </c>
      <c r="Z332" s="9">
        <f t="shared" si="81"/>
        <v>45322</v>
      </c>
      <c r="AA332" s="8">
        <f t="shared" si="82"/>
        <v>31</v>
      </c>
      <c r="AB332" s="8">
        <f t="shared" si="83"/>
        <v>1025</v>
      </c>
      <c r="AC332" s="12" t="s">
        <v>149</v>
      </c>
      <c r="AD332" s="11" t="str">
        <f t="shared" si="84"/>
        <v>175
325
525</v>
      </c>
      <c r="AE332" s="11" t="str">
        <f t="shared" si="85"/>
        <v>0
0
0</v>
      </c>
      <c r="AF332" s="11"/>
      <c r="AG332" s="11"/>
      <c r="AH332" s="8">
        <f t="shared" si="86"/>
        <v>78.36</v>
      </c>
      <c r="AI332" s="8">
        <f t="shared" si="87"/>
        <v>157.78</v>
      </c>
      <c r="AJ332" s="8">
        <f t="shared" si="88"/>
        <v>12.81</v>
      </c>
      <c r="AK332" s="8"/>
      <c r="AL332" s="8"/>
      <c r="AM332" s="8">
        <f t="shared" si="89"/>
        <v>5.13</v>
      </c>
      <c r="AN332" s="8">
        <f t="shared" si="90"/>
        <v>309.98</v>
      </c>
    </row>
    <row r="333" spans="1:40" ht="48" customHeight="1" x14ac:dyDescent="0.2">
      <c r="A333" s="8" t="str">
        <f>Elettricità!I333</f>
        <v>IT001E34690694</v>
      </c>
      <c r="B333" s="8" t="str">
        <f>Elettricità!A333</f>
        <v>005018359679.pdf</v>
      </c>
      <c r="C333" s="9">
        <f>Elettricità!E333</f>
        <v>45358</v>
      </c>
      <c r="D333" s="9">
        <f>Elettricità!K333</f>
        <v>45323</v>
      </c>
      <c r="E333" s="9">
        <f>Elettricità!L333</f>
        <v>45351</v>
      </c>
      <c r="F333" s="8">
        <f>Elettricità!M333</f>
        <v>816</v>
      </c>
      <c r="G333" s="8">
        <f>Elettricità!N333</f>
        <v>160</v>
      </c>
      <c r="H333" s="8">
        <f>Elettricità!O333</f>
        <v>300</v>
      </c>
      <c r="I333" s="8">
        <f>Elettricità!P333</f>
        <v>356</v>
      </c>
      <c r="J333" s="8">
        <f>Elettricità!Q333</f>
        <v>14</v>
      </c>
      <c r="K333" s="8">
        <f>Elettricità!R333</f>
        <v>12</v>
      </c>
      <c r="L333" s="8">
        <f>Elettricità!S333</f>
        <v>1</v>
      </c>
      <c r="M333" s="8">
        <f>Elettricità!T333</f>
        <v>1</v>
      </c>
      <c r="N333" s="8">
        <f>Elettricità!W333</f>
        <v>165.91</v>
      </c>
      <c r="O333" s="8">
        <f>Elettricità!X333</f>
        <v>202.41</v>
      </c>
      <c r="P333" s="8">
        <f>Elettricità!Y333</f>
        <v>0</v>
      </c>
      <c r="Q333" s="8">
        <f>Elettricità!Z333</f>
        <v>93.67</v>
      </c>
      <c r="R333" s="8">
        <f>Elettricità!AA333</f>
        <v>20.88</v>
      </c>
      <c r="S333" s="8">
        <f>Elettricità!AB333</f>
        <v>41.16</v>
      </c>
      <c r="T333" s="8">
        <f>Elettricità!AC333</f>
        <v>0</v>
      </c>
      <c r="U333" s="8">
        <f>Elettricità!AD333</f>
        <v>36.5</v>
      </c>
      <c r="V333" s="8">
        <f t="shared" si="78"/>
        <v>2024</v>
      </c>
      <c r="W333" s="8">
        <f>_xlfn.XLOOKUP(A333,Fabbricati!E:E,Fabbricati!D:D)</f>
        <v>346906944</v>
      </c>
      <c r="X333" s="9">
        <f t="shared" si="79"/>
        <v>45358</v>
      </c>
      <c r="Y333" s="9">
        <f t="shared" si="80"/>
        <v>45323</v>
      </c>
      <c r="Z333" s="9">
        <f t="shared" si="81"/>
        <v>45351</v>
      </c>
      <c r="AA333" s="8">
        <f t="shared" si="82"/>
        <v>29</v>
      </c>
      <c r="AB333" s="8">
        <f t="shared" si="83"/>
        <v>816</v>
      </c>
      <c r="AC333" s="12" t="s">
        <v>149</v>
      </c>
      <c r="AD333" s="11" t="str">
        <f t="shared" si="84"/>
        <v>160
300
356</v>
      </c>
      <c r="AE333" s="11" t="str">
        <f t="shared" si="85"/>
        <v>12
1
1</v>
      </c>
      <c r="AF333" s="11"/>
      <c r="AG333" s="11"/>
      <c r="AH333" s="8">
        <f t="shared" si="86"/>
        <v>62.039999999999992</v>
      </c>
      <c r="AI333" s="8">
        <f t="shared" si="87"/>
        <v>93.67</v>
      </c>
      <c r="AJ333" s="8">
        <f t="shared" si="88"/>
        <v>36.5</v>
      </c>
      <c r="AK333" s="8"/>
      <c r="AL333" s="8"/>
      <c r="AM333" s="8">
        <f t="shared" si="89"/>
        <v>0</v>
      </c>
      <c r="AN333" s="8">
        <f t="shared" si="90"/>
        <v>202.41</v>
      </c>
    </row>
    <row r="334" spans="1:40" ht="48" customHeight="1" x14ac:dyDescent="0.2">
      <c r="A334" s="8" t="str">
        <f>Elettricità!I334</f>
        <v>IT001E34690694</v>
      </c>
      <c r="B334" s="8" t="str">
        <f>Elettricità!A334</f>
        <v>005026659964(1).pdf</v>
      </c>
      <c r="C334" s="9">
        <f>Elettricità!E334</f>
        <v>45390</v>
      </c>
      <c r="D334" s="9">
        <f>Elettricità!K334</f>
        <v>45352</v>
      </c>
      <c r="E334" s="9">
        <f>Elettricità!L334</f>
        <v>45382</v>
      </c>
      <c r="F334" s="8">
        <f>Elettricità!M334</f>
        <v>889</v>
      </c>
      <c r="G334" s="8">
        <f>Elettricità!N334</f>
        <v>125</v>
      </c>
      <c r="H334" s="8">
        <f>Elettricità!O334</f>
        <v>335</v>
      </c>
      <c r="I334" s="8">
        <f>Elettricità!P334</f>
        <v>429</v>
      </c>
      <c r="J334" s="8">
        <f>Elettricità!Q334</f>
        <v>13</v>
      </c>
      <c r="K334" s="8">
        <f>Elettricità!R334</f>
        <v>12</v>
      </c>
      <c r="L334" s="8">
        <f>Elettricità!S334</f>
        <v>1</v>
      </c>
      <c r="M334" s="8">
        <f>Elettricità!T334</f>
        <v>0</v>
      </c>
      <c r="N334" s="8">
        <f>Elettricità!W334</f>
        <v>180.67</v>
      </c>
      <c r="O334" s="8">
        <f>Elettricità!X334</f>
        <v>220.42</v>
      </c>
      <c r="P334" s="8">
        <f>Elettricità!Y334</f>
        <v>0</v>
      </c>
      <c r="Q334" s="8">
        <f>Elettricità!Z334</f>
        <v>101.74</v>
      </c>
      <c r="R334" s="8">
        <f>Elettricità!AA334</f>
        <v>22.87</v>
      </c>
      <c r="S334" s="8">
        <f>Elettricità!AB334</f>
        <v>44.95</v>
      </c>
      <c r="T334" s="8">
        <f>Elettricità!AC334</f>
        <v>0</v>
      </c>
      <c r="U334" s="8">
        <f>Elettricità!AD334</f>
        <v>39.75</v>
      </c>
      <c r="V334" s="8">
        <f t="shared" si="78"/>
        <v>2024</v>
      </c>
      <c r="W334" s="8">
        <f>_xlfn.XLOOKUP(A334,Fabbricati!E:E,Fabbricati!D:D)</f>
        <v>346906944</v>
      </c>
      <c r="X334" s="9">
        <f t="shared" si="79"/>
        <v>45390</v>
      </c>
      <c r="Y334" s="9">
        <f t="shared" si="80"/>
        <v>45352</v>
      </c>
      <c r="Z334" s="9">
        <f t="shared" si="81"/>
        <v>45382</v>
      </c>
      <c r="AA334" s="8">
        <f t="shared" si="82"/>
        <v>31</v>
      </c>
      <c r="AB334" s="8">
        <f t="shared" si="83"/>
        <v>889</v>
      </c>
      <c r="AC334" s="12" t="s">
        <v>149</v>
      </c>
      <c r="AD334" s="11" t="str">
        <f t="shared" si="84"/>
        <v>125
335
429</v>
      </c>
      <c r="AE334" s="11" t="str">
        <f t="shared" si="85"/>
        <v>12
1
0</v>
      </c>
      <c r="AF334" s="11"/>
      <c r="AG334" s="11"/>
      <c r="AH334" s="8">
        <f t="shared" si="86"/>
        <v>67.820000000000007</v>
      </c>
      <c r="AI334" s="8">
        <f t="shared" si="87"/>
        <v>101.74</v>
      </c>
      <c r="AJ334" s="8">
        <f t="shared" si="88"/>
        <v>39.75</v>
      </c>
      <c r="AK334" s="8"/>
      <c r="AL334" s="8"/>
      <c r="AM334" s="8">
        <f t="shared" si="89"/>
        <v>0</v>
      </c>
      <c r="AN334" s="8">
        <f t="shared" si="90"/>
        <v>220.42</v>
      </c>
    </row>
    <row r="335" spans="1:40" ht="48" customHeight="1" x14ac:dyDescent="0.2">
      <c r="A335" s="8" t="str">
        <f>Elettricità!I335</f>
        <v>IT001E34690694</v>
      </c>
      <c r="B335" s="8" t="str">
        <f>Elettricità!A335</f>
        <v>005034930234.PDF</v>
      </c>
      <c r="C335" s="9">
        <f>Elettricità!E335</f>
        <v>45419</v>
      </c>
      <c r="D335" s="9">
        <f>Elettricità!K335</f>
        <v>45383</v>
      </c>
      <c r="E335" s="9">
        <f>Elettricità!L335</f>
        <v>45412</v>
      </c>
      <c r="F335" s="8">
        <f>Elettricità!M335</f>
        <v>723</v>
      </c>
      <c r="G335" s="8">
        <f>Elettricità!N335</f>
        <v>65</v>
      </c>
      <c r="H335" s="8">
        <f>Elettricità!O335</f>
        <v>258</v>
      </c>
      <c r="I335" s="8">
        <f>Elettricità!P335</f>
        <v>400</v>
      </c>
      <c r="J335" s="8">
        <f>Elettricità!Q335</f>
        <v>16</v>
      </c>
      <c r="K335" s="8">
        <f>Elettricità!R335</f>
        <v>15</v>
      </c>
      <c r="L335" s="8">
        <f>Elettricità!S335</f>
        <v>1</v>
      </c>
      <c r="M335" s="8">
        <f>Elettricità!T335</f>
        <v>0</v>
      </c>
      <c r="N335" s="8">
        <f>Elettricità!W335</f>
        <v>154.62</v>
      </c>
      <c r="O335" s="8">
        <f>Elettricità!X335</f>
        <v>188.64</v>
      </c>
      <c r="P335" s="8">
        <f>Elettricità!Y335</f>
        <v>0</v>
      </c>
      <c r="Q335" s="8">
        <f>Elettricità!Z335</f>
        <v>82.38</v>
      </c>
      <c r="R335" s="8">
        <f>Elettricità!AA335</f>
        <v>19.690000000000001</v>
      </c>
      <c r="S335" s="8">
        <f>Elettricità!AB335</f>
        <v>43.51</v>
      </c>
      <c r="T335" s="8">
        <f>Elettricità!AC335</f>
        <v>0</v>
      </c>
      <c r="U335" s="8">
        <f>Elettricità!AD335</f>
        <v>34.020000000000003</v>
      </c>
      <c r="V335" s="8">
        <f t="shared" si="78"/>
        <v>2024</v>
      </c>
      <c r="W335" s="8">
        <f>_xlfn.XLOOKUP(A335,Fabbricati!E:E,Fabbricati!D:D)</f>
        <v>346906944</v>
      </c>
      <c r="X335" s="9">
        <f t="shared" si="79"/>
        <v>45419</v>
      </c>
      <c r="Y335" s="9">
        <f t="shared" si="80"/>
        <v>45383</v>
      </c>
      <c r="Z335" s="9">
        <f t="shared" si="81"/>
        <v>45412</v>
      </c>
      <c r="AA335" s="8">
        <f t="shared" si="82"/>
        <v>30</v>
      </c>
      <c r="AB335" s="8">
        <f t="shared" si="83"/>
        <v>723</v>
      </c>
      <c r="AC335" s="12" t="s">
        <v>149</v>
      </c>
      <c r="AD335" s="11" t="str">
        <f t="shared" si="84"/>
        <v>65
258
400</v>
      </c>
      <c r="AE335" s="11" t="str">
        <f t="shared" si="85"/>
        <v>15
1
0</v>
      </c>
      <c r="AF335" s="11"/>
      <c r="AG335" s="11"/>
      <c r="AH335" s="8">
        <f t="shared" si="86"/>
        <v>63.2</v>
      </c>
      <c r="AI335" s="8">
        <f t="shared" si="87"/>
        <v>82.38</v>
      </c>
      <c r="AJ335" s="8">
        <f t="shared" si="88"/>
        <v>34.020000000000003</v>
      </c>
      <c r="AK335" s="8"/>
      <c r="AL335" s="8"/>
      <c r="AM335" s="8">
        <f t="shared" si="89"/>
        <v>0</v>
      </c>
      <c r="AN335" s="8">
        <f t="shared" si="90"/>
        <v>188.64</v>
      </c>
    </row>
    <row r="336" spans="1:40" ht="48" customHeight="1" x14ac:dyDescent="0.2">
      <c r="A336" s="8" t="str">
        <f>Elettricità!I336</f>
        <v>IT001E34690694</v>
      </c>
      <c r="B336" s="8" t="str">
        <f>Elettricità!A336</f>
        <v>005043663098.PDF</v>
      </c>
      <c r="C336" s="9">
        <f>Elettricità!E336</f>
        <v>45449</v>
      </c>
      <c r="D336" s="9">
        <f>Elettricità!K336</f>
        <v>45413</v>
      </c>
      <c r="E336" s="9">
        <f>Elettricità!L336</f>
        <v>45443</v>
      </c>
      <c r="F336" s="8">
        <f>Elettricità!M336</f>
        <v>732</v>
      </c>
      <c r="G336" s="8">
        <f>Elettricità!N336</f>
        <v>82</v>
      </c>
      <c r="H336" s="8">
        <f>Elettricità!O336</f>
        <v>262</v>
      </c>
      <c r="I336" s="8">
        <f>Elettricità!P336</f>
        <v>388</v>
      </c>
      <c r="J336" s="8">
        <f>Elettricità!Q336</f>
        <v>25</v>
      </c>
      <c r="K336" s="8">
        <f>Elettricità!R336</f>
        <v>22</v>
      </c>
      <c r="L336" s="8">
        <f>Elettricità!S336</f>
        <v>2</v>
      </c>
      <c r="M336" s="8">
        <f>Elettricità!T336</f>
        <v>1</v>
      </c>
      <c r="N336" s="8">
        <f>Elettricità!W336</f>
        <v>162</v>
      </c>
      <c r="O336" s="8">
        <f>Elettricità!X336</f>
        <v>197.64</v>
      </c>
      <c r="P336" s="8">
        <f>Elettricità!Y336</f>
        <v>0</v>
      </c>
      <c r="Q336" s="8">
        <f>Elettricità!Z336</f>
        <v>89.61</v>
      </c>
      <c r="R336" s="8">
        <f>Elettricità!AA336</f>
        <v>19.54</v>
      </c>
      <c r="S336" s="8">
        <f>Elettricità!AB336</f>
        <v>43.7</v>
      </c>
      <c r="T336" s="8">
        <f>Elettricità!AC336</f>
        <v>0</v>
      </c>
      <c r="U336" s="8">
        <f>Elettricità!AD336</f>
        <v>35.64</v>
      </c>
      <c r="V336" s="8">
        <f t="shared" si="78"/>
        <v>2024</v>
      </c>
      <c r="W336" s="8">
        <f>_xlfn.XLOOKUP(A336,Fabbricati!E:E,Fabbricati!D:D)</f>
        <v>346906944</v>
      </c>
      <c r="X336" s="9">
        <f t="shared" si="79"/>
        <v>45449</v>
      </c>
      <c r="Y336" s="9">
        <f t="shared" si="80"/>
        <v>45413</v>
      </c>
      <c r="Z336" s="9">
        <f t="shared" si="81"/>
        <v>45443</v>
      </c>
      <c r="AA336" s="8">
        <f t="shared" si="82"/>
        <v>31</v>
      </c>
      <c r="AB336" s="8">
        <f t="shared" si="83"/>
        <v>732</v>
      </c>
      <c r="AC336" s="12" t="s">
        <v>149</v>
      </c>
      <c r="AD336" s="11" t="str">
        <f t="shared" si="84"/>
        <v>82
262
388</v>
      </c>
      <c r="AE336" s="11" t="str">
        <f t="shared" si="85"/>
        <v>22
2
1</v>
      </c>
      <c r="AF336" s="11"/>
      <c r="AG336" s="11"/>
      <c r="AH336" s="8">
        <f t="shared" si="86"/>
        <v>63.24</v>
      </c>
      <c r="AI336" s="8">
        <f t="shared" si="87"/>
        <v>89.61</v>
      </c>
      <c r="AJ336" s="8">
        <f t="shared" si="88"/>
        <v>35.64</v>
      </c>
      <c r="AK336" s="8"/>
      <c r="AL336" s="8"/>
      <c r="AM336" s="8">
        <f t="shared" si="89"/>
        <v>0</v>
      </c>
      <c r="AN336" s="8">
        <f t="shared" si="90"/>
        <v>197.64</v>
      </c>
    </row>
    <row r="337" spans="1:40" ht="48" customHeight="1" x14ac:dyDescent="0.2">
      <c r="A337" s="8" t="str">
        <f>Elettricità!I337</f>
        <v>IT001E34690694</v>
      </c>
      <c r="B337" s="8" t="str">
        <f>Elettricità!A337</f>
        <v>005058667725.PDF</v>
      </c>
      <c r="C337" s="9">
        <f>Elettricità!E337</f>
        <v>45485</v>
      </c>
      <c r="D337" s="9">
        <f>Elettricità!K337</f>
        <v>45444</v>
      </c>
      <c r="E337" s="9">
        <f>Elettricità!L337</f>
        <v>45473</v>
      </c>
      <c r="F337" s="8">
        <f>Elettricità!M337</f>
        <v>3842</v>
      </c>
      <c r="G337" s="8">
        <f>Elettricità!N337</f>
        <v>491</v>
      </c>
      <c r="H337" s="8">
        <f>Elettricità!O337</f>
        <v>1411</v>
      </c>
      <c r="I337" s="8">
        <f>Elettricità!P337</f>
        <v>1940</v>
      </c>
      <c r="J337" s="8">
        <f>Elettricità!Q337</f>
        <v>107</v>
      </c>
      <c r="K337" s="8">
        <f>Elettricità!R337</f>
        <v>72</v>
      </c>
      <c r="L337" s="8">
        <f>Elettricità!S337</f>
        <v>16</v>
      </c>
      <c r="M337" s="8">
        <f>Elettricità!T337</f>
        <v>19</v>
      </c>
      <c r="N337" s="8">
        <f>Elettricità!W337</f>
        <v>216.96</v>
      </c>
      <c r="O337" s="8">
        <f>Elettricità!X337</f>
        <v>264.69</v>
      </c>
      <c r="P337" s="8">
        <f>Elettricità!Y337</f>
        <v>0</v>
      </c>
      <c r="Q337" s="8">
        <f>Elettricità!Z337</f>
        <v>90.09</v>
      </c>
      <c r="R337" s="8">
        <f>Elettricità!AA337</f>
        <v>46.36</v>
      </c>
      <c r="S337" s="8">
        <f>Elettricità!AB337</f>
        <v>64.44</v>
      </c>
      <c r="T337" s="8">
        <f>Elettricità!AC337</f>
        <v>0</v>
      </c>
      <c r="U337" s="8">
        <f>Elettricità!AD337</f>
        <v>47.73</v>
      </c>
      <c r="V337" s="8">
        <f t="shared" si="78"/>
        <v>2024</v>
      </c>
      <c r="W337" s="8">
        <f>_xlfn.XLOOKUP(A337,Fabbricati!E:E,Fabbricati!D:D)</f>
        <v>346906944</v>
      </c>
      <c r="X337" s="9">
        <f t="shared" si="79"/>
        <v>45485</v>
      </c>
      <c r="Y337" s="9">
        <f t="shared" si="80"/>
        <v>45444</v>
      </c>
      <c r="Z337" s="9">
        <f t="shared" si="81"/>
        <v>45473</v>
      </c>
      <c r="AA337" s="8">
        <f t="shared" si="82"/>
        <v>30</v>
      </c>
      <c r="AB337" s="8">
        <f t="shared" si="83"/>
        <v>3842</v>
      </c>
      <c r="AC337" s="12" t="s">
        <v>149</v>
      </c>
      <c r="AD337" s="11" t="str">
        <f t="shared" si="84"/>
        <v>491
1411
1940</v>
      </c>
      <c r="AE337" s="11" t="str">
        <f t="shared" si="85"/>
        <v>72
16
19</v>
      </c>
      <c r="AF337" s="11"/>
      <c r="AG337" s="11"/>
      <c r="AH337" s="8">
        <f t="shared" si="86"/>
        <v>110.8</v>
      </c>
      <c r="AI337" s="8">
        <f t="shared" si="87"/>
        <v>90.09</v>
      </c>
      <c r="AJ337" s="8">
        <f t="shared" si="88"/>
        <v>47.73</v>
      </c>
      <c r="AK337" s="8"/>
      <c r="AL337" s="8"/>
      <c r="AM337" s="8">
        <f t="shared" si="89"/>
        <v>0</v>
      </c>
      <c r="AN337" s="8">
        <f t="shared" si="90"/>
        <v>264.69</v>
      </c>
    </row>
    <row r="338" spans="1:40" ht="48" customHeight="1" x14ac:dyDescent="0.2">
      <c r="A338" s="8" t="str">
        <f>Elettricità!I338</f>
        <v>IT001E34690694</v>
      </c>
      <c r="B338" s="8" t="str">
        <f>Elettricità!A338</f>
        <v>005059958075.PDF</v>
      </c>
      <c r="C338" s="9">
        <f>Elettricità!E338</f>
        <v>45511</v>
      </c>
      <c r="D338" s="9">
        <f>Elettricità!K338</f>
        <v>45474</v>
      </c>
      <c r="E338" s="9">
        <f>Elettricità!L338</f>
        <v>45504</v>
      </c>
      <c r="F338" s="8">
        <f>Elettricità!M338</f>
        <v>2866</v>
      </c>
      <c r="G338" s="8">
        <f>Elettricità!N338</f>
        <v>617</v>
      </c>
      <c r="H338" s="8">
        <f>Elettricità!O338</f>
        <v>901</v>
      </c>
      <c r="I338" s="8">
        <f>Elettricità!P338</f>
        <v>1348</v>
      </c>
      <c r="J338" s="8">
        <f>Elettricità!Q338</f>
        <v>920</v>
      </c>
      <c r="K338" s="8">
        <f>Elettricità!R338</f>
        <v>301</v>
      </c>
      <c r="L338" s="8">
        <f>Elettricità!S338</f>
        <v>239</v>
      </c>
      <c r="M338" s="8">
        <f>Elettricità!T338</f>
        <v>380</v>
      </c>
      <c r="N338" s="8">
        <f>Elettricità!W338</f>
        <v>777.21</v>
      </c>
      <c r="O338" s="8">
        <f>Elettricità!X338</f>
        <v>948.2</v>
      </c>
      <c r="P338" s="8">
        <f>Elettricità!Y338</f>
        <v>0</v>
      </c>
      <c r="Q338" s="8">
        <f>Elettricità!Z338</f>
        <v>423.78</v>
      </c>
      <c r="R338" s="8">
        <f>Elettricità!AA338</f>
        <v>114.08</v>
      </c>
      <c r="S338" s="8">
        <f>Elettricità!AB338</f>
        <v>203.52</v>
      </c>
      <c r="T338" s="8">
        <f>Elettricità!AC338</f>
        <v>0</v>
      </c>
      <c r="U338" s="8">
        <f>Elettricità!AD338</f>
        <v>170.99</v>
      </c>
      <c r="V338" s="8">
        <f t="shared" si="78"/>
        <v>2024</v>
      </c>
      <c r="W338" s="8">
        <f>_xlfn.XLOOKUP(A338,Fabbricati!E:E,Fabbricati!D:D)</f>
        <v>346906944</v>
      </c>
      <c r="X338" s="9">
        <f t="shared" si="79"/>
        <v>45511</v>
      </c>
      <c r="Y338" s="9">
        <f t="shared" si="80"/>
        <v>45474</v>
      </c>
      <c r="Z338" s="9">
        <f t="shared" si="81"/>
        <v>45504</v>
      </c>
      <c r="AA338" s="8">
        <f t="shared" si="82"/>
        <v>31</v>
      </c>
      <c r="AB338" s="8">
        <f t="shared" si="83"/>
        <v>2866</v>
      </c>
      <c r="AC338" s="12" t="s">
        <v>149</v>
      </c>
      <c r="AD338" s="11" t="str">
        <f t="shared" si="84"/>
        <v>617
901
1348</v>
      </c>
      <c r="AE338" s="11" t="str">
        <f t="shared" si="85"/>
        <v>301
239
380</v>
      </c>
      <c r="AF338" s="11"/>
      <c r="AG338" s="11"/>
      <c r="AH338" s="8">
        <f t="shared" si="86"/>
        <v>317.60000000000002</v>
      </c>
      <c r="AI338" s="8">
        <f t="shared" si="87"/>
        <v>423.78</v>
      </c>
      <c r="AJ338" s="8">
        <f t="shared" si="88"/>
        <v>170.99</v>
      </c>
      <c r="AK338" s="8"/>
      <c r="AL338" s="8"/>
      <c r="AM338" s="8">
        <f t="shared" si="89"/>
        <v>0</v>
      </c>
      <c r="AN338" s="8">
        <f t="shared" si="90"/>
        <v>948.2</v>
      </c>
    </row>
    <row r="339" spans="1:40" ht="48" customHeight="1" x14ac:dyDescent="0.2">
      <c r="A339" s="8" t="str">
        <f>Elettricità!I339</f>
        <v>IT001E34690694</v>
      </c>
      <c r="B339" s="8" t="str">
        <f>Elettricità!A339</f>
        <v>005068189120.PDF</v>
      </c>
      <c r="C339" s="9">
        <f>Elettricità!E339</f>
        <v>45542</v>
      </c>
      <c r="D339" s="9">
        <f>Elettricità!K339</f>
        <v>45505</v>
      </c>
      <c r="E339" s="9">
        <f>Elettricità!L339</f>
        <v>45535</v>
      </c>
      <c r="F339" s="8">
        <f>Elettricità!M339</f>
        <v>867</v>
      </c>
      <c r="G339" s="8">
        <f>Elettricità!N339</f>
        <v>69</v>
      </c>
      <c r="H339" s="8">
        <f>Elettricità!O339</f>
        <v>267</v>
      </c>
      <c r="I339" s="8">
        <f>Elettricità!P339</f>
        <v>531</v>
      </c>
      <c r="J339" s="8">
        <f>Elettricità!Q339</f>
        <v>7</v>
      </c>
      <c r="K339" s="8">
        <f>Elettricità!R339</f>
        <v>7</v>
      </c>
      <c r="L339" s="8">
        <f>Elettricità!S339</f>
        <v>0</v>
      </c>
      <c r="M339" s="8">
        <f>Elettricità!T339</f>
        <v>0</v>
      </c>
      <c r="N339" s="8">
        <f>Elettricità!W339</f>
        <v>226.11</v>
      </c>
      <c r="O339" s="8">
        <f>Elettricità!X339</f>
        <v>275.85000000000002</v>
      </c>
      <c r="P339" s="8">
        <f>Elettricità!Y339</f>
        <v>0</v>
      </c>
      <c r="Q339" s="8">
        <f>Elettricità!Z339</f>
        <v>138.4</v>
      </c>
      <c r="R339" s="8">
        <f>Elettricità!AA339</f>
        <v>25.35</v>
      </c>
      <c r="S339" s="8">
        <f>Elettricità!AB339</f>
        <v>51.52</v>
      </c>
      <c r="T339" s="8">
        <f>Elettricità!AC339</f>
        <v>0</v>
      </c>
      <c r="U339" s="8">
        <f>Elettricità!AD339</f>
        <v>49.74</v>
      </c>
      <c r="V339" s="8">
        <f t="shared" si="78"/>
        <v>2024</v>
      </c>
      <c r="W339" s="8">
        <f>_xlfn.XLOOKUP(A339,Fabbricati!E:E,Fabbricati!D:D)</f>
        <v>346906944</v>
      </c>
      <c r="X339" s="9">
        <f t="shared" si="79"/>
        <v>45542</v>
      </c>
      <c r="Y339" s="9">
        <f t="shared" si="80"/>
        <v>45505</v>
      </c>
      <c r="Z339" s="9">
        <f t="shared" si="81"/>
        <v>45535</v>
      </c>
      <c r="AA339" s="8">
        <f t="shared" si="82"/>
        <v>31</v>
      </c>
      <c r="AB339" s="8">
        <f t="shared" si="83"/>
        <v>867</v>
      </c>
      <c r="AC339" s="12" t="s">
        <v>149</v>
      </c>
      <c r="AD339" s="11" t="str">
        <f t="shared" si="84"/>
        <v>69
267
531</v>
      </c>
      <c r="AE339" s="11" t="str">
        <f t="shared" si="85"/>
        <v>7
0
0</v>
      </c>
      <c r="AF339" s="11"/>
      <c r="AG339" s="11"/>
      <c r="AH339" s="8">
        <f t="shared" si="86"/>
        <v>76.87</v>
      </c>
      <c r="AI339" s="8">
        <f t="shared" si="87"/>
        <v>138.4</v>
      </c>
      <c r="AJ339" s="8">
        <f t="shared" si="88"/>
        <v>49.74</v>
      </c>
      <c r="AK339" s="8"/>
      <c r="AL339" s="8"/>
      <c r="AM339" s="8">
        <f t="shared" si="89"/>
        <v>0</v>
      </c>
      <c r="AN339" s="8">
        <f t="shared" si="90"/>
        <v>275.85000000000002</v>
      </c>
    </row>
    <row r="340" spans="1:40" ht="48" customHeight="1" x14ac:dyDescent="0.2">
      <c r="A340" s="8" t="str">
        <f>Elettricità!I340</f>
        <v>IT001E34690694</v>
      </c>
      <c r="B340" s="8" t="str">
        <f>Elettricità!A340</f>
        <v>005076347789.PDF</v>
      </c>
      <c r="C340" s="9">
        <f>Elettricità!E340</f>
        <v>45571</v>
      </c>
      <c r="D340" s="9">
        <f>Elettricità!K340</f>
        <v>45536</v>
      </c>
      <c r="E340" s="9">
        <f>Elettricità!L340</f>
        <v>45565</v>
      </c>
      <c r="F340" s="8">
        <f>Elettricità!M340</f>
        <v>943</v>
      </c>
      <c r="G340" s="8">
        <f>Elettricità!N340</f>
        <v>65</v>
      </c>
      <c r="H340" s="8">
        <f>Elettricità!O340</f>
        <v>341</v>
      </c>
      <c r="I340" s="8">
        <f>Elettricità!P340</f>
        <v>537</v>
      </c>
      <c r="J340" s="8">
        <f>Elettricità!Q340</f>
        <v>12</v>
      </c>
      <c r="K340" s="8">
        <f>Elettricità!R340</f>
        <v>6</v>
      </c>
      <c r="L340" s="8">
        <f>Elettricità!S340</f>
        <v>3</v>
      </c>
      <c r="M340" s="8">
        <f>Elettricità!T340</f>
        <v>3</v>
      </c>
      <c r="N340" s="8">
        <f>Elettricità!W340</f>
        <v>240.39</v>
      </c>
      <c r="O340" s="8">
        <f>Elettricità!X340</f>
        <v>293.27999999999997</v>
      </c>
      <c r="P340" s="8">
        <f>Elettricità!Y340</f>
        <v>0</v>
      </c>
      <c r="Q340" s="8">
        <f>Elettricità!Z340</f>
        <v>135.9</v>
      </c>
      <c r="R340" s="8">
        <f>Elettricità!AA340</f>
        <v>32.200000000000003</v>
      </c>
      <c r="S340" s="8">
        <f>Elettricità!AB340</f>
        <v>60.5</v>
      </c>
      <c r="T340" s="8">
        <f>Elettricità!AC340</f>
        <v>0</v>
      </c>
      <c r="U340" s="8">
        <f>Elettricità!AD340</f>
        <v>52.89</v>
      </c>
      <c r="V340" s="8">
        <f t="shared" si="78"/>
        <v>2024</v>
      </c>
      <c r="W340" s="8">
        <f>_xlfn.XLOOKUP(A340,Fabbricati!E:E,Fabbricati!D:D)</f>
        <v>346906944</v>
      </c>
      <c r="X340" s="9">
        <f t="shared" si="79"/>
        <v>45571</v>
      </c>
      <c r="Y340" s="9">
        <f t="shared" si="80"/>
        <v>45536</v>
      </c>
      <c r="Z340" s="9">
        <f t="shared" si="81"/>
        <v>45565</v>
      </c>
      <c r="AA340" s="8">
        <f t="shared" si="82"/>
        <v>30</v>
      </c>
      <c r="AB340" s="8">
        <f t="shared" si="83"/>
        <v>943</v>
      </c>
      <c r="AC340" s="12" t="s">
        <v>149</v>
      </c>
      <c r="AD340" s="11" t="str">
        <f t="shared" si="84"/>
        <v>65
341
537</v>
      </c>
      <c r="AE340" s="11" t="str">
        <f t="shared" si="85"/>
        <v>6
3
3</v>
      </c>
      <c r="AF340" s="11"/>
      <c r="AG340" s="11"/>
      <c r="AH340" s="8">
        <f t="shared" si="86"/>
        <v>92.7</v>
      </c>
      <c r="AI340" s="8">
        <f t="shared" si="87"/>
        <v>135.9</v>
      </c>
      <c r="AJ340" s="8">
        <f t="shared" si="88"/>
        <v>52.89</v>
      </c>
      <c r="AK340" s="8"/>
      <c r="AL340" s="8"/>
      <c r="AM340" s="8">
        <f t="shared" si="89"/>
        <v>0</v>
      </c>
      <c r="AN340" s="8">
        <f t="shared" si="90"/>
        <v>293.27999999999997</v>
      </c>
    </row>
    <row r="341" spans="1:40" ht="48" customHeight="1" x14ac:dyDescent="0.2">
      <c r="A341" s="8" t="str">
        <f>Elettricità!I341</f>
        <v>IT001E34690694</v>
      </c>
      <c r="B341" s="8" t="str">
        <f>Elettricità!A341</f>
        <v>005085485045(2).PDF</v>
      </c>
      <c r="C341" s="9">
        <f>Elettricità!E341</f>
        <v>45604</v>
      </c>
      <c r="D341" s="9">
        <f>Elettricità!K341</f>
        <v>45566</v>
      </c>
      <c r="E341" s="9">
        <f>Elettricità!L341</f>
        <v>45596</v>
      </c>
      <c r="F341" s="8">
        <f>Elettricità!M341</f>
        <v>941</v>
      </c>
      <c r="G341" s="8">
        <f>Elettricità!N341</f>
        <v>145</v>
      </c>
      <c r="H341" s="8">
        <f>Elettricità!O341</f>
        <v>355</v>
      </c>
      <c r="I341" s="8">
        <f>Elettricità!P341</f>
        <v>441</v>
      </c>
      <c r="J341" s="8">
        <f>Elettricità!Q341</f>
        <v>19</v>
      </c>
      <c r="K341" s="8">
        <f>Elettricità!R341</f>
        <v>17</v>
      </c>
      <c r="L341" s="8">
        <f>Elettricità!S341</f>
        <v>2</v>
      </c>
      <c r="M341" s="8">
        <f>Elettricità!T341</f>
        <v>0</v>
      </c>
      <c r="N341" s="8">
        <f>Elettricità!W341</f>
        <v>230.36</v>
      </c>
      <c r="O341" s="8">
        <f>Elettricità!X341</f>
        <v>281.04000000000002</v>
      </c>
      <c r="P341" s="8">
        <f>Elettricità!Y341</f>
        <v>0</v>
      </c>
      <c r="Q341" s="8">
        <f>Elettricità!Z341</f>
        <v>137.66999999999999</v>
      </c>
      <c r="R341" s="8">
        <f>Elettricità!AA341</f>
        <v>25.89</v>
      </c>
      <c r="S341" s="8">
        <f>Elettricità!AB341</f>
        <v>55.04</v>
      </c>
      <c r="T341" s="8">
        <f>Elettricità!AC341</f>
        <v>0</v>
      </c>
      <c r="U341" s="8">
        <f>Elettricità!AD341</f>
        <v>50.68</v>
      </c>
      <c r="V341" s="8">
        <f t="shared" si="78"/>
        <v>2024</v>
      </c>
      <c r="W341" s="8">
        <f>_xlfn.XLOOKUP(A341,Fabbricati!E:E,Fabbricati!D:D)</f>
        <v>346906944</v>
      </c>
      <c r="X341" s="9">
        <f t="shared" si="79"/>
        <v>45604</v>
      </c>
      <c r="Y341" s="9">
        <f t="shared" si="80"/>
        <v>45566</v>
      </c>
      <c r="Z341" s="9">
        <f t="shared" si="81"/>
        <v>45596</v>
      </c>
      <c r="AA341" s="8">
        <f t="shared" si="82"/>
        <v>31</v>
      </c>
      <c r="AB341" s="8">
        <f t="shared" si="83"/>
        <v>941</v>
      </c>
      <c r="AC341" s="12" t="s">
        <v>149</v>
      </c>
      <c r="AD341" s="11" t="str">
        <f t="shared" si="84"/>
        <v>145
355
441</v>
      </c>
      <c r="AE341" s="11" t="str">
        <f t="shared" si="85"/>
        <v>17
2
0</v>
      </c>
      <c r="AF341" s="11"/>
      <c r="AG341" s="11"/>
      <c r="AH341" s="8">
        <f t="shared" si="86"/>
        <v>80.930000000000007</v>
      </c>
      <c r="AI341" s="8">
        <f t="shared" si="87"/>
        <v>137.66999999999999</v>
      </c>
      <c r="AJ341" s="8">
        <f t="shared" si="88"/>
        <v>50.68</v>
      </c>
      <c r="AK341" s="8"/>
      <c r="AL341" s="8"/>
      <c r="AM341" s="8">
        <f t="shared" si="89"/>
        <v>0</v>
      </c>
      <c r="AN341" s="8">
        <f t="shared" si="90"/>
        <v>281.04000000000002</v>
      </c>
    </row>
    <row r="342" spans="1:40" ht="48" customHeight="1" x14ac:dyDescent="0.2">
      <c r="A342" s="8" t="str">
        <f>Elettricità!I342</f>
        <v>IT001E34690694</v>
      </c>
      <c r="B342" s="8" t="str">
        <f>Elettricità!A342</f>
        <v>005093369279.PDF</v>
      </c>
      <c r="C342" s="9">
        <f>Elettricità!E342</f>
        <v>45632</v>
      </c>
      <c r="D342" s="9">
        <f>Elettricità!K342</f>
        <v>45597</v>
      </c>
      <c r="E342" s="9">
        <f>Elettricità!L342</f>
        <v>45626</v>
      </c>
      <c r="F342" s="8">
        <f>Elettricità!M342</f>
        <v>1048</v>
      </c>
      <c r="G342" s="8">
        <f>Elettricità!N342</f>
        <v>204</v>
      </c>
      <c r="H342" s="8">
        <f>Elettricità!O342</f>
        <v>360</v>
      </c>
      <c r="I342" s="8">
        <f>Elettricità!P342</f>
        <v>484</v>
      </c>
      <c r="J342" s="8">
        <f>Elettricità!Q342</f>
        <v>15</v>
      </c>
      <c r="K342" s="8">
        <f>Elettricità!R342</f>
        <v>13</v>
      </c>
      <c r="L342" s="8">
        <f>Elettricità!S342</f>
        <v>1</v>
      </c>
      <c r="M342" s="8">
        <f>Elettricità!T342</f>
        <v>1</v>
      </c>
      <c r="N342" s="8">
        <f>Elettricità!W342</f>
        <v>266.92</v>
      </c>
      <c r="O342" s="8">
        <f>Elettricità!X342</f>
        <v>325.64</v>
      </c>
      <c r="P342" s="8">
        <f>Elettricità!Y342</f>
        <v>0</v>
      </c>
      <c r="Q342" s="8">
        <f>Elettricità!Z342</f>
        <v>168.56</v>
      </c>
      <c r="R342" s="8">
        <f>Elettricità!AA342</f>
        <v>26.06</v>
      </c>
      <c r="S342" s="8">
        <f>Elettricità!AB342</f>
        <v>59.2</v>
      </c>
      <c r="T342" s="8">
        <f>Elettricità!AC342</f>
        <v>0</v>
      </c>
      <c r="U342" s="8">
        <f>Elettricità!AD342</f>
        <v>58.72</v>
      </c>
      <c r="V342" s="8">
        <f t="shared" si="78"/>
        <v>2024</v>
      </c>
      <c r="W342" s="8">
        <f>_xlfn.XLOOKUP(A342,Fabbricati!E:E,Fabbricati!D:D)</f>
        <v>346906944</v>
      </c>
      <c r="X342" s="9">
        <f t="shared" si="79"/>
        <v>45632</v>
      </c>
      <c r="Y342" s="9">
        <f t="shared" si="80"/>
        <v>45597</v>
      </c>
      <c r="Z342" s="9">
        <f t="shared" si="81"/>
        <v>45626</v>
      </c>
      <c r="AA342" s="8">
        <f t="shared" si="82"/>
        <v>30</v>
      </c>
      <c r="AB342" s="8">
        <f t="shared" si="83"/>
        <v>1048</v>
      </c>
      <c r="AC342" s="12" t="s">
        <v>149</v>
      </c>
      <c r="AD342" s="11" t="str">
        <f t="shared" si="84"/>
        <v>204
360
484</v>
      </c>
      <c r="AE342" s="11" t="str">
        <f t="shared" si="85"/>
        <v>13
1
1</v>
      </c>
      <c r="AF342" s="11"/>
      <c r="AG342" s="11"/>
      <c r="AH342" s="8">
        <f t="shared" si="86"/>
        <v>85.26</v>
      </c>
      <c r="AI342" s="8">
        <f t="shared" si="87"/>
        <v>168.56</v>
      </c>
      <c r="AJ342" s="8">
        <f t="shared" si="88"/>
        <v>58.72</v>
      </c>
      <c r="AK342" s="8"/>
      <c r="AL342" s="8"/>
      <c r="AM342" s="8">
        <f t="shared" si="89"/>
        <v>0</v>
      </c>
      <c r="AN342" s="8">
        <f t="shared" si="90"/>
        <v>325.64</v>
      </c>
    </row>
    <row r="343" spans="1:40" ht="48" customHeight="1" x14ac:dyDescent="0.2">
      <c r="A343" s="8" t="str">
        <f>Elettricità!I343</f>
        <v>IT001E34690694</v>
      </c>
      <c r="B343" s="8" t="str">
        <f>Elettricità!A343</f>
        <v>005200218692.PDF</v>
      </c>
      <c r="C343" s="9">
        <f>Elettricità!E343</f>
        <v>45665</v>
      </c>
      <c r="D343" s="9">
        <f>Elettricità!K343</f>
        <v>45627</v>
      </c>
      <c r="E343" s="9">
        <f>Elettricità!L343</f>
        <v>45657</v>
      </c>
      <c r="F343" s="8">
        <f>Elettricità!M343</f>
        <v>1519</v>
      </c>
      <c r="G343" s="8">
        <f>Elettricità!N343</f>
        <v>254</v>
      </c>
      <c r="H343" s="8">
        <f>Elettricità!O343</f>
        <v>444</v>
      </c>
      <c r="I343" s="8">
        <f>Elettricità!P343</f>
        <v>821</v>
      </c>
      <c r="J343" s="8">
        <f>Elettricità!Q343</f>
        <v>9</v>
      </c>
      <c r="K343" s="8">
        <f>Elettricità!R343</f>
        <v>8</v>
      </c>
      <c r="L343" s="8">
        <f>Elettricità!S343</f>
        <v>1</v>
      </c>
      <c r="M343" s="8">
        <f>Elettricità!T343</f>
        <v>0</v>
      </c>
      <c r="N343" s="8">
        <f>Elettricità!W343</f>
        <v>400.41</v>
      </c>
      <c r="O343" s="8">
        <f>Elettricità!X343</f>
        <v>488.5</v>
      </c>
      <c r="P343" s="8">
        <f>Elettricità!Y343</f>
        <v>0</v>
      </c>
      <c r="Q343" s="8">
        <f>Elettricità!Z343</f>
        <v>251.25</v>
      </c>
      <c r="R343" s="8">
        <f>Elettricità!AA343</f>
        <v>41.12</v>
      </c>
      <c r="S343" s="8">
        <f>Elettricità!AB343</f>
        <v>89.05</v>
      </c>
      <c r="T343" s="8">
        <f>Elettricità!AC343</f>
        <v>0</v>
      </c>
      <c r="U343" s="8">
        <f>Elettricità!AD343</f>
        <v>88.09</v>
      </c>
      <c r="V343" s="8">
        <f t="shared" si="78"/>
        <v>2024</v>
      </c>
      <c r="W343" s="8">
        <f>_xlfn.XLOOKUP(A343,Fabbricati!E:E,Fabbricati!D:D)</f>
        <v>346906944</v>
      </c>
      <c r="X343" s="9">
        <f t="shared" si="79"/>
        <v>45665</v>
      </c>
      <c r="Y343" s="9">
        <f t="shared" si="80"/>
        <v>45627</v>
      </c>
      <c r="Z343" s="9">
        <f t="shared" si="81"/>
        <v>45657</v>
      </c>
      <c r="AA343" s="8">
        <f t="shared" si="82"/>
        <v>31</v>
      </c>
      <c r="AB343" s="8">
        <f t="shared" si="83"/>
        <v>1519</v>
      </c>
      <c r="AC343" s="12" t="s">
        <v>149</v>
      </c>
      <c r="AD343" s="11" t="str">
        <f t="shared" si="84"/>
        <v>254
444
821</v>
      </c>
      <c r="AE343" s="11" t="str">
        <f t="shared" si="85"/>
        <v>8
1
0</v>
      </c>
      <c r="AF343" s="11"/>
      <c r="AG343" s="11"/>
      <c r="AH343" s="8">
        <f t="shared" si="86"/>
        <v>130.16999999999999</v>
      </c>
      <c r="AI343" s="8">
        <f t="shared" si="87"/>
        <v>251.25</v>
      </c>
      <c r="AJ343" s="8">
        <f t="shared" si="88"/>
        <v>88.09</v>
      </c>
      <c r="AK343" s="8"/>
      <c r="AL343" s="8"/>
      <c r="AM343" s="8">
        <f t="shared" si="89"/>
        <v>0</v>
      </c>
      <c r="AN343" s="8">
        <f t="shared" si="90"/>
        <v>488.5</v>
      </c>
    </row>
    <row r="344" spans="1:40" ht="48" customHeight="1" x14ac:dyDescent="0.2">
      <c r="A344" s="8" t="str">
        <f>Elettricità!I344</f>
        <v>IT001E38235400</v>
      </c>
      <c r="B344" s="8" t="str">
        <f>Elettricità!A344</f>
        <v>SIU_FE000120240004101157(2).pdf</v>
      </c>
      <c r="C344" s="9">
        <f>Elettricità!E344</f>
        <v>0</v>
      </c>
      <c r="D344" s="9">
        <f>Elettricità!K344</f>
        <v>45597</v>
      </c>
      <c r="E344" s="9">
        <f>Elettricità!L344</f>
        <v>45626</v>
      </c>
      <c r="F344" s="8">
        <f>Elettricità!M344</f>
        <v>218</v>
      </c>
      <c r="G344" s="8">
        <f>Elettricità!N344</f>
        <v>0</v>
      </c>
      <c r="H344" s="8">
        <f>Elettricità!O344</f>
        <v>0</v>
      </c>
      <c r="I344" s="8">
        <f>Elettricità!P344</f>
        <v>0</v>
      </c>
      <c r="J344" s="8">
        <f>Elettricità!Q344</f>
        <v>0</v>
      </c>
      <c r="K344" s="8">
        <f>Elettricità!R344</f>
        <v>0</v>
      </c>
      <c r="L344" s="8">
        <f>Elettricità!S344</f>
        <v>0</v>
      </c>
      <c r="M344" s="8">
        <f>Elettricità!T344</f>
        <v>0</v>
      </c>
      <c r="N344" s="8">
        <f>Elettricità!W344</f>
        <v>70.19</v>
      </c>
      <c r="O344" s="8">
        <f>Elettricità!X344</f>
        <v>0</v>
      </c>
      <c r="P344" s="8">
        <f>Elettricità!Y344</f>
        <v>0</v>
      </c>
      <c r="Q344" s="8">
        <f>Elettricità!Z344</f>
        <v>35.81</v>
      </c>
      <c r="R344" s="8">
        <f>Elettricità!AA344</f>
        <v>12.54</v>
      </c>
      <c r="S344" s="8">
        <f>Elettricità!AB344</f>
        <v>19.11</v>
      </c>
      <c r="T344" s="8">
        <f>Elettricità!AC344</f>
        <v>0</v>
      </c>
      <c r="U344" s="8">
        <f>Elettricità!AD344</f>
        <v>2.73</v>
      </c>
      <c r="V344" s="8">
        <f t="shared" si="78"/>
        <v>2024</v>
      </c>
      <c r="W344" s="8" t="e">
        <f>_xlfn.XLOOKUP(A344,Fabbricati!E:E,Fabbricati!D:D)</f>
        <v>#N/A</v>
      </c>
      <c r="X344" s="9">
        <f t="shared" si="79"/>
        <v>0</v>
      </c>
      <c r="Y344" s="9">
        <f t="shared" si="80"/>
        <v>45597</v>
      </c>
      <c r="Z344" s="9">
        <f t="shared" si="81"/>
        <v>45626</v>
      </c>
      <c r="AA344" s="8">
        <f t="shared" si="82"/>
        <v>30</v>
      </c>
      <c r="AB344" s="8">
        <f t="shared" si="83"/>
        <v>218</v>
      </c>
      <c r="AC344" s="12" t="s">
        <v>149</v>
      </c>
      <c r="AD344" s="11" t="str">
        <f t="shared" si="84"/>
        <v>0
0
0</v>
      </c>
      <c r="AE344" s="11" t="str">
        <f t="shared" si="85"/>
        <v>0
0
0</v>
      </c>
      <c r="AF344" s="11"/>
      <c r="AG344" s="11"/>
      <c r="AH344" s="8">
        <f t="shared" si="86"/>
        <v>31.65</v>
      </c>
      <c r="AI344" s="8">
        <f t="shared" si="87"/>
        <v>35.81</v>
      </c>
      <c r="AJ344" s="8">
        <f t="shared" si="88"/>
        <v>2.73</v>
      </c>
      <c r="AK344" s="8"/>
      <c r="AL344" s="8"/>
      <c r="AM344" s="8">
        <f t="shared" si="89"/>
        <v>0</v>
      </c>
      <c r="AN344" s="8">
        <f t="shared" si="90"/>
        <v>0</v>
      </c>
    </row>
    <row r="345" spans="1:40" ht="48" customHeight="1" x14ac:dyDescent="0.2">
      <c r="A345" s="8" t="str">
        <f>Elettricità!I345</f>
        <v>IT001E38235404</v>
      </c>
      <c r="B345" s="8" t="str">
        <f>Elettricità!A345</f>
        <v>SIU_FE000120240004102484(5).pdf</v>
      </c>
      <c r="C345" s="9">
        <f>Elettricità!E345</f>
        <v>0</v>
      </c>
      <c r="D345" s="9">
        <f>Elettricità!K345</f>
        <v>45597</v>
      </c>
      <c r="E345" s="9">
        <f>Elettricità!L345</f>
        <v>45626</v>
      </c>
      <c r="F345" s="8">
        <f>Elettricità!M345</f>
        <v>203</v>
      </c>
      <c r="G345" s="8">
        <f>Elettricità!N345</f>
        <v>0</v>
      </c>
      <c r="H345" s="8">
        <f>Elettricità!O345</f>
        <v>0</v>
      </c>
      <c r="I345" s="8">
        <f>Elettricità!P345</f>
        <v>0</v>
      </c>
      <c r="J345" s="8">
        <f>Elettricità!Q345</f>
        <v>0</v>
      </c>
      <c r="K345" s="8">
        <f>Elettricità!R345</f>
        <v>0</v>
      </c>
      <c r="L345" s="8">
        <f>Elettricità!S345</f>
        <v>0</v>
      </c>
      <c r="M345" s="8">
        <f>Elettricità!T345</f>
        <v>0</v>
      </c>
      <c r="N345" s="8">
        <f>Elettricità!W345</f>
        <v>67.09</v>
      </c>
      <c r="O345" s="8">
        <f>Elettricità!X345</f>
        <v>0</v>
      </c>
      <c r="P345" s="8">
        <f>Elettricità!Y345</f>
        <v>0</v>
      </c>
      <c r="Q345" s="8">
        <f>Elettricità!Z345</f>
        <v>33.81</v>
      </c>
      <c r="R345" s="8">
        <f>Elettricità!AA345</f>
        <v>12.35</v>
      </c>
      <c r="S345" s="8">
        <f>Elettricità!AB345</f>
        <v>18.39</v>
      </c>
      <c r="T345" s="8">
        <f>Elettricità!AC345</f>
        <v>0</v>
      </c>
      <c r="U345" s="8">
        <f>Elettricità!AD345</f>
        <v>2.54</v>
      </c>
      <c r="V345" s="8">
        <f t="shared" si="78"/>
        <v>2024</v>
      </c>
      <c r="W345" s="8" t="e">
        <f>_xlfn.XLOOKUP(A345,Fabbricati!E:E,Fabbricati!D:D)</f>
        <v>#N/A</v>
      </c>
      <c r="X345" s="9">
        <f t="shared" si="79"/>
        <v>0</v>
      </c>
      <c r="Y345" s="9">
        <f t="shared" si="80"/>
        <v>45597</v>
      </c>
      <c r="Z345" s="9">
        <f t="shared" si="81"/>
        <v>45626</v>
      </c>
      <c r="AA345" s="8">
        <f t="shared" si="82"/>
        <v>30</v>
      </c>
      <c r="AB345" s="8">
        <f t="shared" si="83"/>
        <v>203</v>
      </c>
      <c r="AC345" s="12" t="s">
        <v>149</v>
      </c>
      <c r="AD345" s="11" t="str">
        <f t="shared" si="84"/>
        <v>0
0
0</v>
      </c>
      <c r="AE345" s="11" t="str">
        <f t="shared" si="85"/>
        <v>0
0
0</v>
      </c>
      <c r="AF345" s="11"/>
      <c r="AG345" s="11"/>
      <c r="AH345" s="8">
        <f t="shared" si="86"/>
        <v>30.740000000000002</v>
      </c>
      <c r="AI345" s="8">
        <f t="shared" si="87"/>
        <v>33.81</v>
      </c>
      <c r="AJ345" s="8">
        <f t="shared" si="88"/>
        <v>2.54</v>
      </c>
      <c r="AK345" s="8"/>
      <c r="AL345" s="8"/>
      <c r="AM345" s="8">
        <f t="shared" si="89"/>
        <v>0</v>
      </c>
      <c r="AN345" s="8">
        <f t="shared" si="90"/>
        <v>0</v>
      </c>
    </row>
    <row r="346" spans="1:40" ht="48" customHeight="1" x14ac:dyDescent="0.2">
      <c r="A346" s="8"/>
      <c r="B346" s="8"/>
      <c r="C346" s="9"/>
      <c r="D346" s="9"/>
      <c r="E346" s="9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  <c r="V346" s="8"/>
      <c r="W346" s="8"/>
      <c r="X346" s="9"/>
      <c r="Y346" s="9"/>
      <c r="Z346" s="9"/>
      <c r="AA346" s="8"/>
      <c r="AB346" s="8"/>
      <c r="AC346" s="12"/>
      <c r="AD346" s="11"/>
      <c r="AE346" s="11"/>
      <c r="AF346" s="11"/>
      <c r="AG346" s="11"/>
      <c r="AH346" s="8"/>
      <c r="AI346" s="8"/>
      <c r="AJ346" s="8"/>
      <c r="AK346" s="8"/>
      <c r="AL346" s="8"/>
      <c r="AM346" s="8"/>
      <c r="AN346" s="8"/>
    </row>
    <row r="347" spans="1:40" ht="48" customHeight="1" x14ac:dyDescent="0.2">
      <c r="A347" s="8"/>
      <c r="B347" s="8"/>
      <c r="C347" s="9"/>
      <c r="D347" s="9"/>
      <c r="E347" s="9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  <c r="V347" s="8"/>
      <c r="W347" s="8"/>
      <c r="X347" s="9"/>
      <c r="Y347" s="9"/>
      <c r="Z347" s="9"/>
      <c r="AA347" s="8"/>
      <c r="AB347" s="8"/>
      <c r="AC347" s="12"/>
      <c r="AD347" s="11"/>
      <c r="AE347" s="11"/>
      <c r="AF347" s="11"/>
      <c r="AG347" s="11"/>
      <c r="AH347" s="8"/>
      <c r="AI347" s="8"/>
      <c r="AJ347" s="8"/>
      <c r="AK347" s="8"/>
      <c r="AL347" s="8"/>
      <c r="AM347" s="8"/>
      <c r="AN347" s="8"/>
    </row>
    <row r="348" spans="1:40" ht="48" customHeight="1" x14ac:dyDescent="0.2">
      <c r="A348" s="8"/>
      <c r="B348" s="8"/>
      <c r="C348" s="9"/>
      <c r="D348" s="9"/>
      <c r="E348" s="9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  <c r="V348" s="8"/>
      <c r="W348" s="8"/>
      <c r="X348" s="9"/>
      <c r="Y348" s="9"/>
      <c r="Z348" s="9"/>
      <c r="AA348" s="8"/>
      <c r="AB348" s="8"/>
      <c r="AC348" s="12"/>
      <c r="AD348" s="11"/>
      <c r="AE348" s="11"/>
      <c r="AF348" s="11"/>
      <c r="AG348" s="11"/>
      <c r="AH348" s="8"/>
      <c r="AI348" s="8"/>
      <c r="AJ348" s="8"/>
      <c r="AK348" s="8"/>
      <c r="AL348" s="8"/>
      <c r="AM348" s="8"/>
      <c r="AN348" s="8"/>
    </row>
    <row r="349" spans="1:40" ht="48" customHeight="1" x14ac:dyDescent="0.2">
      <c r="A349" s="8"/>
      <c r="B349" s="8"/>
      <c r="C349" s="9"/>
      <c r="D349" s="9"/>
      <c r="E349" s="9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  <c r="V349" s="8"/>
      <c r="W349" s="8"/>
      <c r="X349" s="9"/>
      <c r="Y349" s="9"/>
      <c r="Z349" s="9"/>
      <c r="AA349" s="8"/>
      <c r="AB349" s="8"/>
      <c r="AC349" s="12"/>
      <c r="AD349" s="11"/>
      <c r="AE349" s="11"/>
      <c r="AF349" s="11"/>
      <c r="AG349" s="11"/>
      <c r="AH349" s="8"/>
      <c r="AI349" s="8"/>
      <c r="AJ349" s="8"/>
      <c r="AK349" s="8"/>
      <c r="AL349" s="8"/>
      <c r="AM349" s="8"/>
      <c r="AN349" s="8"/>
    </row>
    <row r="350" spans="1:40" ht="48" customHeight="1" x14ac:dyDescent="0.2">
      <c r="A350" s="8"/>
      <c r="B350" s="8"/>
      <c r="C350" s="9"/>
      <c r="D350" s="9"/>
      <c r="E350" s="9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  <c r="V350" s="8"/>
      <c r="W350" s="8"/>
      <c r="X350" s="9"/>
      <c r="Y350" s="9"/>
      <c r="Z350" s="9"/>
      <c r="AA350" s="8"/>
      <c r="AB350" s="8"/>
      <c r="AC350" s="12"/>
      <c r="AD350" s="11"/>
      <c r="AE350" s="11"/>
      <c r="AF350" s="11"/>
      <c r="AG350" s="11"/>
      <c r="AH350" s="8"/>
      <c r="AI350" s="8"/>
      <c r="AJ350" s="8"/>
      <c r="AK350" s="8"/>
      <c r="AL350" s="8"/>
      <c r="AM350" s="8"/>
      <c r="AN350" s="8"/>
    </row>
    <row r="351" spans="1:40" ht="48" customHeight="1" x14ac:dyDescent="0.2">
      <c r="A351" s="8"/>
      <c r="B351" s="8"/>
      <c r="C351" s="9"/>
      <c r="D351" s="9"/>
      <c r="E351" s="9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  <c r="V351" s="8"/>
      <c r="W351" s="8"/>
      <c r="X351" s="9"/>
      <c r="Y351" s="9"/>
      <c r="Z351" s="9"/>
      <c r="AA351" s="8"/>
      <c r="AB351" s="8"/>
      <c r="AC351" s="12"/>
      <c r="AD351" s="11"/>
      <c r="AE351" s="11"/>
      <c r="AF351" s="11"/>
      <c r="AG351" s="11"/>
      <c r="AH351" s="8"/>
      <c r="AI351" s="8"/>
      <c r="AJ351" s="8"/>
      <c r="AK351" s="8"/>
      <c r="AL351" s="8"/>
      <c r="AM351" s="8"/>
      <c r="AN351" s="8"/>
    </row>
    <row r="352" spans="1:40" ht="48" customHeight="1" x14ac:dyDescent="0.2">
      <c r="A352" s="8"/>
      <c r="B352" s="8"/>
      <c r="C352" s="9"/>
      <c r="D352" s="9"/>
      <c r="E352" s="9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  <c r="V352" s="8"/>
      <c r="W352" s="8"/>
      <c r="X352" s="9"/>
      <c r="Y352" s="9"/>
      <c r="Z352" s="9"/>
      <c r="AA352" s="8"/>
      <c r="AB352" s="8"/>
      <c r="AC352" s="12"/>
      <c r="AD352" s="11"/>
      <c r="AE352" s="11"/>
      <c r="AF352" s="11"/>
      <c r="AG352" s="11"/>
      <c r="AH352" s="8"/>
      <c r="AI352" s="8"/>
      <c r="AJ352" s="8"/>
      <c r="AK352" s="8"/>
      <c r="AL352" s="8"/>
      <c r="AM352" s="8"/>
      <c r="AN352" s="8"/>
    </row>
    <row r="353" spans="1:40" ht="48" customHeight="1" x14ac:dyDescent="0.2">
      <c r="A353" s="8"/>
      <c r="B353" s="8"/>
      <c r="C353" s="9"/>
      <c r="D353" s="9"/>
      <c r="E353" s="9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  <c r="V353" s="8"/>
      <c r="W353" s="8"/>
      <c r="X353" s="9"/>
      <c r="Y353" s="9"/>
      <c r="Z353" s="9"/>
      <c r="AA353" s="8"/>
      <c r="AB353" s="8"/>
      <c r="AC353" s="12"/>
      <c r="AD353" s="11"/>
      <c r="AE353" s="11"/>
      <c r="AF353" s="11"/>
      <c r="AG353" s="11"/>
      <c r="AH353" s="8"/>
      <c r="AI353" s="8"/>
      <c r="AJ353" s="8"/>
      <c r="AK353" s="8"/>
      <c r="AL353" s="8"/>
      <c r="AM353" s="8"/>
      <c r="AN353" s="8"/>
    </row>
    <row r="354" spans="1:40" ht="48" customHeight="1" x14ac:dyDescent="0.2">
      <c r="A354" s="8"/>
      <c r="B354" s="8"/>
      <c r="C354" s="9"/>
      <c r="D354" s="9"/>
      <c r="E354" s="9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  <c r="V354" s="8"/>
      <c r="W354" s="8"/>
      <c r="X354" s="9"/>
      <c r="Y354" s="9"/>
      <c r="Z354" s="9"/>
      <c r="AA354" s="8"/>
      <c r="AB354" s="8"/>
      <c r="AC354" s="12"/>
      <c r="AD354" s="11"/>
      <c r="AE354" s="11"/>
      <c r="AF354" s="11"/>
      <c r="AG354" s="11"/>
      <c r="AH354" s="8"/>
      <c r="AI354" s="8"/>
      <c r="AJ354" s="8"/>
      <c r="AK354" s="8"/>
      <c r="AL354" s="8"/>
      <c r="AM354" s="8"/>
      <c r="AN354" s="8"/>
    </row>
    <row r="355" spans="1:40" ht="48" customHeight="1" x14ac:dyDescent="0.2">
      <c r="A355" s="8"/>
      <c r="B355" s="8"/>
      <c r="C355" s="9"/>
      <c r="D355" s="9"/>
      <c r="E355" s="9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  <c r="V355" s="8"/>
      <c r="W355" s="8"/>
      <c r="X355" s="9"/>
      <c r="Y355" s="9"/>
      <c r="Z355" s="9"/>
      <c r="AA355" s="8"/>
      <c r="AB355" s="8"/>
      <c r="AC355" s="12"/>
      <c r="AD355" s="11"/>
      <c r="AE355" s="11"/>
      <c r="AF355" s="11"/>
      <c r="AG355" s="11"/>
      <c r="AH355" s="8"/>
      <c r="AI355" s="8"/>
      <c r="AJ355" s="8"/>
      <c r="AK355" s="8"/>
      <c r="AL355" s="8"/>
      <c r="AM355" s="8"/>
      <c r="AN355" s="8"/>
    </row>
    <row r="356" spans="1:40" ht="48" customHeight="1" x14ac:dyDescent="0.2">
      <c r="A356" s="8"/>
      <c r="B356" s="8"/>
      <c r="C356" s="9"/>
      <c r="D356" s="9"/>
      <c r="E356" s="9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  <c r="V356" s="8"/>
      <c r="W356" s="8"/>
      <c r="X356" s="9"/>
      <c r="Y356" s="9"/>
      <c r="Z356" s="9"/>
      <c r="AA356" s="8"/>
      <c r="AB356" s="8"/>
      <c r="AC356" s="12"/>
      <c r="AD356" s="11"/>
      <c r="AE356" s="11"/>
      <c r="AF356" s="11"/>
      <c r="AG356" s="11"/>
      <c r="AH356" s="8"/>
      <c r="AI356" s="8"/>
      <c r="AJ356" s="8"/>
      <c r="AK356" s="8"/>
      <c r="AL356" s="8"/>
      <c r="AM356" s="8"/>
      <c r="AN356" s="8"/>
    </row>
    <row r="357" spans="1:40" ht="48" customHeight="1" x14ac:dyDescent="0.2">
      <c r="A357" s="8"/>
      <c r="B357" s="8"/>
      <c r="C357" s="9"/>
      <c r="D357" s="9"/>
      <c r="E357" s="9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  <c r="V357" s="8"/>
      <c r="W357" s="8"/>
      <c r="X357" s="9"/>
      <c r="Y357" s="9"/>
      <c r="Z357" s="9"/>
      <c r="AA357" s="8"/>
      <c r="AB357" s="8"/>
      <c r="AC357" s="12"/>
      <c r="AD357" s="11"/>
      <c r="AE357" s="11"/>
      <c r="AF357" s="11"/>
      <c r="AG357" s="11"/>
      <c r="AH357" s="8"/>
      <c r="AI357" s="8"/>
      <c r="AJ357" s="8"/>
      <c r="AK357" s="8"/>
      <c r="AL357" s="8"/>
      <c r="AM357" s="8"/>
      <c r="AN357" s="8"/>
    </row>
    <row r="358" spans="1:40" ht="48" customHeight="1" x14ac:dyDescent="0.2">
      <c r="A358" s="8"/>
      <c r="B358" s="8"/>
      <c r="C358" s="9"/>
      <c r="D358" s="9"/>
      <c r="E358" s="9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  <c r="V358" s="8"/>
      <c r="W358" s="8"/>
      <c r="X358" s="9"/>
      <c r="Y358" s="9"/>
      <c r="Z358" s="9"/>
      <c r="AA358" s="8"/>
      <c r="AB358" s="8"/>
      <c r="AC358" s="12"/>
      <c r="AD358" s="11"/>
      <c r="AE358" s="11"/>
      <c r="AF358" s="11"/>
      <c r="AG358" s="11"/>
      <c r="AH358" s="8"/>
      <c r="AI358" s="8"/>
      <c r="AJ358" s="8"/>
      <c r="AK358" s="8"/>
      <c r="AL358" s="8"/>
      <c r="AM358" s="8"/>
      <c r="AN358" s="8"/>
    </row>
    <row r="359" spans="1:40" ht="48" customHeight="1" x14ac:dyDescent="0.2">
      <c r="A359" s="8"/>
      <c r="B359" s="8"/>
      <c r="C359" s="9"/>
      <c r="D359" s="9"/>
      <c r="E359" s="9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  <c r="V359" s="8"/>
      <c r="W359" s="8"/>
      <c r="X359" s="9"/>
      <c r="Y359" s="9"/>
      <c r="Z359" s="9"/>
      <c r="AA359" s="8"/>
      <c r="AB359" s="8"/>
      <c r="AC359" s="12"/>
      <c r="AD359" s="11"/>
      <c r="AE359" s="11"/>
      <c r="AF359" s="11"/>
      <c r="AG359" s="11"/>
      <c r="AH359" s="8"/>
      <c r="AI359" s="8"/>
      <c r="AJ359" s="8"/>
      <c r="AK359" s="8"/>
      <c r="AL359" s="8"/>
      <c r="AM359" s="8"/>
      <c r="AN359" s="8"/>
    </row>
    <row r="360" spans="1:40" ht="48" customHeight="1" x14ac:dyDescent="0.2">
      <c r="A360" s="8"/>
      <c r="B360" s="8"/>
      <c r="C360" s="9"/>
      <c r="D360" s="9"/>
      <c r="E360" s="9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  <c r="V360" s="8"/>
      <c r="W360" s="8"/>
      <c r="X360" s="9"/>
      <c r="Y360" s="9"/>
      <c r="Z360" s="9"/>
      <c r="AA360" s="8"/>
      <c r="AB360" s="8"/>
      <c r="AC360" s="12"/>
      <c r="AD360" s="11"/>
      <c r="AE360" s="11"/>
      <c r="AF360" s="11"/>
      <c r="AG360" s="11"/>
      <c r="AH360" s="8"/>
      <c r="AI360" s="8"/>
      <c r="AJ360" s="8"/>
      <c r="AK360" s="8"/>
      <c r="AL360" s="8"/>
      <c r="AM360" s="8"/>
      <c r="AN360" s="8"/>
    </row>
    <row r="361" spans="1:40" ht="48" customHeight="1" x14ac:dyDescent="0.2">
      <c r="A361" s="8"/>
      <c r="B361" s="8"/>
      <c r="C361" s="9"/>
      <c r="D361" s="9"/>
      <c r="E361" s="9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  <c r="V361" s="8"/>
      <c r="W361" s="8"/>
      <c r="X361" s="9"/>
      <c r="Y361" s="9"/>
      <c r="Z361" s="9"/>
      <c r="AA361" s="8"/>
      <c r="AB361" s="8"/>
      <c r="AC361" s="12"/>
      <c r="AD361" s="11"/>
      <c r="AE361" s="11"/>
      <c r="AF361" s="11"/>
      <c r="AG361" s="11"/>
      <c r="AH361" s="8"/>
      <c r="AI361" s="8"/>
      <c r="AJ361" s="8"/>
      <c r="AK361" s="8"/>
      <c r="AL361" s="8"/>
      <c r="AM361" s="8"/>
      <c r="AN361" s="8"/>
    </row>
    <row r="362" spans="1:40" ht="48" customHeight="1" x14ac:dyDescent="0.2">
      <c r="A362" s="8"/>
      <c r="B362" s="8"/>
      <c r="C362" s="9"/>
      <c r="D362" s="9"/>
      <c r="E362" s="9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  <c r="V362" s="8"/>
      <c r="W362" s="8"/>
      <c r="X362" s="9"/>
      <c r="Y362" s="9"/>
      <c r="Z362" s="9"/>
      <c r="AA362" s="8"/>
      <c r="AB362" s="8"/>
      <c r="AC362" s="12"/>
      <c r="AD362" s="11"/>
      <c r="AE362" s="11"/>
      <c r="AF362" s="11"/>
      <c r="AG362" s="11"/>
      <c r="AH362" s="8"/>
      <c r="AI362" s="8"/>
      <c r="AJ362" s="8"/>
      <c r="AK362" s="8"/>
      <c r="AL362" s="8"/>
      <c r="AM362" s="8"/>
      <c r="AN362" s="8"/>
    </row>
    <row r="363" spans="1:40" ht="48" customHeight="1" x14ac:dyDescent="0.2">
      <c r="A363" s="8"/>
      <c r="B363" s="8"/>
      <c r="C363" s="9"/>
      <c r="D363" s="9"/>
      <c r="E363" s="9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  <c r="V363" s="8"/>
      <c r="W363" s="8"/>
      <c r="X363" s="9"/>
      <c r="Y363" s="9"/>
      <c r="Z363" s="9"/>
      <c r="AA363" s="8"/>
      <c r="AB363" s="8"/>
      <c r="AC363" s="12"/>
      <c r="AD363" s="11"/>
      <c r="AE363" s="11"/>
      <c r="AF363" s="11"/>
      <c r="AG363" s="11"/>
      <c r="AH363" s="8"/>
      <c r="AI363" s="8"/>
      <c r="AJ363" s="8"/>
      <c r="AK363" s="8"/>
      <c r="AL363" s="8"/>
      <c r="AM363" s="8"/>
      <c r="AN363" s="8"/>
    </row>
    <row r="364" spans="1:40" ht="48" customHeight="1" x14ac:dyDescent="0.2">
      <c r="A364" s="8"/>
      <c r="B364" s="8"/>
      <c r="C364" s="9"/>
      <c r="D364" s="9"/>
      <c r="E364" s="9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  <c r="V364" s="8"/>
      <c r="W364" s="8"/>
      <c r="X364" s="9"/>
      <c r="Y364" s="9"/>
      <c r="Z364" s="9"/>
      <c r="AA364" s="8"/>
      <c r="AB364" s="8"/>
      <c r="AC364" s="12"/>
      <c r="AD364" s="11"/>
      <c r="AE364" s="11"/>
      <c r="AF364" s="11"/>
      <c r="AG364" s="11"/>
      <c r="AH364" s="8"/>
      <c r="AI364" s="8"/>
      <c r="AJ364" s="8"/>
      <c r="AK364" s="8"/>
      <c r="AL364" s="8"/>
      <c r="AM364" s="8"/>
      <c r="AN364" s="8"/>
    </row>
    <row r="365" spans="1:40" ht="48" customHeight="1" x14ac:dyDescent="0.2">
      <c r="A365" s="8"/>
      <c r="B365" s="8"/>
      <c r="C365" s="9"/>
      <c r="D365" s="9"/>
      <c r="E365" s="9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  <c r="V365" s="8"/>
      <c r="W365" s="8"/>
      <c r="X365" s="9"/>
      <c r="Y365" s="9"/>
      <c r="Z365" s="9"/>
      <c r="AA365" s="8"/>
      <c r="AB365" s="8"/>
      <c r="AC365" s="12"/>
      <c r="AD365" s="11"/>
      <c r="AE365" s="11"/>
      <c r="AF365" s="11"/>
      <c r="AG365" s="11"/>
      <c r="AH365" s="8"/>
      <c r="AI365" s="8"/>
      <c r="AJ365" s="8"/>
      <c r="AK365" s="8"/>
      <c r="AL365" s="8"/>
      <c r="AM365" s="8"/>
      <c r="AN365" s="8"/>
    </row>
    <row r="366" spans="1:40" ht="48" customHeight="1" x14ac:dyDescent="0.2">
      <c r="A366" s="8"/>
      <c r="B366" s="8"/>
      <c r="C366" s="9"/>
      <c r="D366" s="9"/>
      <c r="E366" s="9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  <c r="V366" s="8"/>
      <c r="W366" s="8"/>
      <c r="X366" s="9"/>
      <c r="Y366" s="9"/>
      <c r="Z366" s="9"/>
      <c r="AA366" s="8"/>
      <c r="AB366" s="8"/>
      <c r="AC366" s="12"/>
      <c r="AD366" s="11"/>
      <c r="AE366" s="11"/>
      <c r="AF366" s="11"/>
      <c r="AG366" s="11"/>
      <c r="AH366" s="8"/>
      <c r="AI366" s="8"/>
      <c r="AJ366" s="8"/>
      <c r="AK366" s="8"/>
      <c r="AL366" s="8"/>
      <c r="AM366" s="8"/>
      <c r="AN366" s="8"/>
    </row>
    <row r="367" spans="1:40" ht="48" customHeight="1" x14ac:dyDescent="0.2">
      <c r="A367" s="8"/>
      <c r="B367" s="8"/>
      <c r="C367" s="9"/>
      <c r="D367" s="9"/>
      <c r="E367" s="9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9"/>
      <c r="Y367" s="9"/>
      <c r="Z367" s="9"/>
      <c r="AA367" s="8"/>
      <c r="AB367" s="8"/>
      <c r="AC367" s="12"/>
      <c r="AD367" s="11"/>
      <c r="AE367" s="11"/>
      <c r="AF367" s="11"/>
      <c r="AG367" s="11"/>
      <c r="AH367" s="8"/>
      <c r="AI367" s="8"/>
      <c r="AJ367" s="8"/>
      <c r="AK367" s="8"/>
      <c r="AL367" s="8"/>
      <c r="AM367" s="8"/>
      <c r="AN367" s="8"/>
    </row>
    <row r="368" spans="1:40" ht="48" customHeight="1" x14ac:dyDescent="0.2">
      <c r="A368" s="8"/>
      <c r="B368" s="8"/>
      <c r="C368" s="9"/>
      <c r="D368" s="9"/>
      <c r="E368" s="9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  <c r="V368" s="8"/>
      <c r="W368" s="8"/>
      <c r="X368" s="9"/>
      <c r="Y368" s="9"/>
      <c r="Z368" s="9"/>
      <c r="AA368" s="8"/>
      <c r="AB368" s="8"/>
      <c r="AC368" s="12"/>
      <c r="AD368" s="11"/>
      <c r="AE368" s="11"/>
      <c r="AF368" s="11"/>
      <c r="AG368" s="11"/>
      <c r="AH368" s="8"/>
      <c r="AI368" s="8"/>
      <c r="AJ368" s="8"/>
      <c r="AK368" s="8"/>
      <c r="AL368" s="8"/>
      <c r="AM368" s="8"/>
      <c r="AN368" s="8"/>
    </row>
    <row r="369" spans="1:40" ht="48" customHeight="1" x14ac:dyDescent="0.2">
      <c r="A369" s="8"/>
      <c r="B369" s="8"/>
      <c r="C369" s="9"/>
      <c r="D369" s="9"/>
      <c r="E369" s="9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  <c r="V369" s="8"/>
      <c r="W369" s="8"/>
      <c r="X369" s="9"/>
      <c r="Y369" s="9"/>
      <c r="Z369" s="9"/>
      <c r="AA369" s="8"/>
      <c r="AB369" s="8"/>
      <c r="AC369" s="12"/>
      <c r="AD369" s="11"/>
      <c r="AE369" s="11"/>
      <c r="AF369" s="11"/>
      <c r="AG369" s="11"/>
      <c r="AH369" s="8"/>
      <c r="AI369" s="8"/>
      <c r="AJ369" s="8"/>
      <c r="AK369" s="8"/>
      <c r="AL369" s="8"/>
      <c r="AM369" s="8"/>
      <c r="AN369" s="8"/>
    </row>
    <row r="370" spans="1:40" ht="48" customHeight="1" x14ac:dyDescent="0.2">
      <c r="A370" s="8"/>
      <c r="B370" s="8"/>
      <c r="C370" s="9"/>
      <c r="D370" s="9"/>
      <c r="E370" s="9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  <c r="V370" s="8"/>
      <c r="W370" s="8"/>
      <c r="X370" s="9"/>
      <c r="Y370" s="9"/>
      <c r="Z370" s="9"/>
      <c r="AA370" s="8"/>
      <c r="AB370" s="8"/>
      <c r="AC370" s="12"/>
      <c r="AD370" s="11"/>
      <c r="AE370" s="11"/>
      <c r="AF370" s="11"/>
      <c r="AG370" s="11"/>
      <c r="AH370" s="8"/>
      <c r="AI370" s="8"/>
      <c r="AJ370" s="8"/>
      <c r="AK370" s="8"/>
      <c r="AL370" s="8"/>
      <c r="AM370" s="8"/>
      <c r="AN370" s="8"/>
    </row>
    <row r="371" spans="1:40" ht="48" customHeight="1" x14ac:dyDescent="0.2">
      <c r="A371" s="8"/>
      <c r="B371" s="8"/>
      <c r="C371" s="9"/>
      <c r="D371" s="9"/>
      <c r="E371" s="9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9"/>
      <c r="Y371" s="9"/>
      <c r="Z371" s="9"/>
      <c r="AA371" s="8"/>
      <c r="AB371" s="8"/>
      <c r="AC371" s="12"/>
      <c r="AD371" s="11"/>
      <c r="AE371" s="11"/>
      <c r="AF371" s="11"/>
      <c r="AG371" s="11"/>
      <c r="AH371" s="8"/>
      <c r="AI371" s="8"/>
      <c r="AJ371" s="8"/>
      <c r="AK371" s="8"/>
      <c r="AL371" s="8"/>
      <c r="AM371" s="8"/>
      <c r="AN371" s="8"/>
    </row>
    <row r="372" spans="1:40" ht="48" customHeight="1" x14ac:dyDescent="0.2">
      <c r="A372" s="8"/>
      <c r="B372" s="8"/>
      <c r="C372" s="9"/>
      <c r="D372" s="9"/>
      <c r="E372" s="9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  <c r="V372" s="8"/>
      <c r="W372" s="8"/>
      <c r="X372" s="9"/>
      <c r="Y372" s="9"/>
      <c r="Z372" s="9"/>
      <c r="AA372" s="8"/>
      <c r="AB372" s="8"/>
      <c r="AC372" s="12"/>
      <c r="AD372" s="11"/>
      <c r="AE372" s="11"/>
      <c r="AF372" s="11"/>
      <c r="AG372" s="11"/>
      <c r="AH372" s="8"/>
      <c r="AI372" s="8"/>
      <c r="AJ372" s="8"/>
      <c r="AK372" s="8"/>
      <c r="AL372" s="8"/>
      <c r="AM372" s="8"/>
      <c r="AN372" s="8"/>
    </row>
    <row r="373" spans="1:40" ht="48" customHeight="1" x14ac:dyDescent="0.2">
      <c r="A373" s="8"/>
      <c r="B373" s="8"/>
      <c r="C373" s="9"/>
      <c r="D373" s="9"/>
      <c r="E373" s="9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  <c r="V373" s="8"/>
      <c r="W373" s="8"/>
      <c r="X373" s="9"/>
      <c r="Y373" s="9"/>
      <c r="Z373" s="9"/>
      <c r="AA373" s="8"/>
      <c r="AB373" s="8"/>
      <c r="AC373" s="12"/>
      <c r="AD373" s="11"/>
      <c r="AE373" s="11"/>
      <c r="AF373" s="11"/>
      <c r="AG373" s="11"/>
      <c r="AH373" s="8"/>
      <c r="AI373" s="8"/>
      <c r="AJ373" s="8"/>
      <c r="AK373" s="8"/>
      <c r="AL373" s="8"/>
      <c r="AM373" s="8"/>
      <c r="AN373" s="8"/>
    </row>
    <row r="374" spans="1:40" ht="48" customHeight="1" x14ac:dyDescent="0.2">
      <c r="A374" s="8"/>
      <c r="B374" s="8"/>
      <c r="C374" s="9"/>
      <c r="D374" s="9"/>
      <c r="E374" s="9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  <c r="V374" s="8"/>
      <c r="W374" s="8"/>
      <c r="X374" s="9"/>
      <c r="Y374" s="9"/>
      <c r="Z374" s="9"/>
      <c r="AA374" s="8"/>
      <c r="AB374" s="8"/>
      <c r="AC374" s="12"/>
      <c r="AD374" s="11"/>
      <c r="AE374" s="11"/>
      <c r="AF374" s="11"/>
      <c r="AG374" s="11"/>
      <c r="AH374" s="8"/>
      <c r="AI374" s="8"/>
      <c r="AJ374" s="8"/>
      <c r="AK374" s="8"/>
      <c r="AL374" s="8"/>
      <c r="AM374" s="8"/>
      <c r="AN374" s="8"/>
    </row>
    <row r="375" spans="1:40" ht="48" customHeight="1" x14ac:dyDescent="0.2">
      <c r="A375" s="8"/>
      <c r="B375" s="8"/>
      <c r="C375" s="9"/>
      <c r="D375" s="9"/>
      <c r="E375" s="9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  <c r="V375" s="8"/>
      <c r="W375" s="8"/>
      <c r="X375" s="9"/>
      <c r="Y375" s="9"/>
      <c r="Z375" s="9"/>
      <c r="AA375" s="8"/>
      <c r="AB375" s="8"/>
      <c r="AC375" s="12"/>
      <c r="AD375" s="11"/>
      <c r="AE375" s="11"/>
      <c r="AF375" s="11"/>
      <c r="AG375" s="11"/>
      <c r="AH375" s="8"/>
      <c r="AI375" s="8"/>
      <c r="AJ375" s="8"/>
      <c r="AK375" s="8"/>
      <c r="AL375" s="8"/>
      <c r="AM375" s="8"/>
      <c r="AN375" s="8"/>
    </row>
    <row r="376" spans="1:40" ht="48" customHeight="1" x14ac:dyDescent="0.2">
      <c r="A376" s="8"/>
      <c r="B376" s="8"/>
      <c r="C376" s="9"/>
      <c r="D376" s="9"/>
      <c r="E376" s="9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  <c r="V376" s="8"/>
      <c r="W376" s="8"/>
      <c r="X376" s="9"/>
      <c r="Y376" s="9"/>
      <c r="Z376" s="9"/>
      <c r="AA376" s="8"/>
      <c r="AB376" s="8"/>
      <c r="AC376" s="12"/>
      <c r="AD376" s="11"/>
      <c r="AE376" s="11"/>
      <c r="AF376" s="11"/>
      <c r="AG376" s="11"/>
      <c r="AH376" s="8"/>
      <c r="AI376" s="8"/>
      <c r="AJ376" s="8"/>
      <c r="AK376" s="8"/>
      <c r="AL376" s="8"/>
      <c r="AM376" s="8"/>
      <c r="AN376" s="8"/>
    </row>
    <row r="377" spans="1:40" ht="48" customHeight="1" x14ac:dyDescent="0.2">
      <c r="A377" s="8"/>
      <c r="B377" s="8"/>
      <c r="C377" s="9"/>
      <c r="D377" s="9"/>
      <c r="E377" s="9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  <c r="V377" s="8"/>
      <c r="W377" s="8"/>
      <c r="X377" s="9"/>
      <c r="Y377" s="9"/>
      <c r="Z377" s="9"/>
      <c r="AA377" s="8"/>
      <c r="AB377" s="8"/>
      <c r="AC377" s="12"/>
      <c r="AD377" s="11"/>
      <c r="AE377" s="11"/>
      <c r="AF377" s="11"/>
      <c r="AG377" s="11"/>
      <c r="AH377" s="8"/>
      <c r="AI377" s="8"/>
      <c r="AJ377" s="8"/>
      <c r="AK377" s="8"/>
      <c r="AL377" s="8"/>
      <c r="AM377" s="8"/>
      <c r="AN377" s="8"/>
    </row>
    <row r="378" spans="1:40" ht="48" customHeight="1" x14ac:dyDescent="0.2">
      <c r="A378" s="8"/>
      <c r="B378" s="8"/>
      <c r="C378" s="9"/>
      <c r="D378" s="9"/>
      <c r="E378" s="9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  <c r="V378" s="8"/>
      <c r="W378" s="8"/>
      <c r="X378" s="9"/>
      <c r="Y378" s="9"/>
      <c r="Z378" s="9"/>
      <c r="AA378" s="8"/>
      <c r="AB378" s="8"/>
      <c r="AC378" s="12"/>
      <c r="AD378" s="11"/>
      <c r="AE378" s="11"/>
      <c r="AF378" s="11"/>
      <c r="AG378" s="11"/>
      <c r="AH378" s="8"/>
      <c r="AI378" s="8"/>
      <c r="AJ378" s="8"/>
      <c r="AK378" s="8"/>
      <c r="AL378" s="8"/>
      <c r="AM378" s="8"/>
      <c r="AN378" s="8"/>
    </row>
  </sheetData>
  <autoFilter ref="A1:AN378" xr:uid="{00000000-0009-0000-0000-000002000000}"/>
  <mergeCells count="2">
    <mergeCell ref="Y1:Z1"/>
    <mergeCell ref="AJ1:AK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C261B-1A86-8442-98CF-853F9F60814F}">
  <dimension ref="A1:S13"/>
  <sheetViews>
    <sheetView workbookViewId="0"/>
  </sheetViews>
  <sheetFormatPr baseColWidth="10" defaultColWidth="8.83203125" defaultRowHeight="15" x14ac:dyDescent="0.2"/>
  <cols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19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19" ht="48" customHeight="1" x14ac:dyDescent="0.2">
      <c r="A2" s="15"/>
      <c r="B2" s="16"/>
      <c r="C2" s="17"/>
      <c r="D2" s="17"/>
      <c r="E2" s="17"/>
      <c r="F2" s="18"/>
      <c r="G2" s="15"/>
      <c r="H2" s="15"/>
      <c r="I2" s="19"/>
      <c r="J2" s="19"/>
      <c r="K2" s="19"/>
      <c r="L2" s="19"/>
      <c r="M2" s="19"/>
      <c r="N2" s="19"/>
      <c r="O2" s="19"/>
      <c r="P2" s="19"/>
      <c r="Q2" s="19"/>
      <c r="R2" s="15"/>
      <c r="S2" s="15"/>
    </row>
    <row r="3" spans="1:19" ht="48" customHeight="1" x14ac:dyDescent="0.2">
      <c r="A3" s="15"/>
      <c r="B3" s="16"/>
      <c r="C3" s="17"/>
      <c r="D3" s="17"/>
      <c r="E3" s="17"/>
      <c r="F3" s="18"/>
      <c r="G3" s="15"/>
      <c r="H3" s="15"/>
      <c r="I3" s="19"/>
      <c r="J3" s="19"/>
      <c r="K3" s="19"/>
      <c r="L3" s="19"/>
      <c r="M3" s="19"/>
      <c r="N3" s="19"/>
      <c r="O3" s="19"/>
      <c r="P3" s="19"/>
      <c r="Q3" s="19"/>
      <c r="R3" s="15"/>
      <c r="S3" s="15"/>
    </row>
    <row r="4" spans="1:19" ht="48" customHeight="1" x14ac:dyDescent="0.2">
      <c r="A4" s="15"/>
      <c r="B4" s="16"/>
      <c r="C4" s="17"/>
      <c r="D4" s="17"/>
      <c r="E4" s="17"/>
      <c r="F4" s="18"/>
      <c r="G4" s="15"/>
      <c r="H4" s="15"/>
      <c r="I4" s="19"/>
      <c r="J4" s="19"/>
      <c r="K4" s="19"/>
      <c r="L4" s="19"/>
      <c r="M4" s="19"/>
      <c r="N4" s="19"/>
      <c r="O4" s="19"/>
      <c r="P4" s="19"/>
      <c r="Q4" s="19"/>
      <c r="R4" s="15"/>
      <c r="S4" s="15"/>
    </row>
    <row r="5" spans="1:19" ht="48" customHeight="1" x14ac:dyDescent="0.2">
      <c r="A5" s="15"/>
      <c r="B5" s="16"/>
      <c r="C5" s="17"/>
      <c r="D5" s="17"/>
      <c r="E5" s="17"/>
      <c r="F5" s="18"/>
      <c r="G5" s="15"/>
      <c r="H5" s="15"/>
      <c r="I5" s="19"/>
      <c r="J5" s="19"/>
      <c r="K5" s="19"/>
      <c r="L5" s="19"/>
      <c r="M5" s="19"/>
      <c r="N5" s="19"/>
      <c r="O5" s="19"/>
      <c r="P5" s="19"/>
      <c r="Q5" s="19"/>
      <c r="R5" s="15"/>
      <c r="S5" s="15"/>
    </row>
    <row r="6" spans="1:19" ht="48" customHeight="1" x14ac:dyDescent="0.2">
      <c r="A6" s="15"/>
      <c r="B6" s="16"/>
      <c r="C6" s="17"/>
      <c r="D6" s="17"/>
      <c r="E6" s="17"/>
      <c r="F6" s="18"/>
      <c r="G6" s="15"/>
      <c r="H6" s="15"/>
      <c r="I6" s="19"/>
      <c r="J6" s="19"/>
      <c r="K6" s="19"/>
      <c r="L6" s="19"/>
      <c r="M6" s="19"/>
      <c r="N6" s="19"/>
      <c r="O6" s="19"/>
      <c r="P6" s="19"/>
      <c r="Q6" s="19"/>
      <c r="R6" s="15"/>
      <c r="S6" s="15"/>
    </row>
    <row r="7" spans="1:19" ht="48" customHeight="1" x14ac:dyDescent="0.2">
      <c r="A7" s="15"/>
      <c r="B7" s="16"/>
      <c r="C7" s="17"/>
      <c r="D7" s="17"/>
      <c r="E7" s="17"/>
      <c r="F7" s="18"/>
      <c r="G7" s="15"/>
      <c r="H7" s="15"/>
      <c r="I7" s="19"/>
      <c r="J7" s="19"/>
      <c r="K7" s="19"/>
      <c r="L7" s="19"/>
      <c r="M7" s="19"/>
      <c r="N7" s="19"/>
      <c r="O7" s="19"/>
      <c r="P7" s="19"/>
      <c r="Q7" s="19"/>
      <c r="R7" s="15"/>
      <c r="S7" s="15"/>
    </row>
    <row r="8" spans="1:19" ht="48" customHeight="1" x14ac:dyDescent="0.2">
      <c r="A8" s="15"/>
      <c r="B8" s="16"/>
      <c r="C8" s="17"/>
      <c r="D8" s="17"/>
      <c r="E8" s="17"/>
      <c r="F8" s="18"/>
      <c r="G8" s="15"/>
      <c r="H8" s="15"/>
      <c r="I8" s="19"/>
      <c r="J8" s="19"/>
      <c r="K8" s="19"/>
      <c r="L8" s="19"/>
      <c r="M8" s="19"/>
      <c r="N8" s="19"/>
      <c r="O8" s="19"/>
      <c r="P8" s="19"/>
      <c r="Q8" s="19"/>
      <c r="R8" s="15"/>
      <c r="S8" s="15"/>
    </row>
    <row r="9" spans="1:19" ht="48" customHeight="1" x14ac:dyDescent="0.2">
      <c r="A9" s="15"/>
      <c r="B9" s="16"/>
      <c r="C9" s="17"/>
      <c r="D9" s="17"/>
      <c r="E9" s="17"/>
      <c r="F9" s="18"/>
      <c r="G9" s="15"/>
      <c r="H9" s="15"/>
      <c r="I9" s="19"/>
      <c r="J9" s="19"/>
      <c r="K9" s="19"/>
      <c r="L9" s="19"/>
      <c r="M9" s="19"/>
      <c r="N9" s="19"/>
      <c r="O9" s="19"/>
      <c r="P9" s="19"/>
      <c r="Q9" s="19"/>
      <c r="R9" s="15"/>
      <c r="S9" s="15"/>
    </row>
    <row r="10" spans="1:19" ht="48" customHeight="1" x14ac:dyDescent="0.2">
      <c r="A10" s="15"/>
      <c r="B10" s="16"/>
      <c r="C10" s="17"/>
      <c r="D10" s="17"/>
      <c r="E10" s="17"/>
      <c r="F10" s="18"/>
      <c r="G10" s="15"/>
      <c r="H10" s="15"/>
      <c r="I10" s="19"/>
      <c r="J10" s="19"/>
      <c r="K10" s="19"/>
      <c r="L10" s="19"/>
      <c r="M10" s="19"/>
      <c r="N10" s="19"/>
      <c r="O10" s="19"/>
      <c r="P10" s="19"/>
      <c r="Q10" s="19"/>
      <c r="R10" s="15"/>
      <c r="S10" s="15"/>
    </row>
    <row r="11" spans="1:19" ht="48" customHeight="1" x14ac:dyDescent="0.2">
      <c r="A11" s="15"/>
      <c r="B11" s="16"/>
      <c r="C11" s="17"/>
      <c r="D11" s="17"/>
      <c r="E11" s="17"/>
      <c r="F11" s="18"/>
      <c r="G11" s="15"/>
      <c r="H11" s="15"/>
      <c r="I11" s="19"/>
      <c r="J11" s="19"/>
      <c r="K11" s="19"/>
      <c r="L11" s="19"/>
      <c r="M11" s="19"/>
      <c r="N11" s="19"/>
      <c r="O11" s="19"/>
      <c r="P11" s="19"/>
      <c r="Q11" s="19"/>
      <c r="R11" s="15"/>
      <c r="S11" s="15"/>
    </row>
    <row r="12" spans="1:19" ht="48" customHeight="1" x14ac:dyDescent="0.2">
      <c r="A12" s="15"/>
      <c r="B12" s="16"/>
      <c r="C12" s="17"/>
      <c r="D12" s="17"/>
      <c r="E12" s="17"/>
      <c r="F12" s="18"/>
      <c r="G12" s="15"/>
      <c r="H12" s="15"/>
      <c r="I12" s="19"/>
      <c r="J12" s="19"/>
      <c r="K12" s="19"/>
      <c r="L12" s="19"/>
      <c r="M12" s="19"/>
      <c r="N12" s="19"/>
      <c r="O12" s="19"/>
      <c r="P12" s="19"/>
      <c r="Q12" s="19"/>
      <c r="R12" s="15"/>
      <c r="S12" s="15"/>
    </row>
    <row r="13" spans="1:19" ht="48" customHeight="1" x14ac:dyDescent="0.2">
      <c r="A13" s="15"/>
      <c r="B13" s="16"/>
      <c r="C13" s="17"/>
      <c r="D13" s="17"/>
      <c r="E13" s="17"/>
      <c r="F13" s="18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5"/>
      <c r="S13" s="15"/>
    </row>
  </sheetData>
  <mergeCells count="2">
    <mergeCell ref="D1:E1"/>
    <mergeCell ref="O1:P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U13"/>
  <sheetViews>
    <sheetView topLeftCell="D1" workbookViewId="0">
      <selection activeCell="U2" sqref="U2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_xlfn._xlws.FILTER(Calcolo!V:AN,Calcolo!A:A=Fabbricati!E2)</f>
        <v>2024</v>
      </c>
      <c r="B2" s="16">
        <v>382910133</v>
      </c>
      <c r="C2" s="17">
        <v>45350</v>
      </c>
      <c r="D2" s="17">
        <v>45292</v>
      </c>
      <c r="E2" s="17">
        <v>45322</v>
      </c>
      <c r="F2" s="18">
        <v>31</v>
      </c>
      <c r="G2" s="15">
        <v>0</v>
      </c>
      <c r="H2" s="15" t="str">
        <v>F1
F2
F3</v>
      </c>
      <c r="I2" s="19" t="str">
        <v>0
0
0</v>
      </c>
      <c r="J2" s="19" t="str">
        <v>0
0
0</v>
      </c>
      <c r="K2" s="19">
        <v>0</v>
      </c>
      <c r="L2" s="19">
        <v>0</v>
      </c>
      <c r="M2" s="19">
        <v>77.22</v>
      </c>
      <c r="N2" s="19">
        <v>0.01</v>
      </c>
      <c r="O2" s="19">
        <v>16.989999999999998</v>
      </c>
      <c r="P2" s="19">
        <v>0</v>
      </c>
      <c r="Q2" s="19">
        <v>0</v>
      </c>
      <c r="R2" s="15">
        <v>0</v>
      </c>
      <c r="S2" s="15">
        <v>94.22</v>
      </c>
      <c r="T2" s="31">
        <f>'[1]01'!$T$80</f>
        <v>94.22</v>
      </c>
      <c r="U2" t="b">
        <f>S2=T2</f>
        <v>1</v>
      </c>
    </row>
    <row r="3" spans="1:21" ht="48" customHeight="1" x14ac:dyDescent="0.2">
      <c r="A3" s="15">
        <v>2024</v>
      </c>
      <c r="B3" s="16">
        <v>382910133</v>
      </c>
      <c r="C3" s="17">
        <v>45358</v>
      </c>
      <c r="D3" s="17">
        <v>45323</v>
      </c>
      <c r="E3" s="17">
        <v>45351</v>
      </c>
      <c r="F3" s="18">
        <v>29</v>
      </c>
      <c r="G3" s="15">
        <v>0</v>
      </c>
      <c r="H3" s="15" t="str">
        <v>F1
F2
F3</v>
      </c>
      <c r="I3" s="19" t="str">
        <v>0
0
0</v>
      </c>
      <c r="J3" s="19" t="str">
        <v>0
0
0</v>
      </c>
      <c r="K3" s="19">
        <v>0</v>
      </c>
      <c r="L3" s="19">
        <v>0</v>
      </c>
      <c r="M3" s="19">
        <v>77.22</v>
      </c>
      <c r="N3" s="19">
        <v>77.22</v>
      </c>
      <c r="O3" s="19">
        <v>16.989999999999998</v>
      </c>
      <c r="P3" s="19">
        <v>0</v>
      </c>
      <c r="Q3" s="19">
        <v>0</v>
      </c>
      <c r="R3" s="15">
        <v>0</v>
      </c>
      <c r="S3" s="15">
        <v>94.21</v>
      </c>
      <c r="T3" s="31">
        <f>'[1]01'!$T$83</f>
        <v>94.21</v>
      </c>
      <c r="U3" t="b">
        <f>S3=T3</f>
        <v>1</v>
      </c>
    </row>
    <row r="4" spans="1:21" ht="48" customHeight="1" x14ac:dyDescent="0.2">
      <c r="A4" s="15">
        <v>2024</v>
      </c>
      <c r="B4" s="16">
        <v>382910133</v>
      </c>
      <c r="C4" s="17">
        <v>45394</v>
      </c>
      <c r="D4" s="17">
        <v>45352</v>
      </c>
      <c r="E4" s="17">
        <v>45382</v>
      </c>
      <c r="F4" s="18">
        <v>31</v>
      </c>
      <c r="G4" s="15">
        <v>0</v>
      </c>
      <c r="H4" s="15" t="str">
        <v>F1
F2
F3</v>
      </c>
      <c r="I4" s="19" t="str">
        <v>0
0
0</v>
      </c>
      <c r="J4" s="19" t="str">
        <v>0
0
0</v>
      </c>
      <c r="K4" s="19">
        <v>0</v>
      </c>
      <c r="L4" s="19">
        <v>0</v>
      </c>
      <c r="M4" s="19">
        <v>77.22</v>
      </c>
      <c r="N4" s="19">
        <v>77.22</v>
      </c>
      <c r="O4" s="19">
        <v>16.989999999999998</v>
      </c>
      <c r="P4" s="19">
        <v>0</v>
      </c>
      <c r="Q4" s="19">
        <v>0</v>
      </c>
      <c r="R4" s="15">
        <v>0</v>
      </c>
      <c r="S4" s="15">
        <v>94.21</v>
      </c>
      <c r="T4" s="31">
        <f>'[1]01'!$T$86</f>
        <v>94.21</v>
      </c>
      <c r="U4" t="b">
        <f>S4=T4</f>
        <v>1</v>
      </c>
    </row>
    <row r="5" spans="1:21" ht="48" customHeight="1" x14ac:dyDescent="0.2">
      <c r="A5" s="15">
        <v>2024</v>
      </c>
      <c r="B5" s="16">
        <v>382910133</v>
      </c>
      <c r="C5" s="17">
        <v>45419</v>
      </c>
      <c r="D5" s="17">
        <v>45391</v>
      </c>
      <c r="E5" s="17">
        <v>45412</v>
      </c>
      <c r="F5" s="18">
        <v>22</v>
      </c>
      <c r="G5" s="15">
        <v>2</v>
      </c>
      <c r="H5" s="15" t="str">
        <v>F1
F2
F3</v>
      </c>
      <c r="I5" s="19" t="str">
        <v>0
0
2</v>
      </c>
      <c r="J5" s="19" t="str">
        <v>0
0
0</v>
      </c>
      <c r="K5" s="19">
        <v>0</v>
      </c>
      <c r="L5" s="19">
        <v>0</v>
      </c>
      <c r="M5" s="19">
        <v>82.87</v>
      </c>
      <c r="N5" s="19">
        <v>0.19</v>
      </c>
      <c r="O5" s="19">
        <v>18.28</v>
      </c>
      <c r="P5" s="19">
        <v>0</v>
      </c>
      <c r="Q5" s="19">
        <v>0</v>
      </c>
      <c r="R5" s="15">
        <v>0</v>
      </c>
      <c r="S5" s="15">
        <v>101.37</v>
      </c>
      <c r="T5" s="31">
        <f>'[1]01'!$T$89</f>
        <v>101.37</v>
      </c>
      <c r="U5" t="b">
        <f>S5=T5</f>
        <v>1</v>
      </c>
    </row>
    <row r="6" spans="1:21" ht="48" customHeight="1" x14ac:dyDescent="0.2">
      <c r="A6" s="15">
        <v>2024</v>
      </c>
      <c r="B6" s="16">
        <v>382910133</v>
      </c>
      <c r="C6" s="17">
        <v>45449</v>
      </c>
      <c r="D6" s="17">
        <v>45413</v>
      </c>
      <c r="E6" s="17">
        <v>45443</v>
      </c>
      <c r="F6" s="18">
        <v>31</v>
      </c>
      <c r="G6" s="15">
        <v>0</v>
      </c>
      <c r="H6" s="15" t="str">
        <v>F1
F2
F3</v>
      </c>
      <c r="I6" s="19" t="str">
        <v>0
0
0</v>
      </c>
      <c r="J6" s="19" t="str">
        <v>0
0
0</v>
      </c>
      <c r="K6" s="19">
        <v>0</v>
      </c>
      <c r="L6" s="19">
        <v>0</v>
      </c>
      <c r="M6" s="19">
        <v>82.759999999999991</v>
      </c>
      <c r="N6" s="19">
        <v>82.76</v>
      </c>
      <c r="O6" s="19">
        <v>18.21</v>
      </c>
      <c r="P6" s="19">
        <v>0</v>
      </c>
      <c r="Q6" s="19">
        <v>0</v>
      </c>
      <c r="R6" s="15">
        <v>0</v>
      </c>
      <c r="S6" s="15">
        <v>100.97</v>
      </c>
      <c r="T6" s="31">
        <f>'[1]01'!$T$92</f>
        <v>100.97</v>
      </c>
      <c r="U6" t="b">
        <f>S6=T6</f>
        <v>1</v>
      </c>
    </row>
    <row r="7" spans="1:21" ht="48" customHeight="1" x14ac:dyDescent="0.2">
      <c r="A7" s="15">
        <v>2024</v>
      </c>
      <c r="B7" s="16">
        <v>382910133</v>
      </c>
      <c r="C7" s="17">
        <v>45478</v>
      </c>
      <c r="D7" s="17">
        <v>45444</v>
      </c>
      <c r="E7" s="17">
        <v>45473</v>
      </c>
      <c r="F7" s="18">
        <v>30</v>
      </c>
      <c r="G7" s="15">
        <v>0</v>
      </c>
      <c r="H7" s="15" t="str">
        <v>F1
F2
F3</v>
      </c>
      <c r="I7" s="19" t="str">
        <v>0
0
0</v>
      </c>
      <c r="J7" s="19" t="str">
        <v>0
0
0</v>
      </c>
      <c r="K7" s="19">
        <v>0</v>
      </c>
      <c r="L7" s="19">
        <v>0</v>
      </c>
      <c r="M7" s="19">
        <v>82.759999999999991</v>
      </c>
      <c r="N7" s="19">
        <v>82.76</v>
      </c>
      <c r="O7" s="19">
        <v>18.21</v>
      </c>
      <c r="P7" s="19">
        <v>0</v>
      </c>
      <c r="Q7" s="19">
        <v>0</v>
      </c>
      <c r="R7" s="15">
        <v>0</v>
      </c>
      <c r="S7" s="15">
        <v>100.97</v>
      </c>
      <c r="T7" s="31">
        <f>'[1]01'!$T$95</f>
        <v>100.97</v>
      </c>
      <c r="U7" t="b">
        <f>S7=T7</f>
        <v>1</v>
      </c>
    </row>
    <row r="8" spans="1:21" ht="48" customHeight="1" x14ac:dyDescent="0.2">
      <c r="A8" s="15">
        <v>2024</v>
      </c>
      <c r="B8" s="16">
        <v>382910133</v>
      </c>
      <c r="C8" s="17">
        <v>45511</v>
      </c>
      <c r="D8" s="17">
        <v>45474</v>
      </c>
      <c r="E8" s="17">
        <v>45504</v>
      </c>
      <c r="F8" s="18">
        <v>31</v>
      </c>
      <c r="G8" s="15">
        <v>0</v>
      </c>
      <c r="H8" s="15" t="str">
        <v>F1
F2
F3</v>
      </c>
      <c r="I8" s="19" t="str">
        <v>0
0
0</v>
      </c>
      <c r="J8" s="19" t="str">
        <v>0
0
0</v>
      </c>
      <c r="K8" s="19">
        <v>0</v>
      </c>
      <c r="L8" s="19">
        <v>0</v>
      </c>
      <c r="M8" s="19">
        <v>82.759999999999991</v>
      </c>
      <c r="N8" s="19">
        <v>82.76</v>
      </c>
      <c r="O8" s="19">
        <v>18.21</v>
      </c>
      <c r="P8" s="19">
        <v>0</v>
      </c>
      <c r="Q8" s="19">
        <v>0</v>
      </c>
      <c r="R8" s="15">
        <v>0</v>
      </c>
      <c r="S8" s="15">
        <v>100.97</v>
      </c>
      <c r="T8" s="31">
        <f>'[1]01'!$T$98</f>
        <v>100.97</v>
      </c>
      <c r="U8" t="b">
        <f>S8=T8</f>
        <v>1</v>
      </c>
    </row>
    <row r="9" spans="1:21" ht="48" customHeight="1" x14ac:dyDescent="0.2">
      <c r="A9" s="15">
        <v>2024</v>
      </c>
      <c r="B9" s="16">
        <v>382910133</v>
      </c>
      <c r="C9" s="17">
        <v>45541</v>
      </c>
      <c r="D9" s="17">
        <v>45505</v>
      </c>
      <c r="E9" s="17">
        <v>45535</v>
      </c>
      <c r="F9" s="18">
        <v>31</v>
      </c>
      <c r="G9" s="15">
        <v>2</v>
      </c>
      <c r="H9" s="15" t="str">
        <v>F1
F2
F3</v>
      </c>
      <c r="I9" s="19" t="str">
        <v>0
0
2</v>
      </c>
      <c r="J9" s="19" t="str">
        <v>0
0
0</v>
      </c>
      <c r="K9" s="19">
        <v>0</v>
      </c>
      <c r="L9" s="19">
        <v>0</v>
      </c>
      <c r="M9" s="19">
        <v>82.759999999999991</v>
      </c>
      <c r="N9" s="19">
        <v>82.76</v>
      </c>
      <c r="O9" s="19">
        <v>18.21</v>
      </c>
      <c r="P9" s="19">
        <v>0</v>
      </c>
      <c r="Q9" s="19">
        <v>0</v>
      </c>
      <c r="R9" s="15">
        <v>0</v>
      </c>
      <c r="S9" s="15">
        <v>100.97</v>
      </c>
      <c r="T9" s="31">
        <f>'[1]01'!$T$101</f>
        <v>100.97</v>
      </c>
      <c r="U9" t="b">
        <f>S9=T9</f>
        <v>1</v>
      </c>
    </row>
    <row r="10" spans="1:21" ht="48" customHeight="1" x14ac:dyDescent="0.2">
      <c r="A10" s="15">
        <v>2024</v>
      </c>
      <c r="B10" s="16">
        <v>382910133</v>
      </c>
      <c r="C10" s="17">
        <v>45572</v>
      </c>
      <c r="D10" s="17">
        <v>45536</v>
      </c>
      <c r="E10" s="17">
        <v>45565</v>
      </c>
      <c r="F10" s="18">
        <v>30</v>
      </c>
      <c r="G10" s="15">
        <v>0</v>
      </c>
      <c r="H10" s="15" t="str">
        <v>F1
F2
F3</v>
      </c>
      <c r="I10" s="19" t="str">
        <v>0
0
0</v>
      </c>
      <c r="J10" s="19" t="str">
        <v>0
0
0</v>
      </c>
      <c r="K10" s="19">
        <v>0</v>
      </c>
      <c r="L10" s="19">
        <v>0</v>
      </c>
      <c r="M10" s="19">
        <v>82.759999999999991</v>
      </c>
      <c r="N10" s="19">
        <v>82.76</v>
      </c>
      <c r="O10" s="19">
        <v>18.21</v>
      </c>
      <c r="P10" s="19">
        <v>0</v>
      </c>
      <c r="Q10" s="19">
        <v>0</v>
      </c>
      <c r="R10" s="15">
        <v>0</v>
      </c>
      <c r="S10" s="15">
        <v>100.97</v>
      </c>
      <c r="T10" s="31">
        <f>'[1]01'!$T$104</f>
        <v>100.97</v>
      </c>
      <c r="U10" t="b">
        <f>S10=T10</f>
        <v>1</v>
      </c>
    </row>
    <row r="11" spans="1:21" ht="48" customHeight="1" x14ac:dyDescent="0.2">
      <c r="A11" s="15">
        <v>2024</v>
      </c>
      <c r="B11" s="16">
        <v>382910133</v>
      </c>
      <c r="C11" s="17">
        <v>45604</v>
      </c>
      <c r="D11" s="17">
        <v>45566</v>
      </c>
      <c r="E11" s="17">
        <v>45596</v>
      </c>
      <c r="F11" s="18">
        <v>31</v>
      </c>
      <c r="G11" s="15">
        <v>0</v>
      </c>
      <c r="H11" s="15" t="str">
        <v>F1
F2
F3</v>
      </c>
      <c r="I11" s="19" t="str">
        <v>0
0
0</v>
      </c>
      <c r="J11" s="19" t="str">
        <v>0
0
0</v>
      </c>
      <c r="K11" s="19">
        <v>0</v>
      </c>
      <c r="L11" s="19">
        <v>0</v>
      </c>
      <c r="M11" s="19">
        <v>82.759999999999991</v>
      </c>
      <c r="N11" s="19">
        <v>82.76</v>
      </c>
      <c r="O11" s="19">
        <v>18.21</v>
      </c>
      <c r="P11" s="19">
        <v>0</v>
      </c>
      <c r="Q11" s="19">
        <v>0</v>
      </c>
      <c r="R11" s="15">
        <v>0</v>
      </c>
      <c r="S11" s="15">
        <v>100.97</v>
      </c>
      <c r="T11" s="31">
        <f>'[1]01'!$T$107</f>
        <v>100.97</v>
      </c>
      <c r="U11" t="b">
        <f>S11=T11</f>
        <v>1</v>
      </c>
    </row>
    <row r="12" spans="1:21" ht="48" customHeight="1" x14ac:dyDescent="0.2">
      <c r="A12" s="15">
        <v>2024</v>
      </c>
      <c r="B12" s="16">
        <v>382910133</v>
      </c>
      <c r="C12" s="17">
        <v>45632</v>
      </c>
      <c r="D12" s="17">
        <v>45597</v>
      </c>
      <c r="E12" s="17">
        <v>45626</v>
      </c>
      <c r="F12" s="18">
        <v>30</v>
      </c>
      <c r="G12" s="15">
        <v>0</v>
      </c>
      <c r="H12" s="15" t="str">
        <v>F1
F2
F3</v>
      </c>
      <c r="I12" s="19" t="str">
        <v>0
0
0</v>
      </c>
      <c r="J12" s="19" t="str">
        <v>0
0
0</v>
      </c>
      <c r="K12" s="19">
        <v>0</v>
      </c>
      <c r="L12" s="19">
        <v>0</v>
      </c>
      <c r="M12" s="19">
        <v>82.759999999999991</v>
      </c>
      <c r="N12" s="19">
        <v>82.76</v>
      </c>
      <c r="O12" s="19">
        <v>18.21</v>
      </c>
      <c r="P12" s="19">
        <v>0</v>
      </c>
      <c r="Q12" s="19">
        <v>0</v>
      </c>
      <c r="R12" s="15">
        <v>0</v>
      </c>
      <c r="S12" s="15">
        <v>100.97</v>
      </c>
      <c r="T12" s="31">
        <f>'[1]01'!$T$110</f>
        <v>100.97</v>
      </c>
      <c r="U12" t="b">
        <f>S12=T12</f>
        <v>1</v>
      </c>
    </row>
    <row r="13" spans="1:21" ht="48" customHeight="1" x14ac:dyDescent="0.2">
      <c r="A13" s="15">
        <v>2024</v>
      </c>
      <c r="B13" s="16">
        <v>382910133</v>
      </c>
      <c r="C13" s="17">
        <v>45665</v>
      </c>
      <c r="D13" s="17">
        <v>45627</v>
      </c>
      <c r="E13" s="17">
        <v>45657</v>
      </c>
      <c r="F13" s="18">
        <v>31</v>
      </c>
      <c r="G13" s="15">
        <v>0</v>
      </c>
      <c r="H13" s="15" t="str">
        <v>F1
F2
F3</v>
      </c>
      <c r="I13" s="19" t="str">
        <v>0
0
0</v>
      </c>
      <c r="J13" s="19" t="str">
        <v>0
0
0</v>
      </c>
      <c r="K13" s="19">
        <v>0</v>
      </c>
      <c r="L13" s="19">
        <v>0</v>
      </c>
      <c r="M13" s="19">
        <v>82.759999999999991</v>
      </c>
      <c r="N13" s="19">
        <v>82.76</v>
      </c>
      <c r="O13" s="19">
        <v>18.21</v>
      </c>
      <c r="P13" s="19">
        <v>0</v>
      </c>
      <c r="Q13" s="19">
        <v>0</v>
      </c>
      <c r="R13" s="15">
        <v>0</v>
      </c>
      <c r="S13" s="15">
        <v>100.97</v>
      </c>
      <c r="T13" s="31">
        <f>'[1]01'!$T$113</f>
        <v>100.97</v>
      </c>
      <c r="U13" t="b">
        <f>S13=T13</f>
        <v>1</v>
      </c>
    </row>
  </sheetData>
  <mergeCells count="2">
    <mergeCell ref="D1:E1"/>
    <mergeCell ref="O1:P1"/>
  </mergeCells>
  <conditionalFormatting sqref="U2:U13">
    <cfRule type="cellIs" dxfId="14" priority="1" operator="notEqual">
      <formula>TRUE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1BBD7-C13B-514B-AB56-9226A6E64DB8}">
  <dimension ref="A1:U13"/>
  <sheetViews>
    <sheetView topLeftCell="G1" workbookViewId="0">
      <selection activeCell="U2" sqref="U2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_xlfn._xlws.FILTER(Calcolo!V:AN,Calcolo!A:A=Fabbricati!E3)</f>
        <v>2024</v>
      </c>
      <c r="B2" s="16">
        <v>382909771</v>
      </c>
      <c r="C2" s="17">
        <v>45350</v>
      </c>
      <c r="D2" s="17">
        <v>45292</v>
      </c>
      <c r="E2" s="17">
        <v>45322</v>
      </c>
      <c r="F2" s="18">
        <v>31</v>
      </c>
      <c r="G2" s="15">
        <v>2862</v>
      </c>
      <c r="H2" s="15" t="str">
        <v>F1
F2
F3</v>
      </c>
      <c r="I2" s="19" t="str">
        <v>1204
532
1126</v>
      </c>
      <c r="J2" s="19" t="str">
        <v>9
0
1</v>
      </c>
      <c r="K2" s="19">
        <v>0</v>
      </c>
      <c r="L2" s="19">
        <v>0</v>
      </c>
      <c r="M2" s="19">
        <v>205.95999999999998</v>
      </c>
      <c r="N2" s="19">
        <v>450.09</v>
      </c>
      <c r="O2" s="19">
        <v>35.78</v>
      </c>
      <c r="P2" s="19">
        <v>0</v>
      </c>
      <c r="Q2" s="19">
        <v>0</v>
      </c>
      <c r="R2" s="15">
        <v>14.31</v>
      </c>
      <c r="S2" s="15">
        <v>861.49</v>
      </c>
      <c r="T2" s="31">
        <f>'[1]02'!$T$80</f>
        <v>861.49</v>
      </c>
      <c r="U2" t="b">
        <f>S2=T2</f>
        <v>1</v>
      </c>
    </row>
    <row r="3" spans="1:21" ht="48" customHeight="1" x14ac:dyDescent="0.2">
      <c r="A3" s="15">
        <v>2024</v>
      </c>
      <c r="B3" s="16">
        <v>382909771</v>
      </c>
      <c r="C3" s="17">
        <v>45358</v>
      </c>
      <c r="D3" s="17">
        <v>45323</v>
      </c>
      <c r="E3" s="17">
        <v>45351</v>
      </c>
      <c r="F3" s="18">
        <v>29</v>
      </c>
      <c r="G3" s="15">
        <v>2688</v>
      </c>
      <c r="H3" s="15" t="str">
        <v>F1
F2
F3</v>
      </c>
      <c r="I3" s="19" t="str">
        <v>1087
587
1014</v>
      </c>
      <c r="J3" s="19" t="str">
        <v>11
1
1</v>
      </c>
      <c r="K3" s="19">
        <v>0</v>
      </c>
      <c r="L3" s="19">
        <v>0</v>
      </c>
      <c r="M3" s="19">
        <v>194.7</v>
      </c>
      <c r="N3" s="19">
        <v>322.74</v>
      </c>
      <c r="O3" s="19">
        <v>121.23</v>
      </c>
      <c r="P3" s="19">
        <v>0</v>
      </c>
      <c r="Q3" s="19">
        <v>0</v>
      </c>
      <c r="R3" s="15">
        <v>0</v>
      </c>
      <c r="S3" s="15">
        <v>672.27</v>
      </c>
      <c r="T3" s="31">
        <f>'[1]02'!$T$83</f>
        <v>672.27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382909771</v>
      </c>
      <c r="C4" s="17">
        <v>45390</v>
      </c>
      <c r="D4" s="17">
        <v>45352</v>
      </c>
      <c r="E4" s="17">
        <v>45382</v>
      </c>
      <c r="F4" s="18">
        <v>31</v>
      </c>
      <c r="G4" s="15">
        <v>2487</v>
      </c>
      <c r="H4" s="15" t="str">
        <v>F1
F2
F3</v>
      </c>
      <c r="I4" s="19" t="str">
        <v>911
561
1015</v>
      </c>
      <c r="J4" s="19" t="str">
        <v>9
0
1</v>
      </c>
      <c r="K4" s="19">
        <v>0</v>
      </c>
      <c r="L4" s="19">
        <v>0</v>
      </c>
      <c r="M4" s="19">
        <v>172.8</v>
      </c>
      <c r="N4" s="19">
        <v>289.35000000000002</v>
      </c>
      <c r="O4" s="19">
        <v>108.51</v>
      </c>
      <c r="P4" s="19">
        <v>0</v>
      </c>
      <c r="Q4" s="19">
        <v>0</v>
      </c>
      <c r="R4" s="15">
        <v>0</v>
      </c>
      <c r="S4" s="15">
        <v>601.75</v>
      </c>
      <c r="T4" s="31">
        <f>'[1]02'!$T$86</f>
        <v>601.75</v>
      </c>
      <c r="U4" t="b">
        <f t="shared" si="0"/>
        <v>1</v>
      </c>
    </row>
    <row r="5" spans="1:21" ht="48" customHeight="1" x14ac:dyDescent="0.2">
      <c r="A5" s="15">
        <v>2024</v>
      </c>
      <c r="B5" s="16">
        <v>382909771</v>
      </c>
      <c r="C5" s="17">
        <v>45419</v>
      </c>
      <c r="D5" s="17">
        <v>45383</v>
      </c>
      <c r="E5" s="17">
        <v>45392</v>
      </c>
      <c r="F5" s="18">
        <v>10</v>
      </c>
      <c r="G5" s="15">
        <v>5963</v>
      </c>
      <c r="H5" s="15" t="str">
        <v>F1
F2
F3</v>
      </c>
      <c r="I5" s="19" t="str">
        <v>2313
1284
2366</v>
      </c>
      <c r="J5" s="19" t="str">
        <v>24
1
3</v>
      </c>
      <c r="K5" s="19">
        <v>0</v>
      </c>
      <c r="L5" s="19">
        <v>0</v>
      </c>
      <c r="M5" s="19">
        <v>203.82999999999998</v>
      </c>
      <c r="N5" s="19">
        <v>240.75</v>
      </c>
      <c r="O5" s="19">
        <v>103.74</v>
      </c>
      <c r="P5" s="19">
        <v>0</v>
      </c>
      <c r="Q5" s="19">
        <v>0</v>
      </c>
      <c r="R5" s="15">
        <v>0</v>
      </c>
      <c r="S5" s="15">
        <v>575.27</v>
      </c>
      <c r="T5" s="31">
        <f>'[1]02'!$T$89</f>
        <v>575.27</v>
      </c>
      <c r="U5" t="b">
        <f t="shared" si="0"/>
        <v>1</v>
      </c>
    </row>
    <row r="6" spans="1:21" ht="48" customHeight="1" x14ac:dyDescent="0.2">
      <c r="A6" s="15">
        <v>2024</v>
      </c>
      <c r="B6" s="16">
        <v>382909771</v>
      </c>
      <c r="C6" s="17">
        <v>45449</v>
      </c>
      <c r="D6" s="17">
        <v>45413</v>
      </c>
      <c r="E6" s="17">
        <v>45443</v>
      </c>
      <c r="F6" s="18">
        <v>31</v>
      </c>
      <c r="G6" s="15">
        <v>70</v>
      </c>
      <c r="H6" s="15" t="str">
        <v>F1
F2
F3</v>
      </c>
      <c r="I6" s="19" t="str">
        <v>32
13
25</v>
      </c>
      <c r="J6" s="19" t="str">
        <v>0
0
0</v>
      </c>
      <c r="K6" s="19">
        <v>0</v>
      </c>
      <c r="L6" s="19">
        <v>0</v>
      </c>
      <c r="M6" s="19">
        <v>166.33</v>
      </c>
      <c r="N6" s="19">
        <v>211.63</v>
      </c>
      <c r="O6" s="19">
        <v>87.96</v>
      </c>
      <c r="P6" s="19">
        <v>0</v>
      </c>
      <c r="Q6" s="19">
        <v>0</v>
      </c>
      <c r="R6" s="15">
        <v>0</v>
      </c>
      <c r="S6" s="15">
        <v>487.8</v>
      </c>
      <c r="T6" s="31">
        <f>'[1]02'!$T$92</f>
        <v>487.8</v>
      </c>
      <c r="U6" t="b">
        <f t="shared" si="0"/>
        <v>1</v>
      </c>
    </row>
    <row r="7" spans="1:21" ht="48" customHeight="1" x14ac:dyDescent="0.2">
      <c r="A7" s="15">
        <v>2024</v>
      </c>
      <c r="B7" s="16">
        <v>382909771</v>
      </c>
      <c r="C7" s="17">
        <v>45482</v>
      </c>
      <c r="D7" s="17">
        <v>45444</v>
      </c>
      <c r="E7" s="17">
        <v>45473</v>
      </c>
      <c r="F7" s="18">
        <v>30</v>
      </c>
      <c r="G7" s="15">
        <v>99</v>
      </c>
      <c r="H7" s="15" t="str">
        <v>F1
F2
F3</v>
      </c>
      <c r="I7" s="19" t="str">
        <v>36
23
40</v>
      </c>
      <c r="J7" s="19" t="str">
        <v>5
4
7</v>
      </c>
      <c r="K7" s="19">
        <v>0</v>
      </c>
      <c r="L7" s="19">
        <v>0</v>
      </c>
      <c r="M7" s="19">
        <v>219.85000000000002</v>
      </c>
      <c r="N7" s="19">
        <v>330.55</v>
      </c>
      <c r="O7" s="19">
        <v>127.89</v>
      </c>
      <c r="P7" s="19">
        <v>0</v>
      </c>
      <c r="Q7" s="19">
        <v>0</v>
      </c>
      <c r="R7" s="15">
        <v>0</v>
      </c>
      <c r="S7" s="15">
        <v>709.23</v>
      </c>
      <c r="T7" s="31">
        <f>'[1]02'!$T$95</f>
        <v>709.23</v>
      </c>
      <c r="U7" t="b">
        <f t="shared" si="0"/>
        <v>1</v>
      </c>
    </row>
    <row r="8" spans="1:21" ht="48" customHeight="1" x14ac:dyDescent="0.2">
      <c r="A8" s="15">
        <v>2024</v>
      </c>
      <c r="B8" s="16">
        <v>382909771</v>
      </c>
      <c r="C8" s="17">
        <v>45511</v>
      </c>
      <c r="D8" s="17">
        <v>45474</v>
      </c>
      <c r="E8" s="17">
        <v>45504</v>
      </c>
      <c r="F8" s="18">
        <v>31</v>
      </c>
      <c r="G8" s="15">
        <v>218</v>
      </c>
      <c r="H8" s="15" t="str">
        <v>F1
F2
F3</v>
      </c>
      <c r="I8" s="19" t="str">
        <v>84
50
84</v>
      </c>
      <c r="J8" s="19" t="str">
        <v>27
15
27</v>
      </c>
      <c r="K8" s="19">
        <v>0</v>
      </c>
      <c r="L8" s="19">
        <v>0</v>
      </c>
      <c r="M8" s="19">
        <v>409.28999999999996</v>
      </c>
      <c r="N8" s="19">
        <v>837.35</v>
      </c>
      <c r="O8" s="19">
        <v>289.25</v>
      </c>
      <c r="P8" s="19">
        <v>0</v>
      </c>
      <c r="Q8" s="19">
        <v>0</v>
      </c>
      <c r="R8" s="15">
        <v>0</v>
      </c>
      <c r="S8" s="15">
        <v>1604.02</v>
      </c>
      <c r="T8" s="31">
        <f>'[1]02'!$T$98</f>
        <v>1604.02</v>
      </c>
      <c r="U8" t="b">
        <f t="shared" si="0"/>
        <v>1</v>
      </c>
    </row>
    <row r="9" spans="1:21" ht="48" customHeight="1" x14ac:dyDescent="0.2">
      <c r="A9" s="15">
        <v>2024</v>
      </c>
      <c r="B9" s="16">
        <v>382909771</v>
      </c>
      <c r="C9" s="17">
        <v>45541</v>
      </c>
      <c r="D9" s="17">
        <v>45505</v>
      </c>
      <c r="E9" s="17">
        <v>45535</v>
      </c>
      <c r="F9" s="18">
        <v>31</v>
      </c>
      <c r="G9" s="15">
        <v>169</v>
      </c>
      <c r="H9" s="15" t="str">
        <v>F1
F2
F3</v>
      </c>
      <c r="I9" s="19" t="str">
        <v>77
35
57</v>
      </c>
      <c r="J9" s="19" t="str">
        <v>25
6
4</v>
      </c>
      <c r="K9" s="19">
        <v>0</v>
      </c>
      <c r="L9" s="19">
        <v>0</v>
      </c>
      <c r="M9" s="19">
        <v>327.81</v>
      </c>
      <c r="N9" s="19">
        <v>663.69</v>
      </c>
      <c r="O9" s="19">
        <v>229.75</v>
      </c>
      <c r="P9" s="19">
        <v>0</v>
      </c>
      <c r="Q9" s="19">
        <v>0</v>
      </c>
      <c r="R9" s="15">
        <v>0</v>
      </c>
      <c r="S9" s="15">
        <v>1274.06</v>
      </c>
      <c r="T9" s="31">
        <f>'[1]02'!$T$101</f>
        <v>1274.06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382909771</v>
      </c>
      <c r="C10" s="17">
        <v>45571</v>
      </c>
      <c r="D10" s="17">
        <v>45536</v>
      </c>
      <c r="E10" s="17">
        <v>45565</v>
      </c>
      <c r="F10" s="18">
        <v>30</v>
      </c>
      <c r="G10" s="15">
        <v>106</v>
      </c>
      <c r="H10" s="15" t="str">
        <v>F1
F2
F3</v>
      </c>
      <c r="I10" s="19" t="str">
        <v>48
21
37</v>
      </c>
      <c r="J10" s="19" t="str">
        <v>8
1
1</v>
      </c>
      <c r="K10" s="19">
        <v>0</v>
      </c>
      <c r="L10" s="19">
        <v>0</v>
      </c>
      <c r="M10" s="19">
        <v>235.56</v>
      </c>
      <c r="N10" s="19">
        <v>388.03</v>
      </c>
      <c r="O10" s="19">
        <v>144.47999999999999</v>
      </c>
      <c r="P10" s="19">
        <v>0</v>
      </c>
      <c r="Q10" s="19">
        <v>0</v>
      </c>
      <c r="R10" s="15">
        <v>0</v>
      </c>
      <c r="S10" s="15">
        <v>801.2</v>
      </c>
      <c r="T10" s="31">
        <f>'[1]02'!$T$104</f>
        <v>801.2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382909771</v>
      </c>
      <c r="C11" s="17">
        <v>45604</v>
      </c>
      <c r="D11" s="17">
        <v>45566</v>
      </c>
      <c r="E11" s="17">
        <v>45596</v>
      </c>
      <c r="F11" s="18">
        <v>31</v>
      </c>
      <c r="G11" s="15">
        <v>93</v>
      </c>
      <c r="H11" s="15" t="str">
        <v>F1
F2
F3</v>
      </c>
      <c r="I11" s="19" t="str">
        <v>49
16
28</v>
      </c>
      <c r="J11" s="19" t="str">
        <v>1
0
0</v>
      </c>
      <c r="K11" s="19">
        <v>0</v>
      </c>
      <c r="L11" s="19">
        <v>0</v>
      </c>
      <c r="M11" s="19">
        <v>204.92000000000002</v>
      </c>
      <c r="N11" s="19">
        <v>346.32</v>
      </c>
      <c r="O11" s="19">
        <v>127.67</v>
      </c>
      <c r="P11" s="19">
        <v>0</v>
      </c>
      <c r="Q11" s="19">
        <v>0</v>
      </c>
      <c r="R11" s="15">
        <v>0</v>
      </c>
      <c r="S11" s="15">
        <v>707.97</v>
      </c>
      <c r="T11" s="31">
        <f>'[1]02'!$T$107</f>
        <v>707.97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382909771</v>
      </c>
      <c r="C12" s="17">
        <v>45632</v>
      </c>
      <c r="D12" s="17">
        <v>45597</v>
      </c>
      <c r="E12" s="17">
        <v>45626</v>
      </c>
      <c r="F12" s="18">
        <v>30</v>
      </c>
      <c r="G12" s="15">
        <v>100</v>
      </c>
      <c r="H12" s="15" t="str">
        <v>F1
F2
F3</v>
      </c>
      <c r="I12" s="19" t="str">
        <v>38
23
39</v>
      </c>
      <c r="J12" s="19" t="str">
        <v>0
0
0</v>
      </c>
      <c r="K12" s="19">
        <v>0</v>
      </c>
      <c r="L12" s="19">
        <v>0</v>
      </c>
      <c r="M12" s="19">
        <v>194.71999999999997</v>
      </c>
      <c r="N12" s="19">
        <v>410.7</v>
      </c>
      <c r="O12" s="19">
        <v>140.07</v>
      </c>
      <c r="P12" s="19">
        <v>0</v>
      </c>
      <c r="Q12" s="19">
        <v>0</v>
      </c>
      <c r="R12" s="15">
        <v>0</v>
      </c>
      <c r="S12" s="15">
        <v>776.74</v>
      </c>
      <c r="T12" s="31">
        <f>'[1]02'!$T$110</f>
        <v>776.74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382909771</v>
      </c>
      <c r="C13" s="17">
        <v>45665</v>
      </c>
      <c r="D13" s="17">
        <v>45627</v>
      </c>
      <c r="E13" s="17">
        <v>45657</v>
      </c>
      <c r="F13" s="18">
        <v>31</v>
      </c>
      <c r="G13" s="15">
        <v>120</v>
      </c>
      <c r="H13" s="15" t="str">
        <v>F1
F2
F3</v>
      </c>
      <c r="I13" s="19" t="str">
        <v>42
25
53</v>
      </c>
      <c r="J13" s="19" t="str">
        <v>1
0
0</v>
      </c>
      <c r="K13" s="19">
        <v>0</v>
      </c>
      <c r="L13" s="19">
        <v>0</v>
      </c>
      <c r="M13" s="19">
        <v>226.46</v>
      </c>
      <c r="N13" s="19">
        <v>522.72</v>
      </c>
      <c r="O13" s="19">
        <v>173.07</v>
      </c>
      <c r="P13" s="19">
        <v>0</v>
      </c>
      <c r="Q13" s="19">
        <v>0</v>
      </c>
      <c r="R13" s="15">
        <v>0</v>
      </c>
      <c r="S13" s="15">
        <v>959.75</v>
      </c>
      <c r="T13" s="31">
        <f>'[1]02'!$T$113</f>
        <v>959.75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C4213-65B1-0549-ABF8-3AA01340D72C}">
  <dimension ref="A1:U13"/>
  <sheetViews>
    <sheetView topLeftCell="F1" workbookViewId="0">
      <selection activeCell="U12" sqref="U12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_xlfn._xlws.FILTER(Calcolo!V:AN,Calcolo!A:A=Fabbricati!E4)</f>
        <v>2024</v>
      </c>
      <c r="B2" s="16">
        <v>382909739</v>
      </c>
      <c r="C2" s="17">
        <v>45350</v>
      </c>
      <c r="D2" s="17">
        <v>45292</v>
      </c>
      <c r="E2" s="17">
        <v>45322</v>
      </c>
      <c r="F2" s="18">
        <v>31</v>
      </c>
      <c r="G2" s="15">
        <v>99</v>
      </c>
      <c r="H2" s="15" t="str">
        <v>F1
F2
F3</v>
      </c>
      <c r="I2" s="19" t="str">
        <v>51
17
31</v>
      </c>
      <c r="J2" s="19" t="str">
        <v>13
6
13</v>
      </c>
      <c r="K2" s="19">
        <v>0</v>
      </c>
      <c r="L2" s="19">
        <v>0</v>
      </c>
      <c r="M2" s="19">
        <v>22.490000000000002</v>
      </c>
      <c r="N2" s="19">
        <v>15.77</v>
      </c>
      <c r="O2" s="19">
        <v>1.24</v>
      </c>
      <c r="P2" s="19">
        <v>0</v>
      </c>
      <c r="Q2" s="19">
        <v>0</v>
      </c>
      <c r="R2" s="15">
        <v>0.5</v>
      </c>
      <c r="S2" s="15">
        <v>48.8</v>
      </c>
      <c r="T2" s="31">
        <f>'[1]03'!$T$80</f>
        <v>48.8</v>
      </c>
      <c r="U2" t="b">
        <f>S2=T2</f>
        <v>1</v>
      </c>
    </row>
    <row r="3" spans="1:21" ht="48" customHeight="1" x14ac:dyDescent="0.2">
      <c r="A3" s="15">
        <v>2024</v>
      </c>
      <c r="B3" s="16">
        <v>382909739</v>
      </c>
      <c r="C3" s="17">
        <v>45358</v>
      </c>
      <c r="D3" s="17">
        <v>45323</v>
      </c>
      <c r="E3" s="17">
        <v>45351</v>
      </c>
      <c r="F3" s="18">
        <v>29</v>
      </c>
      <c r="G3" s="15">
        <v>97</v>
      </c>
      <c r="H3" s="15" t="str">
        <v>F1
F2
F3</v>
      </c>
      <c r="I3" s="19" t="str">
        <v>51
19
27</v>
      </c>
      <c r="J3" s="19" t="str">
        <v>14
5
11</v>
      </c>
      <c r="K3" s="19">
        <v>0</v>
      </c>
      <c r="L3" s="19">
        <v>0</v>
      </c>
      <c r="M3" s="19">
        <v>22.39</v>
      </c>
      <c r="N3" s="19">
        <v>11.88</v>
      </c>
      <c r="O3" s="19">
        <v>7.81</v>
      </c>
      <c r="P3" s="19">
        <v>0</v>
      </c>
      <c r="Q3" s="19">
        <v>0</v>
      </c>
      <c r="R3" s="15">
        <v>0</v>
      </c>
      <c r="S3" s="15">
        <v>43.29</v>
      </c>
      <c r="T3" s="31">
        <f>'[1]03'!$T$83</f>
        <v>43.29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382909739</v>
      </c>
      <c r="C4" s="17">
        <v>45393</v>
      </c>
      <c r="D4" s="17">
        <v>45352</v>
      </c>
      <c r="E4" s="17">
        <v>45382</v>
      </c>
      <c r="F4" s="18">
        <v>31</v>
      </c>
      <c r="G4" s="15">
        <v>87</v>
      </c>
      <c r="H4" s="15" t="str">
        <v>F1
F2
F3</v>
      </c>
      <c r="I4" s="19" t="str">
        <v>43
19
25</v>
      </c>
      <c r="J4" s="19" t="str">
        <v>16
8
16</v>
      </c>
      <c r="K4" s="19">
        <v>0</v>
      </c>
      <c r="L4" s="19">
        <v>0</v>
      </c>
      <c r="M4" s="19">
        <v>21.85</v>
      </c>
      <c r="N4" s="19">
        <v>10.3</v>
      </c>
      <c r="O4" s="19">
        <v>7.31</v>
      </c>
      <c r="P4" s="19">
        <v>0</v>
      </c>
      <c r="Q4" s="19">
        <v>0</v>
      </c>
      <c r="R4" s="15">
        <v>0</v>
      </c>
      <c r="S4" s="15">
        <v>40.549999999999997</v>
      </c>
      <c r="T4" s="31">
        <f>'[1]03'!$T$86</f>
        <v>40.549999999999997</v>
      </c>
      <c r="U4" t="b">
        <f t="shared" si="0"/>
        <v>1</v>
      </c>
    </row>
    <row r="5" spans="1:21" ht="48" customHeight="1" x14ac:dyDescent="0.2">
      <c r="A5" s="15">
        <v>2024</v>
      </c>
      <c r="B5" s="16">
        <v>382909739</v>
      </c>
      <c r="C5" s="17">
        <v>45419</v>
      </c>
      <c r="D5" s="17">
        <v>45383</v>
      </c>
      <c r="E5" s="17">
        <v>45392</v>
      </c>
      <c r="F5" s="18">
        <v>10</v>
      </c>
      <c r="G5" s="15">
        <v>67</v>
      </c>
      <c r="H5" s="15" t="str">
        <v>F1
F2
F3</v>
      </c>
      <c r="I5" s="19" t="str">
        <v>29
14
24</v>
      </c>
      <c r="J5" s="19" t="str">
        <v>6
3
5</v>
      </c>
      <c r="K5" s="19">
        <v>0</v>
      </c>
      <c r="L5" s="19">
        <v>0</v>
      </c>
      <c r="M5" s="19">
        <v>22.42</v>
      </c>
      <c r="N5" s="19">
        <v>7.72</v>
      </c>
      <c r="O5" s="19">
        <v>6.82</v>
      </c>
      <c r="P5" s="19">
        <v>0</v>
      </c>
      <c r="Q5" s="19">
        <v>0</v>
      </c>
      <c r="R5" s="15">
        <v>0</v>
      </c>
      <c r="S5" s="15">
        <v>37.799999999999997</v>
      </c>
      <c r="T5" s="31">
        <f>'[1]03'!$T$89</f>
        <v>37.799999999999997</v>
      </c>
      <c r="U5" t="b">
        <f t="shared" si="0"/>
        <v>1</v>
      </c>
    </row>
    <row r="6" spans="1:21" ht="48" customHeight="1" x14ac:dyDescent="0.2">
      <c r="A6" s="15">
        <v>2024</v>
      </c>
      <c r="B6" s="16">
        <v>382909739</v>
      </c>
      <c r="C6" s="17">
        <v>45449</v>
      </c>
      <c r="D6" s="17">
        <v>45413</v>
      </c>
      <c r="E6" s="17">
        <v>45443</v>
      </c>
      <c r="F6" s="18">
        <v>31</v>
      </c>
      <c r="G6" s="15">
        <v>78</v>
      </c>
      <c r="H6" s="15" t="str">
        <v>F1
F2
F3</v>
      </c>
      <c r="I6" s="19" t="str">
        <v>34
16
28</v>
      </c>
      <c r="J6" s="19" t="str">
        <v>0
0
0</v>
      </c>
      <c r="K6" s="19">
        <v>0</v>
      </c>
      <c r="L6" s="19">
        <v>0</v>
      </c>
      <c r="M6" s="19">
        <v>23.11</v>
      </c>
      <c r="N6" s="19">
        <v>9.4700000000000006</v>
      </c>
      <c r="O6" s="19">
        <v>7.38</v>
      </c>
      <c r="P6" s="19">
        <v>0</v>
      </c>
      <c r="Q6" s="19">
        <v>0</v>
      </c>
      <c r="R6" s="15">
        <v>0</v>
      </c>
      <c r="S6" s="15">
        <v>40.94</v>
      </c>
      <c r="T6" s="31">
        <f>'[1]03'!$T$92</f>
        <v>40.94</v>
      </c>
      <c r="U6" t="b">
        <f t="shared" si="0"/>
        <v>1</v>
      </c>
    </row>
    <row r="7" spans="1:21" ht="48" customHeight="1" x14ac:dyDescent="0.2">
      <c r="A7" s="15">
        <v>2024</v>
      </c>
      <c r="B7" s="16">
        <v>382909739</v>
      </c>
      <c r="C7" s="17">
        <v>45478</v>
      </c>
      <c r="D7" s="17">
        <v>45444</v>
      </c>
      <c r="E7" s="17">
        <v>45473</v>
      </c>
      <c r="F7" s="18">
        <v>30</v>
      </c>
      <c r="G7" s="15">
        <v>49</v>
      </c>
      <c r="H7" s="15" t="str">
        <v>F1
F2
F3</v>
      </c>
      <c r="I7" s="19" t="str">
        <v>19
11
19</v>
      </c>
      <c r="J7" s="19" t="str">
        <v>0
0
0</v>
      </c>
      <c r="K7" s="19">
        <v>0</v>
      </c>
      <c r="L7" s="19">
        <v>0</v>
      </c>
      <c r="M7" s="19">
        <v>21.33</v>
      </c>
      <c r="N7" s="19">
        <v>6.56</v>
      </c>
      <c r="O7" s="19">
        <v>6.27</v>
      </c>
      <c r="P7" s="19">
        <v>0</v>
      </c>
      <c r="Q7" s="19">
        <v>0</v>
      </c>
      <c r="R7" s="15">
        <v>0</v>
      </c>
      <c r="S7" s="15">
        <v>34.770000000000003</v>
      </c>
      <c r="T7" s="31">
        <f>'[1]03'!$T$95</f>
        <v>34.770000000000003</v>
      </c>
      <c r="U7" t="b">
        <f t="shared" si="0"/>
        <v>1</v>
      </c>
    </row>
    <row r="8" spans="1:21" ht="48" customHeight="1" x14ac:dyDescent="0.2">
      <c r="A8" s="15">
        <v>2024</v>
      </c>
      <c r="B8" s="16">
        <v>382909739</v>
      </c>
      <c r="C8" s="17">
        <v>45511</v>
      </c>
      <c r="D8" s="17">
        <v>45474</v>
      </c>
      <c r="E8" s="17">
        <v>45504</v>
      </c>
      <c r="F8" s="18">
        <v>31</v>
      </c>
      <c r="G8" s="15">
        <v>89</v>
      </c>
      <c r="H8" s="15" t="str">
        <v>F1
F2
F3</v>
      </c>
      <c r="I8" s="19" t="str">
        <v>30
20
39</v>
      </c>
      <c r="J8" s="19" t="str">
        <v>0
0
0</v>
      </c>
      <c r="K8" s="19">
        <v>0</v>
      </c>
      <c r="L8" s="19">
        <v>0</v>
      </c>
      <c r="M8" s="19">
        <v>23.78</v>
      </c>
      <c r="N8" s="19">
        <v>13.64</v>
      </c>
      <c r="O8" s="19">
        <v>8.48</v>
      </c>
      <c r="P8" s="19">
        <v>0</v>
      </c>
      <c r="Q8" s="19">
        <v>0</v>
      </c>
      <c r="R8" s="15">
        <v>0</v>
      </c>
      <c r="S8" s="15">
        <v>47.01</v>
      </c>
      <c r="T8" s="31">
        <f>'[1]03'!$T$98</f>
        <v>47.01</v>
      </c>
      <c r="U8" t="b">
        <f t="shared" si="0"/>
        <v>1</v>
      </c>
    </row>
    <row r="9" spans="1:21" ht="48" customHeight="1" x14ac:dyDescent="0.2">
      <c r="A9" s="15">
        <v>2024</v>
      </c>
      <c r="B9" s="16">
        <v>382909739</v>
      </c>
      <c r="C9" s="17">
        <v>45541</v>
      </c>
      <c r="D9" s="17">
        <v>45505</v>
      </c>
      <c r="E9" s="17">
        <v>45535</v>
      </c>
      <c r="F9" s="18">
        <v>31</v>
      </c>
      <c r="G9" s="15">
        <v>373</v>
      </c>
      <c r="H9" s="15" t="str">
        <v>F1
F2
F3</v>
      </c>
      <c r="I9" s="19" t="str">
        <v>165
76
132</v>
      </c>
      <c r="J9" s="19" t="str">
        <v>6
3
5</v>
      </c>
      <c r="K9" s="19">
        <v>0</v>
      </c>
      <c r="L9" s="19">
        <v>0</v>
      </c>
      <c r="M9" s="19">
        <v>23.84</v>
      </c>
      <c r="N9" s="19">
        <v>14.05</v>
      </c>
      <c r="O9" s="19">
        <v>8.57</v>
      </c>
      <c r="P9" s="19">
        <v>0</v>
      </c>
      <c r="Q9" s="19">
        <v>0</v>
      </c>
      <c r="R9" s="15">
        <v>0</v>
      </c>
      <c r="S9" s="15">
        <v>47.51</v>
      </c>
      <c r="T9" s="31">
        <f>'[1]03'!$T$101</f>
        <v>47.51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382909739</v>
      </c>
      <c r="C10" s="17">
        <v>45571</v>
      </c>
      <c r="D10" s="17">
        <v>45536</v>
      </c>
      <c r="E10" s="17">
        <v>45565</v>
      </c>
      <c r="F10" s="18">
        <v>30</v>
      </c>
      <c r="G10" s="15">
        <v>54</v>
      </c>
      <c r="H10" s="15" t="str">
        <v>F1
F2
F3</v>
      </c>
      <c r="I10" s="19" t="str">
        <v>27
11
16</v>
      </c>
      <c r="J10" s="19" t="str">
        <v>0
0
0</v>
      </c>
      <c r="K10" s="19">
        <v>0</v>
      </c>
      <c r="L10" s="19">
        <v>0</v>
      </c>
      <c r="M10" s="19">
        <v>21.64</v>
      </c>
      <c r="N10" s="19">
        <v>8.0299999999999994</v>
      </c>
      <c r="O10" s="19">
        <v>6.68</v>
      </c>
      <c r="P10" s="19">
        <v>0</v>
      </c>
      <c r="Q10" s="19">
        <v>0</v>
      </c>
      <c r="R10" s="15">
        <v>0</v>
      </c>
      <c r="S10" s="15">
        <v>37.03</v>
      </c>
      <c r="T10" s="31">
        <f>'[1]03'!$T$104</f>
        <v>37.03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382909739</v>
      </c>
      <c r="C11" s="17">
        <v>45604</v>
      </c>
      <c r="D11" s="17">
        <v>45566</v>
      </c>
      <c r="E11" s="17">
        <v>45596</v>
      </c>
      <c r="F11" s="18">
        <v>31</v>
      </c>
      <c r="G11" s="15">
        <v>64</v>
      </c>
      <c r="H11" s="15" t="str">
        <v>F1
F2
F3</v>
      </c>
      <c r="I11" s="19" t="str">
        <v>38
10
16</v>
      </c>
      <c r="J11" s="19" t="str">
        <v>0
0
0</v>
      </c>
      <c r="K11" s="19">
        <v>0</v>
      </c>
      <c r="L11" s="19">
        <v>0</v>
      </c>
      <c r="M11" s="19">
        <v>22.25</v>
      </c>
      <c r="N11" s="19">
        <v>9.66</v>
      </c>
      <c r="O11" s="19">
        <v>7.2</v>
      </c>
      <c r="P11" s="19">
        <v>0</v>
      </c>
      <c r="Q11" s="19">
        <v>0</v>
      </c>
      <c r="R11" s="15">
        <v>0</v>
      </c>
      <c r="S11" s="15">
        <v>39.909999999999997</v>
      </c>
      <c r="T11" s="31">
        <f>'[1]03'!$T$107</f>
        <v>39.909999999999997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382909739</v>
      </c>
      <c r="C12" s="17">
        <v>45632</v>
      </c>
      <c r="D12" s="17">
        <v>45597</v>
      </c>
      <c r="E12" s="17">
        <v>45626</v>
      </c>
      <c r="F12" s="18">
        <v>30</v>
      </c>
      <c r="G12" s="15">
        <v>71</v>
      </c>
      <c r="H12" s="15" t="str">
        <v>F1
F2
F3</v>
      </c>
      <c r="I12" s="19" t="str">
        <v>41
11
19</v>
      </c>
      <c r="J12" s="19" t="str">
        <v>0
0
0</v>
      </c>
      <c r="K12" s="19">
        <v>0</v>
      </c>
      <c r="L12" s="19">
        <v>0</v>
      </c>
      <c r="M12" s="19">
        <v>22.689999999999998</v>
      </c>
      <c r="N12" s="19">
        <v>11.96</v>
      </c>
      <c r="O12" s="19">
        <v>7.82</v>
      </c>
      <c r="P12" s="19">
        <v>0</v>
      </c>
      <c r="Q12" s="19">
        <v>0</v>
      </c>
      <c r="R12" s="15">
        <v>0</v>
      </c>
      <c r="S12" s="15">
        <v>43.36</v>
      </c>
      <c r="T12" s="31">
        <f>'[1]03'!$T$110</f>
        <v>43.36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382909739</v>
      </c>
      <c r="C13" s="17">
        <v>45665</v>
      </c>
      <c r="D13" s="17">
        <v>45627</v>
      </c>
      <c r="E13" s="17">
        <v>45657</v>
      </c>
      <c r="F13" s="18">
        <v>31</v>
      </c>
      <c r="G13" s="15">
        <v>71</v>
      </c>
      <c r="H13" s="15" t="str">
        <v>F1
F2
F3</v>
      </c>
      <c r="I13" s="19" t="str">
        <v>39
10
22</v>
      </c>
      <c r="J13" s="19" t="str">
        <v>0
0
0</v>
      </c>
      <c r="K13" s="19">
        <v>0</v>
      </c>
      <c r="L13" s="19">
        <v>0</v>
      </c>
      <c r="M13" s="19">
        <v>22.689999999999998</v>
      </c>
      <c r="N13" s="19">
        <v>12.86</v>
      </c>
      <c r="O13" s="19">
        <v>8.02</v>
      </c>
      <c r="P13" s="19">
        <v>0</v>
      </c>
      <c r="Q13" s="19">
        <v>0</v>
      </c>
      <c r="R13" s="15">
        <v>0</v>
      </c>
      <c r="S13" s="15">
        <v>44.46</v>
      </c>
      <c r="T13" s="31">
        <f>'[1]03'!$T$113</f>
        <v>44.46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913-9611-E94D-927B-FABBE585F134}">
  <dimension ref="A1:U13"/>
  <sheetViews>
    <sheetView topLeftCell="H1" workbookViewId="0">
      <selection activeCell="U10" sqref="U10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_xlfn._xlws.FILTER(Calcolo!V:AN,Calcolo!A:A=Fabbricati!E5)</f>
        <v>2024</v>
      </c>
      <c r="B2" s="16">
        <v>382926102</v>
      </c>
      <c r="C2" s="17">
        <v>45349</v>
      </c>
      <c r="D2" s="17">
        <v>45292</v>
      </c>
      <c r="E2" s="17">
        <v>45322</v>
      </c>
      <c r="F2" s="18">
        <v>31</v>
      </c>
      <c r="G2" s="15">
        <v>446</v>
      </c>
      <c r="H2" s="15" t="str">
        <v>F1
F2
F3</v>
      </c>
      <c r="I2" s="19" t="str">
        <v>123
122
201</v>
      </c>
      <c r="J2" s="19" t="str">
        <v>73
46
109</v>
      </c>
      <c r="K2" s="19">
        <v>0</v>
      </c>
      <c r="L2" s="19">
        <v>0</v>
      </c>
      <c r="M2" s="19">
        <v>50.13</v>
      </c>
      <c r="N2" s="19">
        <v>69.38</v>
      </c>
      <c r="O2" s="19">
        <v>5.58</v>
      </c>
      <c r="P2" s="19">
        <v>0</v>
      </c>
      <c r="Q2" s="19">
        <v>0</v>
      </c>
      <c r="R2" s="15">
        <v>2.23</v>
      </c>
      <c r="S2" s="15">
        <v>155.33000000000001</v>
      </c>
      <c r="T2" s="31">
        <f>'[1]04'!$T$80</f>
        <v>155.33000000000001</v>
      </c>
      <c r="U2" t="b">
        <f>S2=T2</f>
        <v>1</v>
      </c>
    </row>
    <row r="3" spans="1:21" ht="48" customHeight="1" x14ac:dyDescent="0.2">
      <c r="A3" s="15">
        <v>2024</v>
      </c>
      <c r="B3" s="16">
        <v>382926102</v>
      </c>
      <c r="C3" s="17">
        <v>45358</v>
      </c>
      <c r="D3" s="17">
        <v>45323</v>
      </c>
      <c r="E3" s="17">
        <v>45351</v>
      </c>
      <c r="F3" s="18">
        <v>29</v>
      </c>
      <c r="G3" s="15">
        <v>260</v>
      </c>
      <c r="H3" s="15" t="str">
        <v>F1
F2
F3</v>
      </c>
      <c r="I3" s="19" t="str">
        <v>78
86
96</v>
      </c>
      <c r="J3" s="19" t="str">
        <v>69
48
90</v>
      </c>
      <c r="K3" s="19">
        <v>0</v>
      </c>
      <c r="L3" s="19">
        <v>0</v>
      </c>
      <c r="M3" s="19">
        <v>40.03</v>
      </c>
      <c r="N3" s="19">
        <v>31.31</v>
      </c>
      <c r="O3" s="19">
        <v>16.41</v>
      </c>
      <c r="P3" s="19">
        <v>0</v>
      </c>
      <c r="Q3" s="19">
        <v>0</v>
      </c>
      <c r="R3" s="15">
        <v>0</v>
      </c>
      <c r="S3" s="15">
        <v>91</v>
      </c>
      <c r="T3" s="31">
        <f>'[1]04'!$T$83</f>
        <v>91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382926102</v>
      </c>
      <c r="C4" s="17">
        <v>45393</v>
      </c>
      <c r="D4" s="17">
        <v>45352</v>
      </c>
      <c r="E4" s="17">
        <v>45382</v>
      </c>
      <c r="F4" s="18">
        <v>31</v>
      </c>
      <c r="G4" s="15">
        <v>271</v>
      </c>
      <c r="H4" s="15" t="str">
        <v>F1
F2
F3</v>
      </c>
      <c r="I4" s="19" t="str">
        <v>71
94
106</v>
      </c>
      <c r="J4" s="19" t="str">
        <v>67
51
99</v>
      </c>
      <c r="K4" s="19">
        <v>0</v>
      </c>
      <c r="L4" s="19">
        <v>0</v>
      </c>
      <c r="M4" s="19">
        <v>40.630000000000003</v>
      </c>
      <c r="N4" s="19">
        <v>31.57</v>
      </c>
      <c r="O4" s="19">
        <v>16.63</v>
      </c>
      <c r="P4" s="19">
        <v>0</v>
      </c>
      <c r="Q4" s="19">
        <v>0</v>
      </c>
      <c r="R4" s="15">
        <v>0</v>
      </c>
      <c r="S4" s="15">
        <v>92.22</v>
      </c>
      <c r="T4" s="31">
        <f>'[1]04'!$T$86</f>
        <v>92.22</v>
      </c>
      <c r="U4" t="b">
        <f t="shared" si="0"/>
        <v>1</v>
      </c>
    </row>
    <row r="5" spans="1:21" ht="48" customHeight="1" x14ac:dyDescent="0.2">
      <c r="A5" s="15">
        <v>2024</v>
      </c>
      <c r="B5" s="16">
        <v>382926102</v>
      </c>
      <c r="C5" s="17">
        <v>45424</v>
      </c>
      <c r="D5" s="17">
        <v>45383</v>
      </c>
      <c r="E5" s="17">
        <v>45412</v>
      </c>
      <c r="F5" s="18">
        <v>30</v>
      </c>
      <c r="G5" s="15">
        <v>259</v>
      </c>
      <c r="H5" s="15" t="str">
        <v>F1
F2
F3</v>
      </c>
      <c r="I5" s="19" t="str">
        <v>73
78
108</v>
      </c>
      <c r="J5" s="19" t="str">
        <v>0
0
0</v>
      </c>
      <c r="K5" s="19">
        <v>0</v>
      </c>
      <c r="L5" s="19">
        <v>0</v>
      </c>
      <c r="M5" s="19">
        <v>43.57</v>
      </c>
      <c r="N5" s="19">
        <v>29.46</v>
      </c>
      <c r="O5" s="19">
        <v>16.78</v>
      </c>
      <c r="P5" s="19">
        <v>0</v>
      </c>
      <c r="Q5" s="19">
        <v>0</v>
      </c>
      <c r="R5" s="15">
        <v>0</v>
      </c>
      <c r="S5" s="15">
        <v>93.05</v>
      </c>
      <c r="T5" s="31">
        <f>'[1]04'!$T$89</f>
        <v>93.05</v>
      </c>
      <c r="U5" t="b">
        <f t="shared" si="0"/>
        <v>1</v>
      </c>
    </row>
    <row r="6" spans="1:21" ht="48" customHeight="1" x14ac:dyDescent="0.2">
      <c r="A6" s="15">
        <v>2024</v>
      </c>
      <c r="B6" s="16">
        <v>382926102</v>
      </c>
      <c r="C6" s="17">
        <v>45449</v>
      </c>
      <c r="D6" s="17">
        <v>45383</v>
      </c>
      <c r="E6" s="17">
        <v>45414</v>
      </c>
      <c r="F6" s="18">
        <v>32</v>
      </c>
      <c r="G6" s="15">
        <v>519</v>
      </c>
      <c r="H6" s="15" t="str">
        <v>F1
F2
F3</v>
      </c>
      <c r="I6" s="19" t="str">
        <v>161
149
209</v>
      </c>
      <c r="J6" s="19" t="str">
        <v>141
96
202</v>
      </c>
      <c r="K6" s="19">
        <v>0</v>
      </c>
      <c r="L6" s="19">
        <v>0</v>
      </c>
      <c r="M6" s="19">
        <v>43.63</v>
      </c>
      <c r="N6" s="19">
        <v>31.62</v>
      </c>
      <c r="O6" s="19">
        <v>17.27</v>
      </c>
      <c r="P6" s="19">
        <v>0</v>
      </c>
      <c r="Q6" s="19">
        <v>0</v>
      </c>
      <c r="R6" s="15">
        <v>0</v>
      </c>
      <c r="S6" s="15">
        <v>95.77</v>
      </c>
      <c r="T6" s="31">
        <f>'[1]04'!$T$92</f>
        <v>95.77</v>
      </c>
      <c r="U6" t="b">
        <f t="shared" si="0"/>
        <v>1</v>
      </c>
    </row>
    <row r="7" spans="1:21" ht="48" customHeight="1" x14ac:dyDescent="0.2">
      <c r="A7" s="15">
        <v>2024</v>
      </c>
      <c r="B7" s="16">
        <v>382926102</v>
      </c>
      <c r="C7" s="17">
        <v>45478</v>
      </c>
      <c r="D7" s="17">
        <v>45444</v>
      </c>
      <c r="E7" s="17">
        <v>45473</v>
      </c>
      <c r="F7" s="18">
        <v>30</v>
      </c>
      <c r="G7" s="15">
        <v>227</v>
      </c>
      <c r="H7" s="15" t="str">
        <v>F1
F2
F3</v>
      </c>
      <c r="I7" s="19" t="str">
        <v>62
64
101</v>
      </c>
      <c r="J7" s="19" t="str">
        <v>66
52
95</v>
      </c>
      <c r="K7" s="19">
        <v>0</v>
      </c>
      <c r="L7" s="19">
        <v>0</v>
      </c>
      <c r="M7" s="19">
        <v>41.620000000000005</v>
      </c>
      <c r="N7" s="19">
        <v>30.3</v>
      </c>
      <c r="O7" s="19">
        <v>16.45</v>
      </c>
      <c r="P7" s="19">
        <v>0</v>
      </c>
      <c r="Q7" s="19">
        <v>0</v>
      </c>
      <c r="R7" s="15">
        <v>0</v>
      </c>
      <c r="S7" s="15">
        <v>91.21</v>
      </c>
      <c r="T7" s="31">
        <f>'[1]04'!$T$95</f>
        <v>91.21</v>
      </c>
      <c r="U7" t="b">
        <f t="shared" si="0"/>
        <v>1</v>
      </c>
    </row>
    <row r="8" spans="1:21" ht="48" customHeight="1" x14ac:dyDescent="0.2">
      <c r="A8" s="15">
        <v>2024</v>
      </c>
      <c r="B8" s="16">
        <v>382926102</v>
      </c>
      <c r="C8" s="17">
        <v>45513</v>
      </c>
      <c r="D8" s="17">
        <v>45474</v>
      </c>
      <c r="E8" s="17">
        <v>45504</v>
      </c>
      <c r="F8" s="18">
        <v>31</v>
      </c>
      <c r="G8" s="15">
        <v>218</v>
      </c>
      <c r="H8" s="15" t="str">
        <v>F1
F2
F3</v>
      </c>
      <c r="I8" s="19" t="str">
        <v>67
59
92</v>
      </c>
      <c r="J8" s="19" t="str">
        <v>74
50
92</v>
      </c>
      <c r="K8" s="19">
        <v>0</v>
      </c>
      <c r="L8" s="19">
        <v>0</v>
      </c>
      <c r="M8" s="19">
        <v>41.07</v>
      </c>
      <c r="N8" s="19">
        <v>33.700000000000003</v>
      </c>
      <c r="O8" s="19">
        <v>17.05</v>
      </c>
      <c r="P8" s="19">
        <v>0</v>
      </c>
      <c r="Q8" s="19">
        <v>0</v>
      </c>
      <c r="R8" s="15">
        <v>0</v>
      </c>
      <c r="S8" s="15">
        <v>94.55</v>
      </c>
      <c r="T8" s="31">
        <f>'[1]04'!$T$98</f>
        <v>94.55</v>
      </c>
      <c r="U8" t="b">
        <f t="shared" si="0"/>
        <v>1</v>
      </c>
    </row>
    <row r="9" spans="1:21" ht="48" customHeight="1" x14ac:dyDescent="0.2">
      <c r="A9" s="15">
        <v>2024</v>
      </c>
      <c r="B9" s="16">
        <v>382926102</v>
      </c>
      <c r="C9" s="17">
        <v>45541</v>
      </c>
      <c r="D9" s="17">
        <v>45505</v>
      </c>
      <c r="E9" s="17">
        <v>45535</v>
      </c>
      <c r="F9" s="18">
        <v>31</v>
      </c>
      <c r="G9" s="15">
        <v>1177</v>
      </c>
      <c r="H9" s="15" t="str">
        <v>F1
F2
F3</v>
      </c>
      <c r="I9" s="19" t="str">
        <v>351
332
494</v>
      </c>
      <c r="J9" s="19" t="str">
        <v>347
249
485</v>
      </c>
      <c r="K9" s="19">
        <v>0</v>
      </c>
      <c r="L9" s="19">
        <v>0</v>
      </c>
      <c r="M9" s="19">
        <v>40.769999999999996</v>
      </c>
      <c r="N9" s="19">
        <v>33.880000000000003</v>
      </c>
      <c r="O9" s="19">
        <v>17.05</v>
      </c>
      <c r="P9" s="19">
        <v>0</v>
      </c>
      <c r="Q9" s="19">
        <v>0</v>
      </c>
      <c r="R9" s="15">
        <v>0</v>
      </c>
      <c r="S9" s="15">
        <v>94.54</v>
      </c>
      <c r="T9" s="31">
        <f>'[1]04'!$T$101</f>
        <v>94.54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382926102</v>
      </c>
      <c r="C10" s="17">
        <v>45571</v>
      </c>
      <c r="D10" s="17">
        <v>45536</v>
      </c>
      <c r="E10" s="17">
        <v>45565</v>
      </c>
      <c r="F10" s="18">
        <v>30</v>
      </c>
      <c r="G10" s="15">
        <v>229</v>
      </c>
      <c r="H10" s="15" t="str">
        <v>F1
F2
F3</v>
      </c>
      <c r="I10" s="19" t="str">
        <v>67
65
97</v>
      </c>
      <c r="J10" s="19" t="str">
        <v>69
49
98</v>
      </c>
      <c r="K10" s="19">
        <v>0</v>
      </c>
      <c r="L10" s="19">
        <v>0</v>
      </c>
      <c r="M10" s="19">
        <v>41.739999999999995</v>
      </c>
      <c r="N10" s="19">
        <v>33.54</v>
      </c>
      <c r="O10" s="19">
        <v>17.190000000000001</v>
      </c>
      <c r="P10" s="19">
        <v>0</v>
      </c>
      <c r="Q10" s="19">
        <v>0</v>
      </c>
      <c r="R10" s="15">
        <v>0</v>
      </c>
      <c r="S10" s="15">
        <v>95.33</v>
      </c>
      <c r="T10" s="31">
        <f>'[1]04'!$T$104</f>
        <v>95.33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382926102</v>
      </c>
      <c r="C11" s="17">
        <v>45604</v>
      </c>
      <c r="D11" s="17">
        <v>45566</v>
      </c>
      <c r="E11" s="17">
        <v>45596</v>
      </c>
      <c r="F11" s="18">
        <v>31</v>
      </c>
      <c r="G11" s="15">
        <v>264</v>
      </c>
      <c r="H11" s="15" t="str">
        <v>F1
F2
F3</v>
      </c>
      <c r="I11" s="19" t="str">
        <v>77
90
97</v>
      </c>
      <c r="J11" s="19" t="str">
        <v>74
50
96</v>
      </c>
      <c r="K11" s="19">
        <v>0</v>
      </c>
      <c r="L11" s="19">
        <v>0</v>
      </c>
      <c r="M11" s="19">
        <v>43.87</v>
      </c>
      <c r="N11" s="19">
        <v>39.17</v>
      </c>
      <c r="O11" s="19">
        <v>18.989999999999998</v>
      </c>
      <c r="P11" s="19">
        <v>0</v>
      </c>
      <c r="Q11" s="19">
        <v>0</v>
      </c>
      <c r="R11" s="15">
        <v>0</v>
      </c>
      <c r="S11" s="15">
        <v>105.33</v>
      </c>
      <c r="T11" s="31">
        <f>'[1]04'!$T$107</f>
        <v>105.33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382926102</v>
      </c>
      <c r="C12" s="17">
        <v>45632</v>
      </c>
      <c r="D12" s="17">
        <v>45597</v>
      </c>
      <c r="E12" s="17">
        <v>45626</v>
      </c>
      <c r="F12" s="18">
        <v>30</v>
      </c>
      <c r="G12" s="15">
        <v>465</v>
      </c>
      <c r="H12" s="15" t="str">
        <v>F1
F2
F3</v>
      </c>
      <c r="I12" s="19" t="str">
        <v>132
133
200</v>
      </c>
      <c r="J12" s="19" t="str">
        <v>69
56
107</v>
      </c>
      <c r="K12" s="19">
        <v>0</v>
      </c>
      <c r="L12" s="19">
        <v>0</v>
      </c>
      <c r="M12" s="19">
        <v>56.15</v>
      </c>
      <c r="N12" s="19">
        <v>75.47</v>
      </c>
      <c r="O12" s="19">
        <v>30.23</v>
      </c>
      <c r="P12" s="19">
        <v>0</v>
      </c>
      <c r="Q12" s="19">
        <v>0</v>
      </c>
      <c r="R12" s="15">
        <v>0</v>
      </c>
      <c r="S12" s="15">
        <v>167.66</v>
      </c>
      <c r="T12" s="31">
        <f>'[1]04'!$T$110</f>
        <v>167.66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382926102</v>
      </c>
      <c r="C13" s="17">
        <v>45665</v>
      </c>
      <c r="D13" s="17">
        <v>45627</v>
      </c>
      <c r="E13" s="17">
        <v>45657</v>
      </c>
      <c r="F13" s="18">
        <v>31</v>
      </c>
      <c r="G13" s="15">
        <v>586</v>
      </c>
      <c r="H13" s="15" t="str">
        <v>F1
F2
F3</v>
      </c>
      <c r="I13" s="19" t="str">
        <v>163
138
285</v>
      </c>
      <c r="J13" s="19" t="str">
        <v>67
52
124</v>
      </c>
      <c r="K13" s="19">
        <v>0</v>
      </c>
      <c r="L13" s="19">
        <v>0</v>
      </c>
      <c r="M13" s="19">
        <v>63.54</v>
      </c>
      <c r="N13" s="19">
        <v>100.66</v>
      </c>
      <c r="O13" s="19">
        <v>37.74</v>
      </c>
      <c r="P13" s="19">
        <v>0</v>
      </c>
      <c r="Q13" s="19">
        <v>0</v>
      </c>
      <c r="R13" s="15">
        <v>0</v>
      </c>
      <c r="S13" s="15">
        <v>209.27</v>
      </c>
      <c r="T13" s="31">
        <f>'[1]04'!$T$113</f>
        <v>209.27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CAFEF-C5BF-954A-B41D-542BAB62E6E1}">
  <dimension ref="A1:U13"/>
  <sheetViews>
    <sheetView topLeftCell="E1" workbookViewId="0">
      <selection activeCell="T10" sqref="T10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_xlfn._xlws.FILTER(Calcolo!V:AN,Calcolo!A:A=Fabbricati!E6)</f>
        <v>2024</v>
      </c>
      <c r="B2" s="16">
        <v>382926072</v>
      </c>
      <c r="C2" s="17">
        <v>45350</v>
      </c>
      <c r="D2" s="17">
        <v>45292</v>
      </c>
      <c r="E2" s="17">
        <v>45322</v>
      </c>
      <c r="F2" s="18">
        <v>31</v>
      </c>
      <c r="G2" s="15">
        <v>2373</v>
      </c>
      <c r="H2" s="15" t="str">
        <v>F1
F2
F3</v>
      </c>
      <c r="I2" s="19" t="str">
        <v>545
548
1280</v>
      </c>
      <c r="J2" s="19" t="str">
        <v>0
0
0</v>
      </c>
      <c r="K2" s="19">
        <v>0</v>
      </c>
      <c r="L2" s="19">
        <v>0</v>
      </c>
      <c r="M2" s="19">
        <v>181.66</v>
      </c>
      <c r="N2" s="19">
        <v>364.81</v>
      </c>
      <c r="O2" s="19">
        <v>29.66</v>
      </c>
      <c r="P2" s="19">
        <v>0</v>
      </c>
      <c r="Q2" s="19">
        <v>0</v>
      </c>
      <c r="R2" s="15">
        <v>11.87</v>
      </c>
      <c r="S2" s="15">
        <v>717.36</v>
      </c>
      <c r="T2" s="31">
        <f>'[1]05'!$T$80</f>
        <v>717.36</v>
      </c>
      <c r="U2" t="b">
        <f>S2=T2</f>
        <v>1</v>
      </c>
    </row>
    <row r="3" spans="1:21" ht="48" customHeight="1" x14ac:dyDescent="0.2">
      <c r="A3" s="15">
        <v>2024</v>
      </c>
      <c r="B3" s="16">
        <v>382926072</v>
      </c>
      <c r="C3" s="17">
        <v>45358</v>
      </c>
      <c r="D3" s="17">
        <v>45323</v>
      </c>
      <c r="E3" s="17">
        <v>45351</v>
      </c>
      <c r="F3" s="18">
        <v>29</v>
      </c>
      <c r="G3" s="15">
        <v>1383</v>
      </c>
      <c r="H3" s="15" t="str">
        <v>F1
F2
F3</v>
      </c>
      <c r="I3" s="19" t="str">
        <v>330
345
708</v>
      </c>
      <c r="J3" s="19" t="str">
        <v>0
0
0</v>
      </c>
      <c r="K3" s="19">
        <v>0</v>
      </c>
      <c r="L3" s="19">
        <v>0</v>
      </c>
      <c r="M3" s="19">
        <v>127.9</v>
      </c>
      <c r="N3" s="19">
        <v>162.06</v>
      </c>
      <c r="O3" s="19">
        <v>67.599999999999994</v>
      </c>
      <c r="P3" s="19">
        <v>0</v>
      </c>
      <c r="Q3" s="19">
        <v>0</v>
      </c>
      <c r="R3" s="15">
        <v>0</v>
      </c>
      <c r="S3" s="15">
        <v>374.85</v>
      </c>
      <c r="T3" s="31">
        <f>'[1]05'!$T$83</f>
        <v>374.85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382926072</v>
      </c>
      <c r="C4" s="17">
        <v>45390</v>
      </c>
      <c r="D4" s="17">
        <v>45352</v>
      </c>
      <c r="E4" s="17">
        <v>45382</v>
      </c>
      <c r="F4" s="18">
        <v>31</v>
      </c>
      <c r="G4" s="15">
        <v>936</v>
      </c>
      <c r="H4" s="15" t="str">
        <v>F1
F2
F3</v>
      </c>
      <c r="I4" s="19" t="str">
        <v>183
234
519</v>
      </c>
      <c r="J4" s="19" t="str">
        <v>0
0
0</v>
      </c>
      <c r="K4" s="19">
        <v>0</v>
      </c>
      <c r="L4" s="19">
        <v>0</v>
      </c>
      <c r="M4" s="19">
        <v>103.64</v>
      </c>
      <c r="N4" s="19">
        <v>106.77</v>
      </c>
      <c r="O4" s="19">
        <v>48.86</v>
      </c>
      <c r="P4" s="19">
        <v>0</v>
      </c>
      <c r="Q4" s="19">
        <v>0</v>
      </c>
      <c r="R4" s="15">
        <v>0</v>
      </c>
      <c r="S4" s="15">
        <v>270.97000000000003</v>
      </c>
      <c r="T4" s="31">
        <f>'[1]05'!$T$86</f>
        <v>270.97000000000003</v>
      </c>
      <c r="U4" t="b">
        <f t="shared" si="0"/>
        <v>1</v>
      </c>
    </row>
    <row r="5" spans="1:21" ht="48" customHeight="1" x14ac:dyDescent="0.2">
      <c r="A5" s="15">
        <v>2024</v>
      </c>
      <c r="B5" s="16">
        <v>382926072</v>
      </c>
      <c r="C5" s="17">
        <v>45419</v>
      </c>
      <c r="D5" s="17">
        <v>45383</v>
      </c>
      <c r="E5" s="17">
        <v>45412</v>
      </c>
      <c r="F5" s="18">
        <v>30</v>
      </c>
      <c r="G5" s="15">
        <v>517</v>
      </c>
      <c r="H5" s="15" t="str">
        <v>F1
F2
F3</v>
      </c>
      <c r="I5" s="19" t="str">
        <v>49
128
340</v>
      </c>
      <c r="J5" s="19" t="str">
        <v>0
0
0</v>
      </c>
      <c r="K5" s="19">
        <v>0</v>
      </c>
      <c r="L5" s="19">
        <v>0</v>
      </c>
      <c r="M5" s="19">
        <v>88.16</v>
      </c>
      <c r="N5" s="19">
        <v>57.62</v>
      </c>
      <c r="O5" s="19">
        <v>33.49</v>
      </c>
      <c r="P5" s="19">
        <v>0</v>
      </c>
      <c r="Q5" s="19">
        <v>0</v>
      </c>
      <c r="R5" s="15">
        <v>0</v>
      </c>
      <c r="S5" s="15">
        <v>185.73</v>
      </c>
      <c r="T5" s="31">
        <f>'[1]05'!$T$89</f>
        <v>185.73</v>
      </c>
      <c r="U5" t="b">
        <f t="shared" si="0"/>
        <v>1</v>
      </c>
    </row>
    <row r="6" spans="1:21" ht="48" customHeight="1" x14ac:dyDescent="0.2">
      <c r="A6" s="15">
        <v>2024</v>
      </c>
      <c r="B6" s="16">
        <v>382926072</v>
      </c>
      <c r="C6" s="17">
        <v>45449</v>
      </c>
      <c r="D6" s="17">
        <v>45413</v>
      </c>
      <c r="E6" s="17">
        <v>45443</v>
      </c>
      <c r="F6" s="18">
        <v>31</v>
      </c>
      <c r="G6" s="15">
        <v>215</v>
      </c>
      <c r="H6" s="15" t="str">
        <v>F1
F2
F3</v>
      </c>
      <c r="I6" s="19" t="str">
        <v>39
53
123</v>
      </c>
      <c r="J6" s="19" t="str">
        <v>0
0
0</v>
      </c>
      <c r="K6" s="19">
        <v>0</v>
      </c>
      <c r="L6" s="19">
        <v>0</v>
      </c>
      <c r="M6" s="19">
        <v>69.72999999999999</v>
      </c>
      <c r="N6" s="19">
        <v>25.75</v>
      </c>
      <c r="O6" s="19">
        <v>21.6</v>
      </c>
      <c r="P6" s="19">
        <v>0</v>
      </c>
      <c r="Q6" s="19">
        <v>0</v>
      </c>
      <c r="R6" s="15">
        <v>0</v>
      </c>
      <c r="S6" s="15">
        <v>119.77</v>
      </c>
      <c r="T6" s="31">
        <f>'[1]05'!$T$92</f>
        <v>119.77</v>
      </c>
      <c r="U6" t="b">
        <f t="shared" si="0"/>
        <v>1</v>
      </c>
    </row>
    <row r="7" spans="1:21" ht="48" customHeight="1" x14ac:dyDescent="0.2">
      <c r="A7" s="15">
        <v>2024</v>
      </c>
      <c r="B7" s="16">
        <v>382926072</v>
      </c>
      <c r="C7" s="17">
        <v>45478</v>
      </c>
      <c r="D7" s="17">
        <v>45444</v>
      </c>
      <c r="E7" s="17">
        <v>45473</v>
      </c>
      <c r="F7" s="18">
        <v>30</v>
      </c>
      <c r="G7" s="15">
        <v>214</v>
      </c>
      <c r="H7" s="15" t="str">
        <v>F1
F2
F3</v>
      </c>
      <c r="I7" s="19" t="str">
        <v>23
51
140</v>
      </c>
      <c r="J7" s="19" t="str">
        <v>0
0
0</v>
      </c>
      <c r="K7" s="19">
        <v>0</v>
      </c>
      <c r="L7" s="19">
        <v>0</v>
      </c>
      <c r="M7" s="19">
        <v>69.66</v>
      </c>
      <c r="N7" s="19">
        <v>28.05</v>
      </c>
      <c r="O7" s="19">
        <v>22.09</v>
      </c>
      <c r="P7" s="19">
        <v>0</v>
      </c>
      <c r="Q7" s="19">
        <v>0</v>
      </c>
      <c r="R7" s="15">
        <v>0</v>
      </c>
      <c r="S7" s="15">
        <v>122.48</v>
      </c>
      <c r="T7" s="31">
        <f>'[1]05'!$T$95</f>
        <v>122.48</v>
      </c>
      <c r="U7" t="b">
        <f t="shared" si="0"/>
        <v>1</v>
      </c>
    </row>
    <row r="8" spans="1:21" ht="48" customHeight="1" x14ac:dyDescent="0.2">
      <c r="A8" s="15">
        <v>2024</v>
      </c>
      <c r="B8" s="16">
        <v>382926072</v>
      </c>
      <c r="C8" s="17">
        <v>45511</v>
      </c>
      <c r="D8" s="17">
        <v>45474</v>
      </c>
      <c r="E8" s="17">
        <v>45504</v>
      </c>
      <c r="F8" s="18">
        <v>31</v>
      </c>
      <c r="G8" s="15">
        <v>632</v>
      </c>
      <c r="H8" s="15" t="str">
        <v>F1
F2
F3</v>
      </c>
      <c r="I8" s="19" t="str">
        <v>90
190
352</v>
      </c>
      <c r="J8" s="19" t="str">
        <v>0
1
0</v>
      </c>
      <c r="K8" s="19">
        <v>0</v>
      </c>
      <c r="L8" s="19">
        <v>0</v>
      </c>
      <c r="M8" s="19">
        <v>95.18</v>
      </c>
      <c r="N8" s="19">
        <v>97.7</v>
      </c>
      <c r="O8" s="19">
        <v>44.17</v>
      </c>
      <c r="P8" s="19">
        <v>0</v>
      </c>
      <c r="Q8" s="19">
        <v>0</v>
      </c>
      <c r="R8" s="15">
        <v>0</v>
      </c>
      <c r="S8" s="15">
        <v>244.95</v>
      </c>
      <c r="T8" s="31">
        <f>'[1]05'!$T$98</f>
        <v>244.95</v>
      </c>
      <c r="U8" t="b">
        <f t="shared" si="0"/>
        <v>1</v>
      </c>
    </row>
    <row r="9" spans="1:21" ht="48" customHeight="1" x14ac:dyDescent="0.2">
      <c r="A9" s="15">
        <v>2024</v>
      </c>
      <c r="B9" s="16">
        <v>382926072</v>
      </c>
      <c r="C9" s="17">
        <v>45541</v>
      </c>
      <c r="D9" s="17">
        <v>45505</v>
      </c>
      <c r="E9" s="17">
        <v>45535</v>
      </c>
      <c r="F9" s="18">
        <v>31</v>
      </c>
      <c r="G9" s="15">
        <v>590</v>
      </c>
      <c r="H9" s="15" t="str">
        <v>F1
F2
F3</v>
      </c>
      <c r="I9" s="19" t="str">
        <v>76
182
332</v>
      </c>
      <c r="J9" s="19" t="str">
        <v>0
0
0</v>
      </c>
      <c r="K9" s="19">
        <v>0</v>
      </c>
      <c r="L9" s="19">
        <v>0</v>
      </c>
      <c r="M9" s="19">
        <v>92.62</v>
      </c>
      <c r="N9" s="19">
        <v>94.44</v>
      </c>
      <c r="O9" s="19">
        <v>42.78</v>
      </c>
      <c r="P9" s="19">
        <v>0</v>
      </c>
      <c r="Q9" s="19">
        <v>0</v>
      </c>
      <c r="R9" s="15">
        <v>0</v>
      </c>
      <c r="S9" s="15">
        <v>237.22</v>
      </c>
      <c r="T9" s="31">
        <f>'[1]05'!$T$101</f>
        <v>237.22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382926072</v>
      </c>
      <c r="C10" s="17">
        <v>45571</v>
      </c>
      <c r="D10" s="17">
        <v>45536</v>
      </c>
      <c r="E10" s="17">
        <v>45565</v>
      </c>
      <c r="F10" s="18">
        <v>30</v>
      </c>
      <c r="G10" s="15">
        <v>342</v>
      </c>
      <c r="H10" s="15" t="str">
        <v>F1
F2
F3</v>
      </c>
      <c r="I10" s="19" t="str">
        <v>61
89
192</v>
      </c>
      <c r="J10" s="19" t="str">
        <v>0
0
0</v>
      </c>
      <c r="K10" s="19">
        <v>0</v>
      </c>
      <c r="L10" s="19">
        <v>0</v>
      </c>
      <c r="M10" s="19">
        <v>77.489999999999995</v>
      </c>
      <c r="N10" s="19">
        <v>48.94</v>
      </c>
      <c r="O10" s="19">
        <v>28.76</v>
      </c>
      <c r="P10" s="19">
        <v>0</v>
      </c>
      <c r="Q10" s="19">
        <v>0</v>
      </c>
      <c r="R10" s="15">
        <v>0</v>
      </c>
      <c r="S10" s="15">
        <v>159.47</v>
      </c>
      <c r="T10" s="31">
        <f>'[1]05'!$T$104</f>
        <v>159.47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382926072</v>
      </c>
      <c r="C11" s="17">
        <v>45604</v>
      </c>
      <c r="D11" s="17">
        <v>45566</v>
      </c>
      <c r="E11" s="17">
        <v>45596</v>
      </c>
      <c r="F11" s="18">
        <v>31</v>
      </c>
      <c r="G11" s="15">
        <v>475</v>
      </c>
      <c r="H11" s="15" t="str">
        <v>F1
F2
F3</v>
      </c>
      <c r="I11" s="19" t="str">
        <v>222
102
151</v>
      </c>
      <c r="J11" s="19" t="str">
        <v>0
0
0</v>
      </c>
      <c r="K11" s="19">
        <v>0</v>
      </c>
      <c r="L11" s="19">
        <v>0</v>
      </c>
      <c r="M11" s="19">
        <v>85.6</v>
      </c>
      <c r="N11" s="19">
        <v>70.56</v>
      </c>
      <c r="O11" s="19">
        <v>35.659999999999997</v>
      </c>
      <c r="P11" s="19">
        <v>0</v>
      </c>
      <c r="Q11" s="19">
        <v>0</v>
      </c>
      <c r="R11" s="15">
        <v>0</v>
      </c>
      <c r="S11" s="15">
        <v>197.76</v>
      </c>
      <c r="T11" s="31">
        <f>'[1]05'!$T$107</f>
        <v>197.76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382926072</v>
      </c>
      <c r="C12" s="17">
        <v>45632</v>
      </c>
      <c r="D12" s="17">
        <v>45597</v>
      </c>
      <c r="E12" s="17">
        <v>45626</v>
      </c>
      <c r="F12" s="18">
        <v>30</v>
      </c>
      <c r="G12" s="15">
        <v>1108</v>
      </c>
      <c r="H12" s="15" t="str">
        <v>F1
F2
F3</v>
      </c>
      <c r="I12" s="19" t="str">
        <v>523
281
304</v>
      </c>
      <c r="J12" s="19" t="str">
        <v>0
0
0</v>
      </c>
      <c r="K12" s="19">
        <v>0</v>
      </c>
      <c r="L12" s="19">
        <v>0</v>
      </c>
      <c r="M12" s="19">
        <v>124.25</v>
      </c>
      <c r="N12" s="19">
        <v>185.62</v>
      </c>
      <c r="O12" s="19">
        <v>71.22</v>
      </c>
      <c r="P12" s="19">
        <v>0</v>
      </c>
      <c r="Q12" s="19">
        <v>0</v>
      </c>
      <c r="R12" s="15">
        <v>0</v>
      </c>
      <c r="S12" s="15">
        <v>394.94</v>
      </c>
      <c r="T12" s="31">
        <f>'[1]05'!$T$110</f>
        <v>394.94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382926072</v>
      </c>
      <c r="C13" s="17">
        <v>45665</v>
      </c>
      <c r="D13" s="17">
        <v>45627</v>
      </c>
      <c r="E13" s="17">
        <v>45657</v>
      </c>
      <c r="F13" s="18">
        <v>31</v>
      </c>
      <c r="G13" s="15">
        <v>2134</v>
      </c>
      <c r="H13" s="15" t="str">
        <v>F1
F2
F3</v>
      </c>
      <c r="I13" s="19" t="str">
        <v>749
388
997</v>
      </c>
      <c r="J13" s="19" t="str">
        <v>1
0
0</v>
      </c>
      <c r="K13" s="19">
        <v>0</v>
      </c>
      <c r="L13" s="19">
        <v>0</v>
      </c>
      <c r="M13" s="19">
        <v>186.89000000000001</v>
      </c>
      <c r="N13" s="19">
        <v>370.03</v>
      </c>
      <c r="O13" s="19">
        <v>128.38999999999999</v>
      </c>
      <c r="P13" s="19">
        <v>0</v>
      </c>
      <c r="Q13" s="19">
        <v>0</v>
      </c>
      <c r="R13" s="15">
        <v>0</v>
      </c>
      <c r="S13" s="15">
        <v>711.99</v>
      </c>
      <c r="T13" s="31">
        <f>'[1]05'!$T$113</f>
        <v>711.99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396DB-6A9C-D74E-BD41-7E8626BEE2EB}">
  <dimension ref="A1:S13"/>
  <sheetViews>
    <sheetView topLeftCell="C1" workbookViewId="0"/>
  </sheetViews>
  <sheetFormatPr baseColWidth="10" defaultColWidth="8.83203125" defaultRowHeight="15" x14ac:dyDescent="0.2"/>
  <cols>
    <col min="2" max="2" width="7.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19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19" ht="48" customHeight="1" x14ac:dyDescent="0.2">
      <c r="A2" s="15" t="e" cm="1" vm="1">
        <f t="array" ref="A2">_xlfn._xlws.FILTER(Calcolo!V:AN,Calcolo!A:A=Fabbricati!E7)</f>
        <v>#VALUE!</v>
      </c>
      <c r="B2" s="16"/>
      <c r="C2" s="17"/>
      <c r="D2" s="17"/>
      <c r="E2" s="17"/>
      <c r="F2" s="18"/>
      <c r="G2" s="15"/>
      <c r="H2" s="15"/>
      <c r="I2" s="19"/>
      <c r="J2" s="19"/>
      <c r="K2" s="19"/>
      <c r="L2" s="19"/>
      <c r="M2" s="19"/>
      <c r="N2" s="19"/>
      <c r="O2" s="19"/>
      <c r="P2" s="19"/>
      <c r="Q2" s="19"/>
      <c r="R2" s="15"/>
      <c r="S2" s="15"/>
    </row>
    <row r="3" spans="1:19" ht="48" customHeight="1" x14ac:dyDescent="0.2">
      <c r="A3" s="15"/>
      <c r="B3" s="16"/>
      <c r="C3" s="17"/>
      <c r="D3" s="17"/>
      <c r="E3" s="17"/>
      <c r="F3" s="18"/>
      <c r="G3" s="15"/>
      <c r="H3" s="15"/>
      <c r="I3" s="19"/>
      <c r="J3" s="19"/>
      <c r="K3" s="19"/>
      <c r="L3" s="19"/>
      <c r="M3" s="19"/>
      <c r="N3" s="19"/>
      <c r="O3" s="19"/>
      <c r="P3" s="19"/>
      <c r="Q3" s="19"/>
      <c r="R3" s="15"/>
      <c r="S3" s="15"/>
    </row>
    <row r="4" spans="1:19" ht="48" customHeight="1" x14ac:dyDescent="0.2">
      <c r="A4" s="15"/>
      <c r="B4" s="16"/>
      <c r="C4" s="17"/>
      <c r="D4" s="17"/>
      <c r="E4" s="17"/>
      <c r="F4" s="18"/>
      <c r="G4" s="15"/>
      <c r="H4" s="15"/>
      <c r="I4" s="19"/>
      <c r="J4" s="19"/>
      <c r="K4" s="19"/>
      <c r="L4" s="19"/>
      <c r="M4" s="19"/>
      <c r="N4" s="19"/>
      <c r="O4" s="19"/>
      <c r="P4" s="19"/>
      <c r="Q4" s="19"/>
      <c r="R4" s="15"/>
      <c r="S4" s="15"/>
    </row>
    <row r="5" spans="1:19" ht="48" customHeight="1" x14ac:dyDescent="0.2">
      <c r="A5" s="15"/>
      <c r="B5" s="16"/>
      <c r="C5" s="17"/>
      <c r="D5" s="17"/>
      <c r="E5" s="17"/>
      <c r="F5" s="18"/>
      <c r="G5" s="15"/>
      <c r="H5" s="15"/>
      <c r="I5" s="19"/>
      <c r="J5" s="19"/>
      <c r="K5" s="19"/>
      <c r="L5" s="19"/>
      <c r="M5" s="19"/>
      <c r="N5" s="19"/>
      <c r="O5" s="19"/>
      <c r="P5" s="19"/>
      <c r="Q5" s="19"/>
      <c r="R5" s="15"/>
      <c r="S5" s="15"/>
    </row>
    <row r="6" spans="1:19" ht="48" customHeight="1" x14ac:dyDescent="0.2">
      <c r="A6" s="15"/>
      <c r="B6" s="16"/>
      <c r="C6" s="17"/>
      <c r="D6" s="17"/>
      <c r="E6" s="17"/>
      <c r="F6" s="18"/>
      <c r="G6" s="15"/>
      <c r="H6" s="15"/>
      <c r="I6" s="19"/>
      <c r="J6" s="19"/>
      <c r="K6" s="19"/>
      <c r="L6" s="19"/>
      <c r="M6" s="19"/>
      <c r="N6" s="19"/>
      <c r="O6" s="19"/>
      <c r="P6" s="19"/>
      <c r="Q6" s="19"/>
      <c r="R6" s="15"/>
      <c r="S6" s="15"/>
    </row>
    <row r="7" spans="1:19" ht="48" customHeight="1" x14ac:dyDescent="0.2">
      <c r="A7" s="15"/>
      <c r="B7" s="16"/>
      <c r="C7" s="17"/>
      <c r="D7" s="17"/>
      <c r="E7" s="17"/>
      <c r="F7" s="18"/>
      <c r="G7" s="15"/>
      <c r="H7" s="15"/>
      <c r="I7" s="19"/>
      <c r="J7" s="19"/>
      <c r="K7" s="19"/>
      <c r="L7" s="19"/>
      <c r="M7" s="19"/>
      <c r="N7" s="19"/>
      <c r="O7" s="19"/>
      <c r="P7" s="19"/>
      <c r="Q7" s="19"/>
      <c r="R7" s="15"/>
      <c r="S7" s="15"/>
    </row>
    <row r="8" spans="1:19" ht="48" customHeight="1" x14ac:dyDescent="0.2">
      <c r="A8" s="15"/>
      <c r="B8" s="16"/>
      <c r="C8" s="17"/>
      <c r="D8" s="17"/>
      <c r="E8" s="17"/>
      <c r="F8" s="18"/>
      <c r="G8" s="15"/>
      <c r="H8" s="15"/>
      <c r="I8" s="19"/>
      <c r="J8" s="19"/>
      <c r="K8" s="19"/>
      <c r="L8" s="19"/>
      <c r="M8" s="19"/>
      <c r="N8" s="19"/>
      <c r="O8" s="19"/>
      <c r="P8" s="19"/>
      <c r="Q8" s="19"/>
      <c r="R8" s="15"/>
      <c r="S8" s="15"/>
    </row>
    <row r="9" spans="1:19" ht="48" customHeight="1" x14ac:dyDescent="0.2">
      <c r="A9" s="15"/>
      <c r="B9" s="16"/>
      <c r="C9" s="17"/>
      <c r="D9" s="17"/>
      <c r="E9" s="17"/>
      <c r="F9" s="18"/>
      <c r="G9" s="15"/>
      <c r="H9" s="15"/>
      <c r="I9" s="19"/>
      <c r="J9" s="19"/>
      <c r="K9" s="19"/>
      <c r="L9" s="19"/>
      <c r="M9" s="19"/>
      <c r="N9" s="19"/>
      <c r="O9" s="19"/>
      <c r="P9" s="19"/>
      <c r="Q9" s="19"/>
      <c r="R9" s="15"/>
      <c r="S9" s="15"/>
    </row>
    <row r="10" spans="1:19" ht="48" customHeight="1" x14ac:dyDescent="0.2">
      <c r="A10" s="15"/>
      <c r="B10" s="16"/>
      <c r="C10" s="17"/>
      <c r="D10" s="17"/>
      <c r="E10" s="17"/>
      <c r="F10" s="18"/>
      <c r="G10" s="15"/>
      <c r="H10" s="15"/>
      <c r="I10" s="19"/>
      <c r="J10" s="19"/>
      <c r="K10" s="19"/>
      <c r="L10" s="19"/>
      <c r="M10" s="19"/>
      <c r="N10" s="19"/>
      <c r="O10" s="19"/>
      <c r="P10" s="19"/>
      <c r="Q10" s="19"/>
      <c r="R10" s="15"/>
      <c r="S10" s="15"/>
    </row>
    <row r="11" spans="1:19" ht="48" customHeight="1" x14ac:dyDescent="0.2">
      <c r="A11" s="15"/>
      <c r="B11" s="16"/>
      <c r="C11" s="17"/>
      <c r="D11" s="17"/>
      <c r="E11" s="17"/>
      <c r="F11" s="18"/>
      <c r="G11" s="15"/>
      <c r="H11" s="15"/>
      <c r="I11" s="19"/>
      <c r="J11" s="19"/>
      <c r="K11" s="19"/>
      <c r="L11" s="19"/>
      <c r="M11" s="19"/>
      <c r="N11" s="19"/>
      <c r="O11" s="19"/>
      <c r="P11" s="19"/>
      <c r="Q11" s="19"/>
      <c r="R11" s="15"/>
      <c r="S11" s="15"/>
    </row>
    <row r="12" spans="1:19" ht="48" customHeight="1" x14ac:dyDescent="0.2">
      <c r="A12" s="15"/>
      <c r="B12" s="16"/>
      <c r="C12" s="17"/>
      <c r="D12" s="17"/>
      <c r="E12" s="17"/>
      <c r="F12" s="18"/>
      <c r="G12" s="15"/>
      <c r="H12" s="15"/>
      <c r="I12" s="19"/>
      <c r="J12" s="19"/>
      <c r="K12" s="19"/>
      <c r="L12" s="19"/>
      <c r="M12" s="19"/>
      <c r="N12" s="19"/>
      <c r="O12" s="19"/>
      <c r="P12" s="19"/>
      <c r="Q12" s="19"/>
      <c r="R12" s="15"/>
      <c r="S12" s="15"/>
    </row>
    <row r="13" spans="1:19" ht="48" customHeight="1" x14ac:dyDescent="0.2">
      <c r="A13" s="15"/>
      <c r="B13" s="16"/>
      <c r="C13" s="17"/>
      <c r="D13" s="17"/>
      <c r="E13" s="17"/>
      <c r="F13" s="18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5"/>
      <c r="S13" s="15"/>
    </row>
  </sheetData>
  <mergeCells count="2">
    <mergeCell ref="D1:E1"/>
    <mergeCell ref="O1:P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20F92-0645-AD4A-BD9F-A67A92F45084}">
  <dimension ref="A1:U13"/>
  <sheetViews>
    <sheetView topLeftCell="C1" workbookViewId="0">
      <selection activeCell="T8" sqref="T8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_xlfn._xlws.FILTER(Calcolo!V:AN,Calcolo!A:A=Fabbricati!E8)</f>
        <v>2024</v>
      </c>
      <c r="B2" s="16">
        <v>382443721</v>
      </c>
      <c r="C2" s="17">
        <v>45350</v>
      </c>
      <c r="D2" s="17">
        <v>45292</v>
      </c>
      <c r="E2" s="17">
        <v>45322</v>
      </c>
      <c r="F2" s="18">
        <v>31</v>
      </c>
      <c r="G2" s="15">
        <v>242</v>
      </c>
      <c r="H2" s="15" t="str">
        <v>F1
F2
F3</v>
      </c>
      <c r="I2" s="19" t="str">
        <v>117
58
67</v>
      </c>
      <c r="J2" s="19" t="str">
        <v>9
5
0</v>
      </c>
      <c r="K2" s="19">
        <v>0</v>
      </c>
      <c r="L2" s="19">
        <v>0</v>
      </c>
      <c r="M2" s="19">
        <v>46.379999999999995</v>
      </c>
      <c r="N2" s="19">
        <v>38.630000000000003</v>
      </c>
      <c r="O2" s="19">
        <v>3.03</v>
      </c>
      <c r="P2" s="19">
        <v>0</v>
      </c>
      <c r="Q2" s="19">
        <v>0</v>
      </c>
      <c r="R2" s="15">
        <v>1.21</v>
      </c>
      <c r="S2" s="15">
        <v>108.89</v>
      </c>
      <c r="T2" s="31">
        <f>'[1]07'!$T$80</f>
        <v>108.89</v>
      </c>
      <c r="U2" t="b">
        <f>S2=T2</f>
        <v>1</v>
      </c>
    </row>
    <row r="3" spans="1:21" ht="48" customHeight="1" x14ac:dyDescent="0.2">
      <c r="A3" s="15">
        <v>2024</v>
      </c>
      <c r="B3" s="16">
        <v>382443721</v>
      </c>
      <c r="C3" s="17">
        <v>45358</v>
      </c>
      <c r="D3" s="17">
        <v>45323</v>
      </c>
      <c r="E3" s="17">
        <v>45351</v>
      </c>
      <c r="F3" s="18">
        <v>29</v>
      </c>
      <c r="G3" s="15">
        <v>222</v>
      </c>
      <c r="H3" s="15" t="str">
        <v>F1
F2
F3</v>
      </c>
      <c r="I3" s="19" t="str">
        <v>100
66
56</v>
      </c>
      <c r="J3" s="19" t="str">
        <v>6
5
1</v>
      </c>
      <c r="K3" s="19">
        <v>0</v>
      </c>
      <c r="L3" s="19">
        <v>0</v>
      </c>
      <c r="M3" s="19">
        <v>45.290000000000006</v>
      </c>
      <c r="N3" s="19">
        <v>27.3</v>
      </c>
      <c r="O3" s="19">
        <v>16.579999999999998</v>
      </c>
      <c r="P3" s="19">
        <v>0</v>
      </c>
      <c r="Q3" s="19">
        <v>0</v>
      </c>
      <c r="R3" s="15">
        <v>0</v>
      </c>
      <c r="S3" s="15">
        <v>91.95</v>
      </c>
      <c r="T3" s="31">
        <f>'[1]07'!$T$83</f>
        <v>91.95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382443721</v>
      </c>
      <c r="C4" s="17">
        <v>45390</v>
      </c>
      <c r="D4" s="17">
        <v>45352</v>
      </c>
      <c r="E4" s="17">
        <v>45382</v>
      </c>
      <c r="F4" s="18">
        <v>31</v>
      </c>
      <c r="G4" s="15">
        <v>212</v>
      </c>
      <c r="H4" s="15" t="str">
        <v>F1
F2
F3</v>
      </c>
      <c r="I4" s="19" t="str">
        <v>89
66
57</v>
      </c>
      <c r="J4" s="19" t="str">
        <v>6
5
0</v>
      </c>
      <c r="K4" s="19">
        <v>0</v>
      </c>
      <c r="L4" s="19">
        <v>0</v>
      </c>
      <c r="M4" s="19">
        <v>44.75</v>
      </c>
      <c r="N4" s="19">
        <v>25.18</v>
      </c>
      <c r="O4" s="19">
        <v>15.97</v>
      </c>
      <c r="P4" s="19">
        <v>0</v>
      </c>
      <c r="Q4" s="19">
        <v>0</v>
      </c>
      <c r="R4" s="15">
        <v>0</v>
      </c>
      <c r="S4" s="15">
        <v>88.55</v>
      </c>
      <c r="T4" s="31">
        <f>'[1]07'!$T$86</f>
        <v>88.55</v>
      </c>
      <c r="U4" t="b">
        <f t="shared" si="0"/>
        <v>1</v>
      </c>
    </row>
    <row r="5" spans="1:21" ht="48" customHeight="1" x14ac:dyDescent="0.2">
      <c r="A5" s="15">
        <v>2024</v>
      </c>
      <c r="B5" s="16">
        <v>382443721</v>
      </c>
      <c r="C5" s="17">
        <v>45419</v>
      </c>
      <c r="D5" s="17">
        <v>45383</v>
      </c>
      <c r="E5" s="17">
        <v>45392</v>
      </c>
      <c r="F5" s="18">
        <v>10</v>
      </c>
      <c r="G5" s="15">
        <v>142</v>
      </c>
      <c r="H5" s="15" t="str">
        <v>F1
F2
F3</v>
      </c>
      <c r="I5" s="19" t="str">
        <v>53
38
51</v>
      </c>
      <c r="J5" s="19" t="str">
        <v>2
1
1</v>
      </c>
      <c r="K5" s="19">
        <v>0</v>
      </c>
      <c r="L5" s="19">
        <v>0</v>
      </c>
      <c r="M5" s="19">
        <v>44.26</v>
      </c>
      <c r="N5" s="19">
        <v>16.11</v>
      </c>
      <c r="O5" s="19">
        <v>13.67</v>
      </c>
      <c r="P5" s="19">
        <v>0</v>
      </c>
      <c r="Q5" s="19">
        <v>0</v>
      </c>
      <c r="R5" s="15">
        <v>0</v>
      </c>
      <c r="S5" s="15">
        <v>75.819999999999993</v>
      </c>
      <c r="T5" s="31">
        <f>'[1]07'!$T$89</f>
        <v>75.819999999999993</v>
      </c>
      <c r="U5" t="b">
        <f t="shared" si="0"/>
        <v>1</v>
      </c>
    </row>
    <row r="6" spans="1:21" ht="48" customHeight="1" x14ac:dyDescent="0.2">
      <c r="A6" s="15">
        <v>2024</v>
      </c>
      <c r="B6" s="16">
        <v>382443721</v>
      </c>
      <c r="C6" s="17">
        <v>45449</v>
      </c>
      <c r="D6" s="17">
        <v>45413</v>
      </c>
      <c r="E6" s="17">
        <v>45443</v>
      </c>
      <c r="F6" s="18">
        <v>31</v>
      </c>
      <c r="G6" s="15">
        <v>88</v>
      </c>
      <c r="H6" s="15" t="str">
        <v>F1
F2
F3</v>
      </c>
      <c r="I6" s="19" t="str">
        <v>29
35
24</v>
      </c>
      <c r="J6" s="19" t="str">
        <v>0
1
1</v>
      </c>
      <c r="K6" s="19">
        <v>0</v>
      </c>
      <c r="L6" s="19">
        <v>0</v>
      </c>
      <c r="M6" s="19">
        <v>40.980000000000004</v>
      </c>
      <c r="N6" s="19">
        <v>11.07</v>
      </c>
      <c r="O6" s="19">
        <v>11.69</v>
      </c>
      <c r="P6" s="19">
        <v>0</v>
      </c>
      <c r="Q6" s="19">
        <v>0</v>
      </c>
      <c r="R6" s="15">
        <v>0</v>
      </c>
      <c r="S6" s="15">
        <v>64.84</v>
      </c>
      <c r="T6" s="31">
        <f>'[1]07'!$T$92</f>
        <v>64.84</v>
      </c>
      <c r="U6" t="b">
        <f t="shared" si="0"/>
        <v>1</v>
      </c>
    </row>
    <row r="7" spans="1:21" ht="48" customHeight="1" x14ac:dyDescent="0.2">
      <c r="A7" s="15">
        <v>2024</v>
      </c>
      <c r="B7" s="16">
        <v>382443721</v>
      </c>
      <c r="C7" s="17">
        <v>45478</v>
      </c>
      <c r="D7" s="17">
        <v>45444</v>
      </c>
      <c r="E7" s="17">
        <v>45473</v>
      </c>
      <c r="F7" s="18">
        <v>30</v>
      </c>
      <c r="G7" s="15">
        <v>43</v>
      </c>
      <c r="H7" s="15" t="str">
        <v>F1
F2
F3</v>
      </c>
      <c r="I7" s="19" t="str">
        <v>8
21
14</v>
      </c>
      <c r="J7" s="19" t="str">
        <v>1
1
1</v>
      </c>
      <c r="K7" s="19">
        <v>0</v>
      </c>
      <c r="L7" s="19">
        <v>0</v>
      </c>
      <c r="M7" s="19">
        <v>38.230000000000004</v>
      </c>
      <c r="N7" s="19">
        <v>5.87</v>
      </c>
      <c r="O7" s="19">
        <v>9.82</v>
      </c>
      <c r="P7" s="19">
        <v>0</v>
      </c>
      <c r="Q7" s="19">
        <v>0</v>
      </c>
      <c r="R7" s="15">
        <v>0</v>
      </c>
      <c r="S7" s="15">
        <v>54.46</v>
      </c>
      <c r="T7" s="31">
        <f>'[1]07'!$T$95</f>
        <v>54.46</v>
      </c>
      <c r="U7" t="b">
        <f t="shared" si="0"/>
        <v>1</v>
      </c>
    </row>
    <row r="8" spans="1:21" ht="48" customHeight="1" x14ac:dyDescent="0.2">
      <c r="A8" s="15">
        <v>2024</v>
      </c>
      <c r="B8" s="16">
        <v>382443721</v>
      </c>
      <c r="C8" s="17">
        <v>45511</v>
      </c>
      <c r="D8" s="17">
        <v>45474</v>
      </c>
      <c r="E8" s="17">
        <v>45504</v>
      </c>
      <c r="F8" s="18">
        <v>31</v>
      </c>
      <c r="G8" s="15">
        <v>44</v>
      </c>
      <c r="H8" s="15" t="str">
        <v>F1
F2
F3</v>
      </c>
      <c r="I8" s="19" t="str">
        <v>14
15
15</v>
      </c>
      <c r="J8" s="19" t="str">
        <v>2
1
2</v>
      </c>
      <c r="K8" s="19">
        <v>0</v>
      </c>
      <c r="L8" s="19">
        <v>0</v>
      </c>
      <c r="M8" s="19">
        <v>38.299999999999997</v>
      </c>
      <c r="N8" s="19">
        <v>6.96</v>
      </c>
      <c r="O8" s="19">
        <v>10.08</v>
      </c>
      <c r="P8" s="19">
        <v>0</v>
      </c>
      <c r="Q8" s="19">
        <v>0</v>
      </c>
      <c r="R8" s="15">
        <v>0</v>
      </c>
      <c r="S8" s="15">
        <v>55.89</v>
      </c>
      <c r="T8" s="31">
        <f>'[1]07'!$T$98</f>
        <v>55.89</v>
      </c>
      <c r="U8" t="b">
        <f t="shared" si="0"/>
        <v>1</v>
      </c>
    </row>
    <row r="9" spans="1:21" ht="48" customHeight="1" x14ac:dyDescent="0.2">
      <c r="A9" s="15">
        <v>2024</v>
      </c>
      <c r="B9" s="16">
        <v>382443721</v>
      </c>
      <c r="C9" s="17">
        <v>45541</v>
      </c>
      <c r="D9" s="17">
        <v>45505</v>
      </c>
      <c r="E9" s="17">
        <v>45535</v>
      </c>
      <c r="F9" s="18">
        <v>31</v>
      </c>
      <c r="G9" s="15">
        <v>355</v>
      </c>
      <c r="H9" s="15" t="str">
        <v>F1
F2
F3</v>
      </c>
      <c r="I9" s="19" t="str">
        <v>116
121
118</v>
      </c>
      <c r="J9" s="19" t="str">
        <v>6
6
7</v>
      </c>
      <c r="K9" s="19">
        <v>0</v>
      </c>
      <c r="L9" s="19">
        <v>0</v>
      </c>
      <c r="M9" s="19">
        <v>37.93</v>
      </c>
      <c r="N9" s="19">
        <v>5.99</v>
      </c>
      <c r="O9" s="19">
        <v>9.74</v>
      </c>
      <c r="P9" s="19">
        <v>0</v>
      </c>
      <c r="Q9" s="19">
        <v>0</v>
      </c>
      <c r="R9" s="15">
        <v>0</v>
      </c>
      <c r="S9" s="15">
        <v>53.99</v>
      </c>
      <c r="T9" s="31">
        <f>'[1]07'!$T$101</f>
        <v>53.99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382443721</v>
      </c>
      <c r="C10" s="17">
        <v>45571</v>
      </c>
      <c r="D10" s="17">
        <v>45536</v>
      </c>
      <c r="E10" s="17">
        <v>45565</v>
      </c>
      <c r="F10" s="18">
        <v>30</v>
      </c>
      <c r="G10" s="15">
        <v>42</v>
      </c>
      <c r="H10" s="15" t="str">
        <v>F1
F2
F3</v>
      </c>
      <c r="I10" s="19" t="str">
        <v>14
15
13</v>
      </c>
      <c r="J10" s="19" t="str">
        <v>1
1
2</v>
      </c>
      <c r="K10" s="19">
        <v>0</v>
      </c>
      <c r="L10" s="19">
        <v>0</v>
      </c>
      <c r="M10" s="19">
        <v>38.17</v>
      </c>
      <c r="N10" s="19">
        <v>6.22</v>
      </c>
      <c r="O10" s="19">
        <v>9.8800000000000008</v>
      </c>
      <c r="P10" s="19">
        <v>0</v>
      </c>
      <c r="Q10" s="19">
        <v>0</v>
      </c>
      <c r="R10" s="15">
        <v>0</v>
      </c>
      <c r="S10" s="15">
        <v>54.8</v>
      </c>
      <c r="T10" s="31">
        <f>'[1]07'!$T$104</f>
        <v>54.8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382443721</v>
      </c>
      <c r="C11" s="17">
        <v>45604</v>
      </c>
      <c r="D11" s="17">
        <v>45566</v>
      </c>
      <c r="E11" s="17">
        <v>45596</v>
      </c>
      <c r="F11" s="18">
        <v>31</v>
      </c>
      <c r="G11" s="15">
        <v>135</v>
      </c>
      <c r="H11" s="15" t="str">
        <v>F1
F2
F3</v>
      </c>
      <c r="I11" s="19" t="str">
        <v>54
39
42</v>
      </c>
      <c r="J11" s="19" t="str">
        <v>0
0
0</v>
      </c>
      <c r="K11" s="19">
        <v>0</v>
      </c>
      <c r="L11" s="19">
        <v>0</v>
      </c>
      <c r="M11" s="19">
        <v>43.85</v>
      </c>
      <c r="N11" s="19">
        <v>20.07</v>
      </c>
      <c r="O11" s="19">
        <v>14.43</v>
      </c>
      <c r="P11" s="19">
        <v>0</v>
      </c>
      <c r="Q11" s="19">
        <v>0</v>
      </c>
      <c r="R11" s="15">
        <v>0</v>
      </c>
      <c r="S11" s="15">
        <v>80.040000000000006</v>
      </c>
      <c r="T11" s="31">
        <f>'[1]07'!$T$107</f>
        <v>80.040000000000006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382443721</v>
      </c>
      <c r="C12" s="17">
        <v>45632</v>
      </c>
      <c r="D12" s="17">
        <v>45597</v>
      </c>
      <c r="E12" s="17">
        <v>45626</v>
      </c>
      <c r="F12" s="18">
        <v>30</v>
      </c>
      <c r="G12" s="15">
        <v>222</v>
      </c>
      <c r="H12" s="15" t="str">
        <v>F1
F2
F3</v>
      </c>
      <c r="I12" s="19" t="str">
        <v>91
63
68</v>
      </c>
      <c r="J12" s="19" t="str">
        <v>6
3
2</v>
      </c>
      <c r="K12" s="19">
        <v>0</v>
      </c>
      <c r="L12" s="19">
        <v>0</v>
      </c>
      <c r="M12" s="19">
        <v>49.16</v>
      </c>
      <c r="N12" s="19">
        <v>36.909999999999997</v>
      </c>
      <c r="O12" s="19">
        <v>19.55</v>
      </c>
      <c r="P12" s="19">
        <v>0</v>
      </c>
      <c r="Q12" s="19">
        <v>0</v>
      </c>
      <c r="R12" s="15">
        <v>0</v>
      </c>
      <c r="S12" s="15">
        <v>108.4</v>
      </c>
      <c r="T12" s="31">
        <f>'[1]07'!$T$110</f>
        <v>108.4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382443721</v>
      </c>
      <c r="C13" s="17">
        <v>45665</v>
      </c>
      <c r="D13" s="17">
        <v>45627</v>
      </c>
      <c r="E13" s="17">
        <v>45657</v>
      </c>
      <c r="F13" s="18">
        <v>31</v>
      </c>
      <c r="G13" s="15">
        <v>210</v>
      </c>
      <c r="H13" s="15" t="str">
        <v>F1
F2
F3</v>
      </c>
      <c r="I13" s="19" t="str">
        <v>88
60
62</v>
      </c>
      <c r="J13" s="19" t="str">
        <v>13
6
4</v>
      </c>
      <c r="K13" s="19">
        <v>0</v>
      </c>
      <c r="L13" s="19">
        <v>0</v>
      </c>
      <c r="M13" s="19">
        <v>48.43</v>
      </c>
      <c r="N13" s="19">
        <v>37.82</v>
      </c>
      <c r="O13" s="19">
        <v>19.55</v>
      </c>
      <c r="P13" s="19">
        <v>0</v>
      </c>
      <c r="Q13" s="19">
        <v>0</v>
      </c>
      <c r="R13" s="15">
        <v>0</v>
      </c>
      <c r="S13" s="15">
        <v>108.43</v>
      </c>
      <c r="T13" s="31">
        <f>'[1]07'!$T$113</f>
        <v>108.43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C55DC8-83C0-5E47-88CA-77229095EAAD}">
  <dimension ref="A1:U13"/>
  <sheetViews>
    <sheetView topLeftCell="D1" workbookViewId="0">
      <selection activeCell="U9" sqref="U9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_xlfn._xlws.FILTER(Calcolo!V:AN,Calcolo!A:A=Fabbricati!E9)</f>
        <v>2024</v>
      </c>
      <c r="B2" s="16">
        <v>302479003</v>
      </c>
      <c r="C2" s="17">
        <v>45350</v>
      </c>
      <c r="D2" s="17">
        <v>45292</v>
      </c>
      <c r="E2" s="17">
        <v>45322</v>
      </c>
      <c r="F2" s="18">
        <v>31</v>
      </c>
      <c r="G2" s="15">
        <v>703</v>
      </c>
      <c r="H2" s="15" t="str">
        <v>F1
F2
F3</v>
      </c>
      <c r="I2" s="19" t="str">
        <v>215
192
296</v>
      </c>
      <c r="J2" s="19" t="str">
        <v>11
4
3</v>
      </c>
      <c r="K2" s="19">
        <v>0</v>
      </c>
      <c r="L2" s="19">
        <v>0</v>
      </c>
      <c r="M2" s="19">
        <v>115.39</v>
      </c>
      <c r="N2" s="19">
        <v>109.82</v>
      </c>
      <c r="O2" s="19">
        <v>8.7899999999999991</v>
      </c>
      <c r="P2" s="19">
        <v>0</v>
      </c>
      <c r="Q2" s="19">
        <v>0</v>
      </c>
      <c r="R2" s="15">
        <v>3.52</v>
      </c>
      <c r="S2" s="15">
        <v>289.77</v>
      </c>
      <c r="T2" s="31">
        <f>'[1]08'!$T$80</f>
        <v>289.77</v>
      </c>
      <c r="U2" t="b">
        <f>S2=T2</f>
        <v>1</v>
      </c>
    </row>
    <row r="3" spans="1:21" ht="48" customHeight="1" x14ac:dyDescent="0.2">
      <c r="A3" s="15">
        <v>2024</v>
      </c>
      <c r="B3" s="16">
        <v>302479003</v>
      </c>
      <c r="C3" s="17">
        <v>45358</v>
      </c>
      <c r="D3" s="17">
        <v>45323</v>
      </c>
      <c r="E3" s="17">
        <v>45351</v>
      </c>
      <c r="F3" s="18">
        <v>29</v>
      </c>
      <c r="G3" s="15">
        <v>685</v>
      </c>
      <c r="H3" s="15" t="str">
        <v>F1
F2
F3</v>
      </c>
      <c r="I3" s="19" t="str">
        <v>223
193
269</v>
      </c>
      <c r="J3" s="19" t="str">
        <v>22
5
4</v>
      </c>
      <c r="K3" s="19">
        <v>0</v>
      </c>
      <c r="L3" s="19">
        <v>0</v>
      </c>
      <c r="M3" s="19">
        <v>114.42</v>
      </c>
      <c r="N3" s="19">
        <v>81.91</v>
      </c>
      <c r="O3" s="19">
        <v>45.08</v>
      </c>
      <c r="P3" s="19">
        <v>0</v>
      </c>
      <c r="Q3" s="19">
        <v>0</v>
      </c>
      <c r="R3" s="15">
        <v>0</v>
      </c>
      <c r="S3" s="15">
        <v>249.97</v>
      </c>
      <c r="T3" s="31">
        <f>'[1]08'!$T$83</f>
        <v>249.97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302479003</v>
      </c>
      <c r="C4" s="17">
        <v>45390</v>
      </c>
      <c r="D4" s="17">
        <v>45352</v>
      </c>
      <c r="E4" s="17">
        <v>45382</v>
      </c>
      <c r="F4" s="18">
        <v>31</v>
      </c>
      <c r="G4" s="15">
        <v>640</v>
      </c>
      <c r="H4" s="15" t="str">
        <v>F1
F2
F3</v>
      </c>
      <c r="I4" s="19" t="str">
        <v>208
163
269</v>
      </c>
      <c r="J4" s="19" t="str">
        <v>29
5
4</v>
      </c>
      <c r="K4" s="19">
        <v>0</v>
      </c>
      <c r="L4" s="19">
        <v>0</v>
      </c>
      <c r="M4" s="19">
        <v>111.96000000000001</v>
      </c>
      <c r="N4" s="19">
        <v>74.33</v>
      </c>
      <c r="O4" s="19">
        <v>42.74</v>
      </c>
      <c r="P4" s="19">
        <v>0</v>
      </c>
      <c r="Q4" s="19">
        <v>0</v>
      </c>
      <c r="R4" s="15">
        <v>0</v>
      </c>
      <c r="S4" s="15">
        <v>237.03</v>
      </c>
      <c r="T4" s="31">
        <f>'[1]08'!$T$86</f>
        <v>237.03</v>
      </c>
      <c r="U4" t="b">
        <f t="shared" si="0"/>
        <v>1</v>
      </c>
    </row>
    <row r="5" spans="1:21" ht="48" customHeight="1" x14ac:dyDescent="0.2">
      <c r="A5" s="15">
        <v>2024</v>
      </c>
      <c r="B5" s="16">
        <v>302479003</v>
      </c>
      <c r="C5" s="17">
        <v>45419</v>
      </c>
      <c r="D5" s="17">
        <v>45383</v>
      </c>
      <c r="E5" s="17">
        <v>45412</v>
      </c>
      <c r="F5" s="18">
        <v>30</v>
      </c>
      <c r="G5" s="15">
        <v>574</v>
      </c>
      <c r="H5" s="15" t="str">
        <v>F1
F2
F3</v>
      </c>
      <c r="I5" s="19" t="str">
        <v>144
159
271</v>
      </c>
      <c r="J5" s="19" t="str">
        <v>11
9
2</v>
      </c>
      <c r="K5" s="19">
        <v>0</v>
      </c>
      <c r="L5" s="19">
        <v>0</v>
      </c>
      <c r="M5" s="19">
        <v>117.81</v>
      </c>
      <c r="N5" s="19">
        <v>64.78</v>
      </c>
      <c r="O5" s="19">
        <v>41.75</v>
      </c>
      <c r="P5" s="19">
        <v>0</v>
      </c>
      <c r="Q5" s="19">
        <v>0</v>
      </c>
      <c r="R5" s="15">
        <v>0</v>
      </c>
      <c r="S5" s="15">
        <v>231.52</v>
      </c>
      <c r="T5" s="31">
        <f>'[1]08'!$T$89</f>
        <v>231.52</v>
      </c>
      <c r="U5" t="b">
        <f t="shared" si="0"/>
        <v>1</v>
      </c>
    </row>
    <row r="6" spans="1:21" ht="48" customHeight="1" x14ac:dyDescent="0.2">
      <c r="A6" s="15">
        <v>2024</v>
      </c>
      <c r="B6" s="16">
        <v>302479003</v>
      </c>
      <c r="C6" s="17">
        <v>45449</v>
      </c>
      <c r="D6" s="17">
        <v>45413</v>
      </c>
      <c r="E6" s="17">
        <v>45417</v>
      </c>
      <c r="F6" s="18">
        <v>5</v>
      </c>
      <c r="G6" s="15">
        <v>592</v>
      </c>
      <c r="H6" s="15" t="str">
        <v>F1
F2
F3</v>
      </c>
      <c r="I6" s="19" t="str">
        <v>190
147
255</v>
      </c>
      <c r="J6" s="19" t="str">
        <v>33
9
3</v>
      </c>
      <c r="K6" s="19">
        <v>0</v>
      </c>
      <c r="L6" s="19">
        <v>0</v>
      </c>
      <c r="M6" s="19">
        <v>118.91</v>
      </c>
      <c r="N6" s="19">
        <v>71.05</v>
      </c>
      <c r="O6" s="19">
        <v>43.42</v>
      </c>
      <c r="P6" s="19">
        <v>0</v>
      </c>
      <c r="Q6" s="19">
        <v>0</v>
      </c>
      <c r="R6" s="15">
        <v>0</v>
      </c>
      <c r="S6" s="15">
        <v>240.79</v>
      </c>
      <c r="T6" s="31">
        <f>'[1]08'!$T$92</f>
        <v>240.79</v>
      </c>
      <c r="U6" t="b">
        <f t="shared" si="0"/>
        <v>1</v>
      </c>
    </row>
    <row r="7" spans="1:21" ht="48" customHeight="1" x14ac:dyDescent="0.2">
      <c r="A7" s="15">
        <v>2024</v>
      </c>
      <c r="B7" s="16">
        <v>302479003</v>
      </c>
      <c r="C7" s="17">
        <v>45478</v>
      </c>
      <c r="D7" s="17">
        <v>45444</v>
      </c>
      <c r="E7" s="17">
        <v>45473</v>
      </c>
      <c r="F7" s="18">
        <v>30</v>
      </c>
      <c r="G7" s="15">
        <v>621</v>
      </c>
      <c r="H7" s="15" t="str">
        <v>F1
F2
F3</v>
      </c>
      <c r="I7" s="19" t="str">
        <v>171
163
287</v>
      </c>
      <c r="J7" s="19" t="str">
        <v>17
10
4</v>
      </c>
      <c r="K7" s="19">
        <v>0</v>
      </c>
      <c r="L7" s="19">
        <v>0</v>
      </c>
      <c r="M7" s="19">
        <v>120.66999999999999</v>
      </c>
      <c r="N7" s="19">
        <v>82.85</v>
      </c>
      <c r="O7" s="19">
        <v>46.48</v>
      </c>
      <c r="P7" s="19">
        <v>0</v>
      </c>
      <c r="Q7" s="19">
        <v>0</v>
      </c>
      <c r="R7" s="15">
        <v>0</v>
      </c>
      <c r="S7" s="15">
        <v>257.76</v>
      </c>
      <c r="T7" s="31">
        <f>'[1]08'!$T$95</f>
        <v>257.76</v>
      </c>
      <c r="U7" t="b">
        <f t="shared" si="0"/>
        <v>1</v>
      </c>
    </row>
    <row r="8" spans="1:21" ht="48" customHeight="1" x14ac:dyDescent="0.2">
      <c r="A8" s="15">
        <v>2024</v>
      </c>
      <c r="B8" s="16">
        <v>302479003</v>
      </c>
      <c r="C8" s="17">
        <v>45511</v>
      </c>
      <c r="D8" s="17">
        <v>45474</v>
      </c>
      <c r="E8" s="17">
        <v>45504</v>
      </c>
      <c r="F8" s="18">
        <v>31</v>
      </c>
      <c r="G8" s="15">
        <v>771</v>
      </c>
      <c r="H8" s="15" t="str">
        <v>F1
F2
F3</v>
      </c>
      <c r="I8" s="19" t="str">
        <v>330
186
255</v>
      </c>
      <c r="J8" s="19" t="str">
        <v>159
53
13</v>
      </c>
      <c r="K8" s="19">
        <v>0</v>
      </c>
      <c r="L8" s="19">
        <v>0</v>
      </c>
      <c r="M8" s="19">
        <v>129.84</v>
      </c>
      <c r="N8" s="19">
        <v>118.98</v>
      </c>
      <c r="O8" s="19">
        <v>56.86</v>
      </c>
      <c r="P8" s="19">
        <v>0</v>
      </c>
      <c r="Q8" s="19">
        <v>0</v>
      </c>
      <c r="R8" s="15">
        <v>0</v>
      </c>
      <c r="S8" s="15">
        <v>315.32</v>
      </c>
      <c r="T8" s="31">
        <f>'[1]08'!$T$98</f>
        <v>315.32</v>
      </c>
      <c r="U8" t="b">
        <f t="shared" si="0"/>
        <v>1</v>
      </c>
    </row>
    <row r="9" spans="1:21" ht="48" customHeight="1" x14ac:dyDescent="0.2">
      <c r="A9" s="15">
        <v>2024</v>
      </c>
      <c r="B9" s="16">
        <v>302479003</v>
      </c>
      <c r="C9" s="17">
        <v>45541</v>
      </c>
      <c r="D9" s="17">
        <v>45505</v>
      </c>
      <c r="E9" s="17">
        <v>45535</v>
      </c>
      <c r="F9" s="18">
        <v>31</v>
      </c>
      <c r="G9" s="15">
        <v>2933</v>
      </c>
      <c r="H9" s="15" t="str">
        <v>F1
F2
F3</v>
      </c>
      <c r="I9" s="19" t="str">
        <v>1096
710
1127</v>
      </c>
      <c r="J9" s="19" t="str">
        <v>442
145
82</v>
      </c>
      <c r="K9" s="19">
        <v>0</v>
      </c>
      <c r="L9" s="19">
        <v>0</v>
      </c>
      <c r="M9" s="19">
        <v>140.71</v>
      </c>
      <c r="N9" s="19">
        <v>149.53</v>
      </c>
      <c r="O9" s="19">
        <v>66.63</v>
      </c>
      <c r="P9" s="19">
        <v>0</v>
      </c>
      <c r="Q9" s="19">
        <v>0</v>
      </c>
      <c r="R9" s="15">
        <v>0</v>
      </c>
      <c r="S9" s="15">
        <v>369.49</v>
      </c>
      <c r="T9" s="31">
        <f>'[1]08'!$T$101</f>
        <v>369.49</v>
      </c>
      <c r="U9" t="b">
        <f t="shared" si="0"/>
        <v>1</v>
      </c>
    </row>
    <row r="10" spans="1:21" ht="48" customHeight="1" x14ac:dyDescent="0.2">
      <c r="A10" s="15">
        <v>2024</v>
      </c>
      <c r="B10" s="16">
        <v>302479003</v>
      </c>
      <c r="C10" s="17">
        <v>45571</v>
      </c>
      <c r="D10" s="17">
        <v>45536</v>
      </c>
      <c r="E10" s="17">
        <v>45565</v>
      </c>
      <c r="F10" s="18">
        <v>30</v>
      </c>
      <c r="G10" s="15">
        <v>705</v>
      </c>
      <c r="H10" s="15" t="str">
        <v>F1
F2
F3</v>
      </c>
      <c r="I10" s="19" t="str">
        <v>252
190
263</v>
      </c>
      <c r="J10" s="19" t="str">
        <v>106
34
3</v>
      </c>
      <c r="K10" s="19">
        <v>0</v>
      </c>
      <c r="L10" s="19">
        <v>0</v>
      </c>
      <c r="M10" s="19">
        <v>125.81</v>
      </c>
      <c r="N10" s="19">
        <v>103.35</v>
      </c>
      <c r="O10" s="19">
        <v>52.35</v>
      </c>
      <c r="P10" s="19">
        <v>0</v>
      </c>
      <c r="Q10" s="19">
        <v>0</v>
      </c>
      <c r="R10" s="15">
        <v>0</v>
      </c>
      <c r="S10" s="15">
        <v>290.32</v>
      </c>
      <c r="T10" s="31">
        <f>'[1]08'!$T$104</f>
        <v>290.32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302479003</v>
      </c>
      <c r="C11" s="17">
        <v>45604</v>
      </c>
      <c r="D11" s="17">
        <v>45566</v>
      </c>
      <c r="E11" s="17">
        <v>45596</v>
      </c>
      <c r="F11" s="18">
        <v>31</v>
      </c>
      <c r="G11" s="15">
        <v>756</v>
      </c>
      <c r="H11" s="15" t="str">
        <v>F1
F2
F3</v>
      </c>
      <c r="I11" s="19" t="str">
        <v>269
212
275</v>
      </c>
      <c r="J11" s="19" t="str">
        <v>60
7
2</v>
      </c>
      <c r="K11" s="19">
        <v>0</v>
      </c>
      <c r="L11" s="19">
        <v>0</v>
      </c>
      <c r="M11" s="19">
        <v>128.91</v>
      </c>
      <c r="N11" s="19">
        <v>111.92</v>
      </c>
      <c r="O11" s="19">
        <v>55.06</v>
      </c>
      <c r="P11" s="19">
        <v>0</v>
      </c>
      <c r="Q11" s="19">
        <v>0</v>
      </c>
      <c r="R11" s="15">
        <v>0</v>
      </c>
      <c r="S11" s="15">
        <v>305.33999999999997</v>
      </c>
      <c r="T11" s="31">
        <f>'[1]08'!$T$107</f>
        <v>305.33999999999997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302479003</v>
      </c>
      <c r="C12" s="17">
        <v>45632</v>
      </c>
      <c r="D12" s="17">
        <v>45597</v>
      </c>
      <c r="E12" s="17">
        <v>45626</v>
      </c>
      <c r="F12" s="18">
        <v>30</v>
      </c>
      <c r="G12" s="15">
        <v>798</v>
      </c>
      <c r="H12" s="15" t="str">
        <v>F1
F2
F3</v>
      </c>
      <c r="I12" s="19" t="str">
        <v>231
251
316</v>
      </c>
      <c r="J12" s="19" t="str">
        <v>18
8
2</v>
      </c>
      <c r="K12" s="19">
        <v>0</v>
      </c>
      <c r="L12" s="19">
        <v>0</v>
      </c>
      <c r="M12" s="19">
        <v>131.47999999999999</v>
      </c>
      <c r="N12" s="19">
        <v>130.30000000000001</v>
      </c>
      <c r="O12" s="19">
        <v>59.79</v>
      </c>
      <c r="P12" s="19">
        <v>0</v>
      </c>
      <c r="Q12" s="19">
        <v>0</v>
      </c>
      <c r="R12" s="15">
        <v>0</v>
      </c>
      <c r="S12" s="15">
        <v>331.55</v>
      </c>
      <c r="T12" s="31">
        <f>'[1]08'!$T$110</f>
        <v>331.55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302479003</v>
      </c>
      <c r="C13" s="17">
        <v>45665</v>
      </c>
      <c r="D13" s="17">
        <v>45627</v>
      </c>
      <c r="E13" s="17">
        <v>45657</v>
      </c>
      <c r="F13" s="18">
        <v>31</v>
      </c>
      <c r="G13" s="15">
        <v>828</v>
      </c>
      <c r="H13" s="15" t="str">
        <v>F1
F2
F3</v>
      </c>
      <c r="I13" s="19" t="str">
        <v>245
238
345</v>
      </c>
      <c r="J13" s="19" t="str">
        <v>28
8
2</v>
      </c>
      <c r="K13" s="19">
        <v>0</v>
      </c>
      <c r="L13" s="19">
        <v>0</v>
      </c>
      <c r="M13" s="19">
        <v>133.31</v>
      </c>
      <c r="N13" s="19">
        <v>144.46</v>
      </c>
      <c r="O13" s="19">
        <v>63.39</v>
      </c>
      <c r="P13" s="19">
        <v>0</v>
      </c>
      <c r="Q13" s="19">
        <v>0</v>
      </c>
      <c r="R13" s="15">
        <v>0</v>
      </c>
      <c r="S13" s="15">
        <v>351.51</v>
      </c>
      <c r="T13" s="31">
        <f>'[1]08'!$T$113</f>
        <v>351.51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33771-88E1-5945-92BB-2AE781DC36BC}">
  <dimension ref="A1:U1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_xlfn._xlws.FILTER(Calcolo!V:AN,Calcolo!A:A=Fabbricati!E10)</f>
        <v>2024</v>
      </c>
      <c r="B2" s="16">
        <v>382913337</v>
      </c>
      <c r="C2" s="17">
        <v>45350</v>
      </c>
      <c r="D2" s="17">
        <v>45292</v>
      </c>
      <c r="E2" s="17">
        <v>45322</v>
      </c>
      <c r="F2" s="18">
        <v>31</v>
      </c>
      <c r="G2" s="15">
        <v>186</v>
      </c>
      <c r="H2" s="15" t="str">
        <v>F1
F2
F3</v>
      </c>
      <c r="I2" s="19" t="str">
        <v>47
54
85</v>
      </c>
      <c r="J2" s="19" t="str">
        <v>20
14
25</v>
      </c>
      <c r="K2" s="19">
        <v>0</v>
      </c>
      <c r="L2" s="19">
        <v>0</v>
      </c>
      <c r="M2" s="19">
        <v>27.22</v>
      </c>
      <c r="N2" s="19">
        <v>28.88</v>
      </c>
      <c r="O2" s="19">
        <v>2.33</v>
      </c>
      <c r="P2" s="19">
        <v>0</v>
      </c>
      <c r="Q2" s="19">
        <v>0</v>
      </c>
      <c r="R2" s="15">
        <v>0.93</v>
      </c>
      <c r="S2" s="15">
        <v>72.42</v>
      </c>
      <c r="T2" s="31">
        <f>'[1]09'!$T$80</f>
        <v>72.42</v>
      </c>
      <c r="U2" t="b">
        <f>S2=T2</f>
        <v>1</v>
      </c>
    </row>
    <row r="3" spans="1:21" ht="48" customHeight="1" x14ac:dyDescent="0.2">
      <c r="A3" s="15">
        <v>2024</v>
      </c>
      <c r="B3" s="16">
        <v>382913337</v>
      </c>
      <c r="C3" s="17">
        <v>45358</v>
      </c>
      <c r="D3" s="17">
        <v>45323</v>
      </c>
      <c r="E3" s="17">
        <v>45351</v>
      </c>
      <c r="F3" s="18">
        <v>29</v>
      </c>
      <c r="G3" s="15">
        <v>128</v>
      </c>
      <c r="H3" s="15" t="str">
        <v>F1
F2
F3</v>
      </c>
      <c r="I3" s="19" t="str">
        <v>28
45
55</v>
      </c>
      <c r="J3" s="19" t="str">
        <v>16
12
18</v>
      </c>
      <c r="K3" s="19">
        <v>0</v>
      </c>
      <c r="L3" s="19">
        <v>0</v>
      </c>
      <c r="M3" s="19">
        <v>24.07</v>
      </c>
      <c r="N3" s="19">
        <v>15.31</v>
      </c>
      <c r="O3" s="19">
        <v>9.02</v>
      </c>
      <c r="P3" s="19">
        <v>0</v>
      </c>
      <c r="Q3" s="19">
        <v>0</v>
      </c>
      <c r="R3" s="15">
        <v>0</v>
      </c>
      <c r="S3" s="15">
        <v>50</v>
      </c>
      <c r="T3" s="31">
        <f>'[1]09'!$T$83</f>
        <v>50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382913337</v>
      </c>
      <c r="C4" s="17">
        <v>45390</v>
      </c>
      <c r="D4" s="17">
        <v>45352</v>
      </c>
      <c r="E4" s="17">
        <v>45382</v>
      </c>
      <c r="F4" s="18">
        <v>31</v>
      </c>
      <c r="G4" s="15">
        <v>105</v>
      </c>
      <c r="H4" s="15" t="str">
        <v>F1
F2
F3</v>
      </c>
      <c r="I4" s="19" t="str">
        <v>22
36
47</v>
      </c>
      <c r="J4" s="19" t="str">
        <v>17
14
18</v>
      </c>
      <c r="K4" s="19">
        <v>0</v>
      </c>
      <c r="L4" s="19">
        <v>0</v>
      </c>
      <c r="M4" s="19">
        <v>22.82</v>
      </c>
      <c r="N4" s="19">
        <v>12.19</v>
      </c>
      <c r="O4" s="19">
        <v>7.99</v>
      </c>
      <c r="P4" s="19">
        <v>0</v>
      </c>
      <c r="Q4" s="19">
        <v>0</v>
      </c>
      <c r="R4" s="15">
        <v>0</v>
      </c>
      <c r="S4" s="15">
        <v>44.31</v>
      </c>
      <c r="T4" s="31">
        <f>'[1]09'!$T$86</f>
        <v>44.31</v>
      </c>
      <c r="U4" t="b">
        <f t="shared" si="0"/>
        <v>1</v>
      </c>
    </row>
    <row r="5" spans="1:21" ht="48" customHeight="1" x14ac:dyDescent="0.2">
      <c r="A5" s="15">
        <v>2024</v>
      </c>
      <c r="B5" s="16">
        <v>382913337</v>
      </c>
      <c r="C5" s="17">
        <v>45419</v>
      </c>
      <c r="D5" s="17">
        <v>45383</v>
      </c>
      <c r="E5" s="17">
        <v>45411</v>
      </c>
      <c r="F5" s="18">
        <v>29</v>
      </c>
      <c r="G5" s="15">
        <v>97</v>
      </c>
      <c r="H5" s="15" t="str">
        <v>F1
F2
F3</v>
      </c>
      <c r="I5" s="19" t="str">
        <v>19
32
46</v>
      </c>
      <c r="J5" s="19" t="str">
        <v>17
12
19</v>
      </c>
      <c r="K5" s="19">
        <v>0</v>
      </c>
      <c r="L5" s="19">
        <v>0</v>
      </c>
      <c r="M5" s="19">
        <v>24.32</v>
      </c>
      <c r="N5" s="19">
        <v>11.19</v>
      </c>
      <c r="O5" s="19">
        <v>8.08</v>
      </c>
      <c r="P5" s="19">
        <v>0</v>
      </c>
      <c r="Q5" s="19">
        <v>0</v>
      </c>
      <c r="R5" s="15">
        <v>0</v>
      </c>
      <c r="S5" s="15">
        <v>44.81</v>
      </c>
      <c r="T5" s="31">
        <f>'[1]09'!$T$89</f>
        <v>44.81</v>
      </c>
      <c r="U5" t="b">
        <f t="shared" si="0"/>
        <v>1</v>
      </c>
    </row>
    <row r="6" spans="1:21" ht="48" customHeight="1" x14ac:dyDescent="0.2">
      <c r="A6" s="15">
        <v>2024</v>
      </c>
      <c r="B6" s="16">
        <v>382913337</v>
      </c>
      <c r="C6" s="17">
        <v>45449</v>
      </c>
      <c r="D6" s="17">
        <v>45413</v>
      </c>
      <c r="E6" s="17">
        <v>45443</v>
      </c>
      <c r="F6" s="18">
        <v>31</v>
      </c>
      <c r="G6" s="15">
        <v>96</v>
      </c>
      <c r="H6" s="15" t="str">
        <v>F1
F2
F3</v>
      </c>
      <c r="I6" s="19" t="str">
        <v>21
33
42</v>
      </c>
      <c r="J6" s="19" t="str">
        <v>18
13
17</v>
      </c>
      <c r="K6" s="19">
        <v>0</v>
      </c>
      <c r="L6" s="19">
        <v>0</v>
      </c>
      <c r="M6" s="19">
        <v>24.200000000000003</v>
      </c>
      <c r="N6" s="19">
        <v>11.74</v>
      </c>
      <c r="O6" s="19">
        <v>8.17</v>
      </c>
      <c r="P6" s="19">
        <v>0</v>
      </c>
      <c r="Q6" s="19">
        <v>0</v>
      </c>
      <c r="R6" s="15">
        <v>0</v>
      </c>
      <c r="S6" s="15">
        <v>45.31</v>
      </c>
      <c r="T6" s="31">
        <f>'[1]09'!$T$92</f>
        <v>45.31</v>
      </c>
      <c r="U6" t="b">
        <f t="shared" si="0"/>
        <v>1</v>
      </c>
    </row>
    <row r="7" spans="1:21" ht="48" customHeight="1" x14ac:dyDescent="0.2">
      <c r="A7" s="15">
        <v>2024</v>
      </c>
      <c r="B7" s="16">
        <v>382913337</v>
      </c>
      <c r="C7" s="17">
        <v>45482</v>
      </c>
      <c r="D7" s="17">
        <v>45444</v>
      </c>
      <c r="E7" s="17">
        <v>45473</v>
      </c>
      <c r="F7" s="18">
        <v>30</v>
      </c>
      <c r="G7" s="15">
        <v>154</v>
      </c>
      <c r="H7" s="15" t="str">
        <v>F1
F2
F3</v>
      </c>
      <c r="I7" s="19" t="str">
        <v>31
41
82</v>
      </c>
      <c r="J7" s="19" t="str">
        <v>17
12
19</v>
      </c>
      <c r="K7" s="19">
        <v>0</v>
      </c>
      <c r="L7" s="19">
        <v>0</v>
      </c>
      <c r="M7" s="19">
        <v>27.75</v>
      </c>
      <c r="N7" s="19">
        <v>20.420000000000002</v>
      </c>
      <c r="O7" s="19">
        <v>11.02</v>
      </c>
      <c r="P7" s="19">
        <v>0</v>
      </c>
      <c r="Q7" s="19">
        <v>0</v>
      </c>
      <c r="R7" s="15">
        <v>0</v>
      </c>
      <c r="S7" s="15">
        <v>61.12</v>
      </c>
      <c r="T7" s="31">
        <f>'[1]09'!$T$95</f>
        <v>61.12</v>
      </c>
      <c r="U7" t="b">
        <f t="shared" si="0"/>
        <v>1</v>
      </c>
    </row>
    <row r="8" spans="1:21" ht="48" customHeight="1" x14ac:dyDescent="0.2">
      <c r="A8" s="15">
        <v>2024</v>
      </c>
      <c r="B8" s="16">
        <v>382913337</v>
      </c>
      <c r="C8" s="17">
        <v>45511</v>
      </c>
      <c r="D8" s="17">
        <v>45474</v>
      </c>
      <c r="E8" s="17">
        <v>45504</v>
      </c>
      <c r="F8" s="18">
        <v>31</v>
      </c>
      <c r="G8" s="15">
        <v>92</v>
      </c>
      <c r="H8" s="15" t="str">
        <v>F1
F2
F3</v>
      </c>
      <c r="I8" s="19" t="str">
        <v>24
23
45</v>
      </c>
      <c r="J8" s="19" t="str">
        <v>20
13
17</v>
      </c>
      <c r="K8" s="19">
        <v>0</v>
      </c>
      <c r="L8" s="19">
        <v>0</v>
      </c>
      <c r="M8" s="19">
        <v>23.95</v>
      </c>
      <c r="N8" s="19">
        <v>14.1</v>
      </c>
      <c r="O8" s="19">
        <v>8.6199999999999992</v>
      </c>
      <c r="P8" s="19">
        <v>0</v>
      </c>
      <c r="Q8" s="19">
        <v>0</v>
      </c>
      <c r="R8" s="15">
        <v>0</v>
      </c>
      <c r="S8" s="15">
        <v>47.82</v>
      </c>
      <c r="T8" s="31">
        <f>'[1]09'!$T$98</f>
        <v>47.82</v>
      </c>
      <c r="U8" t="b">
        <f t="shared" si="0"/>
        <v>1</v>
      </c>
    </row>
    <row r="9" spans="1:21" ht="48" customHeight="1" x14ac:dyDescent="0.2">
      <c r="A9" s="15">
        <v>2024</v>
      </c>
      <c r="B9" s="16">
        <v>382913337</v>
      </c>
      <c r="C9" s="17">
        <v>45541</v>
      </c>
      <c r="D9" s="17">
        <v>45505</v>
      </c>
      <c r="E9" s="17">
        <v>45535</v>
      </c>
      <c r="F9" s="18">
        <v>31</v>
      </c>
      <c r="G9" s="15">
        <v>98</v>
      </c>
      <c r="H9" s="15" t="str">
        <v>F1
F2
F3</v>
      </c>
      <c r="I9" s="19" t="str">
        <v>23
25
50</v>
      </c>
      <c r="J9" s="19" t="str">
        <v>18
12
18</v>
      </c>
      <c r="K9" s="19">
        <v>0</v>
      </c>
      <c r="L9" s="19">
        <v>0</v>
      </c>
      <c r="M9" s="19">
        <v>24.33</v>
      </c>
      <c r="N9" s="19">
        <v>15.57</v>
      </c>
      <c r="O9" s="19">
        <v>9.0500000000000007</v>
      </c>
      <c r="P9" s="19">
        <v>0</v>
      </c>
      <c r="Q9" s="19">
        <v>0</v>
      </c>
      <c r="R9" s="15">
        <v>0</v>
      </c>
      <c r="S9" s="15">
        <v>50.18</v>
      </c>
      <c r="T9" s="31">
        <f>'[1]09'!$T$101</f>
        <v>50.18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382913337</v>
      </c>
      <c r="C10" s="17">
        <v>45571</v>
      </c>
      <c r="D10" s="17">
        <v>45536</v>
      </c>
      <c r="E10" s="17">
        <v>45565</v>
      </c>
      <c r="F10" s="18">
        <v>30</v>
      </c>
      <c r="G10" s="15">
        <v>102</v>
      </c>
      <c r="H10" s="15" t="str">
        <v>F1
F2
F3</v>
      </c>
      <c r="I10" s="19" t="str">
        <v>21
34
47</v>
      </c>
      <c r="J10" s="19" t="str">
        <v>16
12
17</v>
      </c>
      <c r="K10" s="19">
        <v>0</v>
      </c>
      <c r="L10" s="19">
        <v>0</v>
      </c>
      <c r="M10" s="19">
        <v>24.57</v>
      </c>
      <c r="N10" s="19">
        <v>14.84</v>
      </c>
      <c r="O10" s="19">
        <v>8.9499999999999993</v>
      </c>
      <c r="P10" s="19">
        <v>0</v>
      </c>
      <c r="Q10" s="19">
        <v>0</v>
      </c>
      <c r="R10" s="15">
        <v>0</v>
      </c>
      <c r="S10" s="15">
        <v>49.64</v>
      </c>
      <c r="T10" s="31">
        <f>'[1]09'!$T$104</f>
        <v>49.64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382913337</v>
      </c>
      <c r="C11" s="17">
        <v>45604</v>
      </c>
      <c r="D11" s="17">
        <v>45566</v>
      </c>
      <c r="E11" s="17">
        <v>45596</v>
      </c>
      <c r="F11" s="18">
        <v>31</v>
      </c>
      <c r="G11" s="15">
        <v>113</v>
      </c>
      <c r="H11" s="15" t="str">
        <v>F1
F2
F3</v>
      </c>
      <c r="I11" s="19" t="str">
        <v>25
41
47</v>
      </c>
      <c r="J11" s="19" t="str">
        <v>17
12
14</v>
      </c>
      <c r="K11" s="19">
        <v>0</v>
      </c>
      <c r="L11" s="19">
        <v>0</v>
      </c>
      <c r="M11" s="19">
        <v>25.240000000000002</v>
      </c>
      <c r="N11" s="19">
        <v>16.71</v>
      </c>
      <c r="O11" s="19">
        <v>9.5399999999999991</v>
      </c>
      <c r="P11" s="19">
        <v>0</v>
      </c>
      <c r="Q11" s="19">
        <v>0</v>
      </c>
      <c r="R11" s="15">
        <v>0</v>
      </c>
      <c r="S11" s="15">
        <v>52.9</v>
      </c>
      <c r="T11" s="31">
        <f>'[1]09'!$T$107</f>
        <v>52.9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382913337</v>
      </c>
      <c r="C12" s="17">
        <v>45632</v>
      </c>
      <c r="D12" s="17">
        <v>45597</v>
      </c>
      <c r="E12" s="17">
        <v>45626</v>
      </c>
      <c r="F12" s="18">
        <v>30</v>
      </c>
      <c r="G12" s="15">
        <v>172</v>
      </c>
      <c r="H12" s="15" t="str">
        <v>F1
F2
F3</v>
      </c>
      <c r="I12" s="19" t="str">
        <v>44
56
72</v>
      </c>
      <c r="J12" s="19" t="str">
        <v>19
16
21</v>
      </c>
      <c r="K12" s="19">
        <v>0</v>
      </c>
      <c r="L12" s="19">
        <v>0</v>
      </c>
      <c r="M12" s="19">
        <v>28.839999999999996</v>
      </c>
      <c r="N12" s="19">
        <v>27.92</v>
      </c>
      <c r="O12" s="19">
        <v>12.96</v>
      </c>
      <c r="P12" s="19">
        <v>0</v>
      </c>
      <c r="Q12" s="19">
        <v>0</v>
      </c>
      <c r="R12" s="15">
        <v>0</v>
      </c>
      <c r="S12" s="15">
        <v>71.87</v>
      </c>
      <c r="T12" s="31">
        <f>'[1]09'!$T$110</f>
        <v>71.87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382913337</v>
      </c>
      <c r="C13" s="17">
        <v>45665</v>
      </c>
      <c r="D13" s="17">
        <v>45627</v>
      </c>
      <c r="E13" s="17">
        <v>45657</v>
      </c>
      <c r="F13" s="18">
        <v>31</v>
      </c>
      <c r="G13" s="15">
        <v>181</v>
      </c>
      <c r="H13" s="15" t="str">
        <v>F1
F2
F3</v>
      </c>
      <c r="I13" s="19" t="str">
        <v>45
48
88</v>
      </c>
      <c r="J13" s="19" t="str">
        <v>17
14
26</v>
      </c>
      <c r="K13" s="19">
        <v>0</v>
      </c>
      <c r="L13" s="19">
        <v>0</v>
      </c>
      <c r="M13" s="19">
        <v>29.4</v>
      </c>
      <c r="N13" s="19">
        <v>31.15</v>
      </c>
      <c r="O13" s="19">
        <v>13.82</v>
      </c>
      <c r="P13" s="19">
        <v>0</v>
      </c>
      <c r="Q13" s="19">
        <v>0</v>
      </c>
      <c r="R13" s="15">
        <v>0</v>
      </c>
      <c r="S13" s="15">
        <v>76.63</v>
      </c>
      <c r="T13" s="31">
        <f>'[1]09'!$T$113</f>
        <v>76.63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E26A0-AE74-FC49-8B86-20BFCD40D5A6}">
  <dimension ref="A1:U13"/>
  <sheetViews>
    <sheetView topLeftCell="F1" workbookViewId="0">
      <selection activeCell="U11" sqref="U11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_xlfn._xlws.FILTER(Calcolo!V:AN,Calcolo!A:A=Fabbricati!E11)</f>
        <v>2024</v>
      </c>
      <c r="B2" s="16">
        <v>382908350</v>
      </c>
      <c r="C2" s="17">
        <v>45350</v>
      </c>
      <c r="D2" s="17">
        <v>45292</v>
      </c>
      <c r="E2" s="17">
        <v>45322</v>
      </c>
      <c r="F2" s="18">
        <v>31</v>
      </c>
      <c r="G2" s="15">
        <v>40</v>
      </c>
      <c r="H2" s="15" t="str">
        <v>F1
F2
F3</v>
      </c>
      <c r="I2" s="19" t="str">
        <v>6
10
24</v>
      </c>
      <c r="J2" s="19" t="str">
        <v>3
4
10</v>
      </c>
      <c r="K2" s="19">
        <v>0</v>
      </c>
      <c r="L2" s="19">
        <v>0</v>
      </c>
      <c r="M2" s="19">
        <v>10.3</v>
      </c>
      <c r="N2" s="19">
        <v>6.1</v>
      </c>
      <c r="O2" s="19">
        <v>0.5</v>
      </c>
      <c r="P2" s="19">
        <v>0</v>
      </c>
      <c r="Q2" s="19">
        <v>0</v>
      </c>
      <c r="R2" s="15">
        <v>0.2</v>
      </c>
      <c r="S2" s="15">
        <v>20.86</v>
      </c>
      <c r="T2" s="31">
        <f>'[1]10'!$T$80</f>
        <v>20.86</v>
      </c>
      <c r="U2" t="b">
        <f>S2=T2</f>
        <v>1</v>
      </c>
    </row>
    <row r="3" spans="1:21" ht="48" customHeight="1" x14ac:dyDescent="0.2">
      <c r="A3" s="15">
        <v>2024</v>
      </c>
      <c r="B3" s="16">
        <v>382908350</v>
      </c>
      <c r="C3" s="17">
        <v>45358</v>
      </c>
      <c r="D3" s="17">
        <v>45323</v>
      </c>
      <c r="E3" s="17">
        <v>45351</v>
      </c>
      <c r="F3" s="18">
        <v>29</v>
      </c>
      <c r="G3" s="15">
        <v>19</v>
      </c>
      <c r="H3" s="15" t="str">
        <v>F1
F2
F3</v>
      </c>
      <c r="I3" s="19" t="str">
        <v>2
5
12</v>
      </c>
      <c r="J3" s="19" t="str">
        <v>4
4
8</v>
      </c>
      <c r="K3" s="19">
        <v>0</v>
      </c>
      <c r="L3" s="19">
        <v>0</v>
      </c>
      <c r="M3" s="19">
        <v>9.16</v>
      </c>
      <c r="N3" s="19">
        <v>2.1800000000000002</v>
      </c>
      <c r="O3" s="19">
        <v>2.5499999999999998</v>
      </c>
      <c r="P3" s="19">
        <v>0</v>
      </c>
      <c r="Q3" s="19">
        <v>0</v>
      </c>
      <c r="R3" s="15">
        <v>0</v>
      </c>
      <c r="S3" s="15">
        <v>14.13</v>
      </c>
      <c r="T3" s="31">
        <f>'[1]10'!$T$83</f>
        <v>14.13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382908350</v>
      </c>
      <c r="C4" s="17">
        <v>45390</v>
      </c>
      <c r="D4" s="17">
        <v>45352</v>
      </c>
      <c r="E4" s="17">
        <v>45382</v>
      </c>
      <c r="F4" s="18">
        <v>31</v>
      </c>
      <c r="G4" s="15">
        <v>19</v>
      </c>
      <c r="H4" s="15" t="str">
        <v>F1
F2
F3</v>
      </c>
      <c r="I4" s="19" t="str">
        <v>3
5
11</v>
      </c>
      <c r="J4" s="19" t="str">
        <v>3
4
8</v>
      </c>
      <c r="K4" s="19">
        <v>0</v>
      </c>
      <c r="L4" s="19">
        <v>0</v>
      </c>
      <c r="M4" s="19">
        <v>9.16</v>
      </c>
      <c r="N4" s="19">
        <v>2.17</v>
      </c>
      <c r="O4" s="19">
        <v>2.5499999999999998</v>
      </c>
      <c r="P4" s="19">
        <v>0</v>
      </c>
      <c r="Q4" s="19">
        <v>0</v>
      </c>
      <c r="R4" s="15">
        <v>0</v>
      </c>
      <c r="S4" s="15">
        <v>14.12</v>
      </c>
      <c r="T4" s="31">
        <f>'[1]10'!$T$86</f>
        <v>14.12</v>
      </c>
      <c r="U4" t="b">
        <f t="shared" si="0"/>
        <v>1</v>
      </c>
    </row>
    <row r="5" spans="1:21" ht="48" customHeight="1" x14ac:dyDescent="0.2">
      <c r="A5" s="15">
        <v>2024</v>
      </c>
      <c r="B5" s="16">
        <v>382908350</v>
      </c>
      <c r="C5" s="17">
        <v>45419</v>
      </c>
      <c r="D5" s="17">
        <v>45383</v>
      </c>
      <c r="E5" s="17">
        <v>45390</v>
      </c>
      <c r="F5" s="18">
        <v>8</v>
      </c>
      <c r="G5" s="15">
        <v>14</v>
      </c>
      <c r="H5" s="15" t="str">
        <v>F1
F2
F3</v>
      </c>
      <c r="I5" s="19" t="str">
        <v>1
3
10</v>
      </c>
      <c r="J5" s="19" t="str">
        <v>1
1
3</v>
      </c>
      <c r="K5" s="19">
        <v>0</v>
      </c>
      <c r="L5" s="19">
        <v>0</v>
      </c>
      <c r="M5" s="19">
        <v>9.5599999999999987</v>
      </c>
      <c r="N5" s="19">
        <v>1.51</v>
      </c>
      <c r="O5" s="19">
        <v>2.4700000000000002</v>
      </c>
      <c r="P5" s="19">
        <v>0</v>
      </c>
      <c r="Q5" s="19">
        <v>0</v>
      </c>
      <c r="R5" s="15">
        <v>0</v>
      </c>
      <c r="S5" s="15">
        <v>13.71</v>
      </c>
      <c r="T5" s="31">
        <f>'[1]10'!$T$89</f>
        <v>13.71</v>
      </c>
      <c r="U5" t="b">
        <f t="shared" si="0"/>
        <v>1</v>
      </c>
    </row>
    <row r="6" spans="1:21" ht="48" customHeight="1" x14ac:dyDescent="0.2">
      <c r="A6" s="15">
        <v>2024</v>
      </c>
      <c r="B6" s="16">
        <v>382908350</v>
      </c>
      <c r="C6" s="17">
        <v>45449</v>
      </c>
      <c r="D6" s="17">
        <v>45413</v>
      </c>
      <c r="E6" s="17">
        <v>45443</v>
      </c>
      <c r="F6" s="18">
        <v>31</v>
      </c>
      <c r="G6" s="15">
        <v>13</v>
      </c>
      <c r="H6" s="15" t="str">
        <v>F1
F2
F3</v>
      </c>
      <c r="I6" s="19" t="str">
        <v>2
3
8</v>
      </c>
      <c r="J6" s="19" t="str">
        <v>0
0
0</v>
      </c>
      <c r="K6" s="19">
        <v>0</v>
      </c>
      <c r="L6" s="19">
        <v>0</v>
      </c>
      <c r="M6" s="19">
        <v>9.49</v>
      </c>
      <c r="N6" s="19">
        <v>1.51</v>
      </c>
      <c r="O6" s="19">
        <v>2.46</v>
      </c>
      <c r="P6" s="19">
        <v>0</v>
      </c>
      <c r="Q6" s="19">
        <v>0</v>
      </c>
      <c r="R6" s="15">
        <v>0</v>
      </c>
      <c r="S6" s="15">
        <v>13.62</v>
      </c>
      <c r="T6" s="31">
        <f>'[1]10'!$T$92</f>
        <v>13.62</v>
      </c>
      <c r="U6" t="b">
        <f t="shared" si="0"/>
        <v>1</v>
      </c>
    </row>
    <row r="7" spans="1:21" ht="48" customHeight="1" x14ac:dyDescent="0.2">
      <c r="A7" s="15">
        <v>2024</v>
      </c>
      <c r="B7" s="16">
        <v>382908350</v>
      </c>
      <c r="C7" s="17">
        <v>45478</v>
      </c>
      <c r="D7" s="17">
        <v>45444</v>
      </c>
      <c r="E7" s="17">
        <v>45473</v>
      </c>
      <c r="F7" s="18">
        <v>30</v>
      </c>
      <c r="G7" s="15">
        <v>15</v>
      </c>
      <c r="H7" s="15" t="str">
        <v>F1
F2
F3</v>
      </c>
      <c r="I7" s="19" t="str">
        <v>4
3
8</v>
      </c>
      <c r="J7" s="19" t="str">
        <v>0
0
0</v>
      </c>
      <c r="K7" s="19">
        <v>0</v>
      </c>
      <c r="L7" s="19">
        <v>0</v>
      </c>
      <c r="M7" s="19">
        <v>9.61</v>
      </c>
      <c r="N7" s="19">
        <v>1.92</v>
      </c>
      <c r="O7" s="19">
        <v>2.58</v>
      </c>
      <c r="P7" s="19">
        <v>0</v>
      </c>
      <c r="Q7" s="19">
        <v>0</v>
      </c>
      <c r="R7" s="15">
        <v>0</v>
      </c>
      <c r="S7" s="15">
        <v>14.3</v>
      </c>
      <c r="T7" s="31">
        <f>'[1]10'!$T$95</f>
        <v>14.3</v>
      </c>
      <c r="U7" t="b">
        <f t="shared" si="0"/>
        <v>1</v>
      </c>
    </row>
    <row r="8" spans="1:21" ht="48" customHeight="1" x14ac:dyDescent="0.2">
      <c r="A8" s="15">
        <v>2024</v>
      </c>
      <c r="B8" s="16">
        <v>382908350</v>
      </c>
      <c r="C8" s="17">
        <v>45511</v>
      </c>
      <c r="D8" s="17">
        <v>45474</v>
      </c>
      <c r="E8" s="17">
        <v>45504</v>
      </c>
      <c r="F8" s="18">
        <v>31</v>
      </c>
      <c r="G8" s="15">
        <v>13</v>
      </c>
      <c r="H8" s="15" t="str">
        <v>F1
F2
F3</v>
      </c>
      <c r="I8" s="19" t="str">
        <v>2
3
8</v>
      </c>
      <c r="J8" s="19" t="str">
        <v>0
0
0</v>
      </c>
      <c r="K8" s="19">
        <v>0</v>
      </c>
      <c r="L8" s="19">
        <v>0</v>
      </c>
      <c r="M8" s="19">
        <v>9.49</v>
      </c>
      <c r="N8" s="19">
        <v>1.95</v>
      </c>
      <c r="O8" s="19">
        <v>2.5499999999999998</v>
      </c>
      <c r="P8" s="19">
        <v>0</v>
      </c>
      <c r="Q8" s="19">
        <v>0</v>
      </c>
      <c r="R8" s="15">
        <v>0</v>
      </c>
      <c r="S8" s="15">
        <v>14.15</v>
      </c>
      <c r="T8" s="31">
        <f>'[1]10'!$T$98</f>
        <v>14.15</v>
      </c>
      <c r="U8" t="b">
        <f t="shared" si="0"/>
        <v>1</v>
      </c>
    </row>
    <row r="9" spans="1:21" ht="48" customHeight="1" x14ac:dyDescent="0.2">
      <c r="A9" s="15">
        <v>2024</v>
      </c>
      <c r="B9" s="16">
        <v>382908350</v>
      </c>
      <c r="C9" s="17">
        <v>45541</v>
      </c>
      <c r="D9" s="17">
        <v>45505</v>
      </c>
      <c r="E9" s="17">
        <v>45535</v>
      </c>
      <c r="F9" s="18">
        <v>31</v>
      </c>
      <c r="G9" s="15">
        <v>72</v>
      </c>
      <c r="H9" s="15" t="str">
        <v>F1
F2
F3</v>
      </c>
      <c r="I9" s="19" t="str">
        <v>12
16
44</v>
      </c>
      <c r="J9" s="19" t="str">
        <v>1
1
3</v>
      </c>
      <c r="K9" s="19">
        <v>0</v>
      </c>
      <c r="L9" s="19">
        <v>0</v>
      </c>
      <c r="M9" s="19">
        <v>9.73</v>
      </c>
      <c r="N9" s="19">
        <v>2.59</v>
      </c>
      <c r="O9" s="19">
        <v>2.76</v>
      </c>
      <c r="P9" s="19">
        <v>0</v>
      </c>
      <c r="Q9" s="19">
        <v>0</v>
      </c>
      <c r="R9" s="15">
        <v>0</v>
      </c>
      <c r="S9" s="15">
        <v>15.29</v>
      </c>
      <c r="T9" s="31">
        <f>'[1]10'!$T$101</f>
        <v>15.29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382908350</v>
      </c>
      <c r="C10" s="17">
        <v>45571</v>
      </c>
      <c r="D10" s="17">
        <v>45536</v>
      </c>
      <c r="E10" s="17">
        <v>45565</v>
      </c>
      <c r="F10" s="18">
        <v>30</v>
      </c>
      <c r="G10" s="15">
        <v>11</v>
      </c>
      <c r="H10" s="15" t="str">
        <v>F1
F2
F3</v>
      </c>
      <c r="I10" s="19" t="str">
        <v>1
3
7</v>
      </c>
      <c r="J10" s="19" t="str">
        <v>0
0
0</v>
      </c>
      <c r="K10" s="19">
        <v>0</v>
      </c>
      <c r="L10" s="19">
        <v>0</v>
      </c>
      <c r="M10" s="19">
        <v>9.370000000000001</v>
      </c>
      <c r="N10" s="19">
        <v>1.55</v>
      </c>
      <c r="O10" s="19">
        <v>2.4300000000000002</v>
      </c>
      <c r="P10" s="19">
        <v>0</v>
      </c>
      <c r="Q10" s="19">
        <v>0</v>
      </c>
      <c r="R10" s="15">
        <v>0</v>
      </c>
      <c r="S10" s="15">
        <v>13.49</v>
      </c>
      <c r="T10" s="31">
        <f>'[1]10'!$T$104</f>
        <v>13.49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382908350</v>
      </c>
      <c r="C11" s="17">
        <v>45604</v>
      </c>
      <c r="D11" s="17">
        <v>45566</v>
      </c>
      <c r="E11" s="17">
        <v>45596</v>
      </c>
      <c r="F11" s="18">
        <v>31</v>
      </c>
      <c r="G11" s="15">
        <v>13</v>
      </c>
      <c r="H11" s="15" t="str">
        <v>F1
F2
F3</v>
      </c>
      <c r="I11" s="19" t="str">
        <v>1
4
8</v>
      </c>
      <c r="J11" s="19" t="str">
        <v>0
0
0</v>
      </c>
      <c r="K11" s="19">
        <v>0</v>
      </c>
      <c r="L11" s="19">
        <v>0</v>
      </c>
      <c r="M11" s="19">
        <v>9.49</v>
      </c>
      <c r="N11" s="19">
        <v>1.82</v>
      </c>
      <c r="O11" s="19">
        <v>2.52</v>
      </c>
      <c r="P11" s="19">
        <v>0</v>
      </c>
      <c r="Q11" s="19">
        <v>0</v>
      </c>
      <c r="R11" s="15">
        <v>0</v>
      </c>
      <c r="S11" s="15">
        <v>13.99</v>
      </c>
      <c r="T11" s="31">
        <f>'[1]10'!$T$107</f>
        <v>13.99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382908350</v>
      </c>
      <c r="C12" s="17">
        <v>45632</v>
      </c>
      <c r="D12" s="17">
        <v>45597</v>
      </c>
      <c r="E12" s="17">
        <v>45626</v>
      </c>
      <c r="F12" s="18">
        <v>30</v>
      </c>
      <c r="G12" s="15">
        <v>17</v>
      </c>
      <c r="H12" s="15" t="str">
        <v>F1
F2
F3</v>
      </c>
      <c r="I12" s="19" t="str">
        <v>3
4
10</v>
      </c>
      <c r="J12" s="19" t="str">
        <v>0
0
0</v>
      </c>
      <c r="K12" s="19">
        <v>0</v>
      </c>
      <c r="L12" s="19">
        <v>0</v>
      </c>
      <c r="M12" s="19">
        <v>9.73</v>
      </c>
      <c r="N12" s="19">
        <v>2.58</v>
      </c>
      <c r="O12" s="19">
        <v>2.75</v>
      </c>
      <c r="P12" s="19">
        <v>0</v>
      </c>
      <c r="Q12" s="19">
        <v>0</v>
      </c>
      <c r="R12" s="15">
        <v>0</v>
      </c>
      <c r="S12" s="15">
        <v>15.27</v>
      </c>
      <c r="T12" s="31">
        <f>'[1]10'!$T$110</f>
        <v>15.27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382908350</v>
      </c>
      <c r="C13" s="17">
        <v>45665</v>
      </c>
      <c r="D13" s="17">
        <v>45627</v>
      </c>
      <c r="E13" s="17">
        <v>45657</v>
      </c>
      <c r="F13" s="18">
        <v>31</v>
      </c>
      <c r="G13" s="15">
        <v>18</v>
      </c>
      <c r="H13" s="15" t="str">
        <v>F1
F2
F3</v>
      </c>
      <c r="I13" s="19" t="str">
        <v>2
5
11</v>
      </c>
      <c r="J13" s="19" t="str">
        <v>0
0
0</v>
      </c>
      <c r="K13" s="19">
        <v>0</v>
      </c>
      <c r="L13" s="19">
        <v>0</v>
      </c>
      <c r="M13" s="19">
        <v>9.8000000000000007</v>
      </c>
      <c r="N13" s="19">
        <v>3</v>
      </c>
      <c r="O13" s="19">
        <v>2.87</v>
      </c>
      <c r="P13" s="19">
        <v>0</v>
      </c>
      <c r="Q13" s="19">
        <v>0</v>
      </c>
      <c r="R13" s="15">
        <v>0</v>
      </c>
      <c r="S13" s="15">
        <v>15.9</v>
      </c>
      <c r="T13" s="31">
        <f>'[1]10'!$T$113</f>
        <v>15.9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FE4D-D0BB-D94A-8555-94361DF7F3BA}">
  <dimension ref="A1:U13"/>
  <sheetViews>
    <sheetView topLeftCell="F1" workbookViewId="0">
      <selection activeCell="U11" sqref="U11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_xlfn._xlws.FILTER(Calcolo!V:AN,Calcolo!A:A=Fabbricati!E12)</f>
        <v>2024</v>
      </c>
      <c r="B2" s="16">
        <v>382908635</v>
      </c>
      <c r="C2" s="17">
        <v>45350</v>
      </c>
      <c r="D2" s="17">
        <v>45292</v>
      </c>
      <c r="E2" s="17">
        <v>45322</v>
      </c>
      <c r="F2" s="18">
        <v>31</v>
      </c>
      <c r="G2" s="15">
        <v>982</v>
      </c>
      <c r="H2" s="15" t="str">
        <v>F1
F2
F3</v>
      </c>
      <c r="I2" s="19" t="str">
        <v>411
221
350</v>
      </c>
      <c r="J2" s="19" t="str">
        <v>235
96
51</v>
      </c>
      <c r="K2" s="19">
        <v>0</v>
      </c>
      <c r="L2" s="19">
        <v>0</v>
      </c>
      <c r="M2" s="19">
        <v>150.87</v>
      </c>
      <c r="N2" s="19">
        <v>155.07</v>
      </c>
      <c r="O2" s="19">
        <v>12.28</v>
      </c>
      <c r="P2" s="19">
        <v>0</v>
      </c>
      <c r="Q2" s="19">
        <v>0</v>
      </c>
      <c r="R2" s="15">
        <v>4.91</v>
      </c>
      <c r="S2" s="15">
        <v>394.22</v>
      </c>
      <c r="T2" s="31">
        <f>'[1]11'!$T$80</f>
        <v>394.22</v>
      </c>
      <c r="U2" t="b">
        <f>S2=T2</f>
        <v>1</v>
      </c>
    </row>
    <row r="3" spans="1:21" ht="48" customHeight="1" x14ac:dyDescent="0.2">
      <c r="A3" s="15">
        <v>2024</v>
      </c>
      <c r="B3" s="16">
        <v>382908635</v>
      </c>
      <c r="C3" s="17">
        <v>45358</v>
      </c>
      <c r="D3" s="17">
        <v>45323</v>
      </c>
      <c r="E3" s="17">
        <v>45351</v>
      </c>
      <c r="F3" s="18">
        <v>29</v>
      </c>
      <c r="G3" s="15">
        <v>1004</v>
      </c>
      <c r="H3" s="15" t="str">
        <v>F1
F2
F3</v>
      </c>
      <c r="I3" s="19" t="str">
        <v>481
229
294</v>
      </c>
      <c r="J3" s="19" t="str">
        <v>290
107
57</v>
      </c>
      <c r="K3" s="19">
        <v>0</v>
      </c>
      <c r="L3" s="19">
        <v>0</v>
      </c>
      <c r="M3" s="19">
        <v>88.75</v>
      </c>
      <c r="N3" s="19">
        <v>122.3</v>
      </c>
      <c r="O3" s="19">
        <v>49.19</v>
      </c>
      <c r="P3" s="19">
        <v>0</v>
      </c>
      <c r="Q3" s="19">
        <v>0</v>
      </c>
      <c r="R3" s="15">
        <v>0</v>
      </c>
      <c r="S3" s="15">
        <v>272.79000000000002</v>
      </c>
      <c r="T3" s="31">
        <f>'[1]11'!$T$83</f>
        <v>272.79000000000002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382908635</v>
      </c>
      <c r="C4" s="17">
        <v>45390</v>
      </c>
      <c r="D4" s="17">
        <v>45352</v>
      </c>
      <c r="E4" s="17">
        <v>45382</v>
      </c>
      <c r="F4" s="18">
        <v>31</v>
      </c>
      <c r="G4" s="15">
        <v>830</v>
      </c>
      <c r="H4" s="15" t="str">
        <v>F1
F2
F3</v>
      </c>
      <c r="I4" s="19" t="str">
        <v>355
223
252</v>
      </c>
      <c r="J4" s="19" t="str">
        <v>132
61
29</v>
      </c>
      <c r="K4" s="19">
        <v>0</v>
      </c>
      <c r="L4" s="19">
        <v>0</v>
      </c>
      <c r="M4" s="19">
        <v>79.069999999999993</v>
      </c>
      <c r="N4" s="19">
        <v>97.84</v>
      </c>
      <c r="O4" s="19">
        <v>41.2</v>
      </c>
      <c r="P4" s="19">
        <v>0</v>
      </c>
      <c r="Q4" s="19">
        <v>0</v>
      </c>
      <c r="R4" s="15">
        <v>0</v>
      </c>
      <c r="S4" s="15">
        <v>228.49</v>
      </c>
      <c r="T4" s="31">
        <f>'[1]11'!$T$86</f>
        <v>228.49</v>
      </c>
      <c r="U4" t="b">
        <f t="shared" si="0"/>
        <v>1</v>
      </c>
    </row>
    <row r="5" spans="1:21" ht="48" customHeight="1" x14ac:dyDescent="0.2">
      <c r="A5" s="15">
        <v>2024</v>
      </c>
      <c r="B5" s="16">
        <v>382908635</v>
      </c>
      <c r="C5" s="17">
        <v>45419</v>
      </c>
      <c r="D5" s="17">
        <v>45383</v>
      </c>
      <c r="E5" s="17">
        <v>45390</v>
      </c>
      <c r="F5" s="18">
        <v>8</v>
      </c>
      <c r="G5" s="15">
        <v>598</v>
      </c>
      <c r="H5" s="15" t="str">
        <v>F1
F2
F3</v>
      </c>
      <c r="I5" s="19" t="str">
        <v>258
142
198</v>
      </c>
      <c r="J5" s="19" t="str">
        <v>95
26
12</v>
      </c>
      <c r="K5" s="19">
        <v>0</v>
      </c>
      <c r="L5" s="19">
        <v>0</v>
      </c>
      <c r="M5" s="19">
        <v>67.22999999999999</v>
      </c>
      <c r="N5" s="19">
        <v>68.3</v>
      </c>
      <c r="O5" s="19">
        <v>31.46</v>
      </c>
      <c r="P5" s="19">
        <v>0</v>
      </c>
      <c r="Q5" s="19">
        <v>0</v>
      </c>
      <c r="R5" s="15">
        <v>0</v>
      </c>
      <c r="S5" s="15">
        <v>174.47</v>
      </c>
      <c r="T5" s="31">
        <f>'[1]11'!$T$89</f>
        <v>174.47</v>
      </c>
      <c r="U5" t="b">
        <f t="shared" si="0"/>
        <v>1</v>
      </c>
    </row>
    <row r="6" spans="1:21" ht="48" customHeight="1" x14ac:dyDescent="0.2">
      <c r="A6" s="15">
        <v>2024</v>
      </c>
      <c r="B6" s="16">
        <v>382908635</v>
      </c>
      <c r="C6" s="17">
        <v>45449</v>
      </c>
      <c r="D6" s="17">
        <v>45413</v>
      </c>
      <c r="E6" s="17">
        <v>45443</v>
      </c>
      <c r="F6" s="18">
        <v>31</v>
      </c>
      <c r="G6" s="15">
        <v>521</v>
      </c>
      <c r="H6" s="15" t="str">
        <v>F1
F2
F3</v>
      </c>
      <c r="I6" s="19" t="str">
        <v>247
130
144</v>
      </c>
      <c r="J6" s="19" t="str">
        <v>73
20
2</v>
      </c>
      <c r="K6" s="19">
        <v>0</v>
      </c>
      <c r="L6" s="19">
        <v>0</v>
      </c>
      <c r="M6" s="19">
        <v>61.32</v>
      </c>
      <c r="N6" s="19">
        <v>63.96</v>
      </c>
      <c r="O6" s="19">
        <v>28.99</v>
      </c>
      <c r="P6" s="19">
        <v>0</v>
      </c>
      <c r="Q6" s="19">
        <v>0</v>
      </c>
      <c r="R6" s="15">
        <v>0</v>
      </c>
      <c r="S6" s="15">
        <v>160.78</v>
      </c>
      <c r="T6" s="31">
        <f>'[1]11'!$T$92</f>
        <v>160.78</v>
      </c>
      <c r="U6" t="b">
        <f t="shared" si="0"/>
        <v>1</v>
      </c>
    </row>
    <row r="7" spans="1:21" ht="48" customHeight="1" x14ac:dyDescent="0.2">
      <c r="A7" s="15">
        <v>2024</v>
      </c>
      <c r="B7" s="16">
        <v>382908635</v>
      </c>
      <c r="C7" s="17">
        <v>45478</v>
      </c>
      <c r="D7" s="17">
        <v>45444</v>
      </c>
      <c r="E7" s="17">
        <v>45473</v>
      </c>
      <c r="F7" s="18">
        <v>30</v>
      </c>
      <c r="G7" s="15">
        <v>569</v>
      </c>
      <c r="H7" s="15" t="str">
        <v>F1
F2
F3</v>
      </c>
      <c r="I7" s="19" t="str">
        <v>192
151
226</v>
      </c>
      <c r="J7" s="19" t="str">
        <v>65
46
63</v>
      </c>
      <c r="K7" s="19">
        <v>0</v>
      </c>
      <c r="L7" s="19">
        <v>0</v>
      </c>
      <c r="M7" s="19">
        <v>62.81</v>
      </c>
      <c r="N7" s="19">
        <v>76.28</v>
      </c>
      <c r="O7" s="19">
        <v>32.159999999999997</v>
      </c>
      <c r="P7" s="19">
        <v>0</v>
      </c>
      <c r="Q7" s="19">
        <v>0</v>
      </c>
      <c r="R7" s="15">
        <v>0</v>
      </c>
      <c r="S7" s="15">
        <v>178.36</v>
      </c>
      <c r="T7" s="31">
        <f>'[1]11'!$T$95</f>
        <v>178.36</v>
      </c>
      <c r="U7" t="b">
        <f t="shared" si="0"/>
        <v>1</v>
      </c>
    </row>
    <row r="8" spans="1:21" ht="48" customHeight="1" x14ac:dyDescent="0.2">
      <c r="A8" s="15">
        <v>2024</v>
      </c>
      <c r="B8" s="16">
        <v>382908635</v>
      </c>
      <c r="C8" s="17">
        <v>45511</v>
      </c>
      <c r="D8" s="17">
        <v>45474</v>
      </c>
      <c r="E8" s="17">
        <v>45504</v>
      </c>
      <c r="F8" s="18">
        <v>31</v>
      </c>
      <c r="G8" s="15">
        <v>430</v>
      </c>
      <c r="H8" s="15" t="str">
        <v>F1
F2
F3</v>
      </c>
      <c r="I8" s="19" t="str">
        <v>199
100
131</v>
      </c>
      <c r="J8" s="19" t="str">
        <v>19
8
5</v>
      </c>
      <c r="K8" s="19">
        <v>0</v>
      </c>
      <c r="L8" s="19">
        <v>0</v>
      </c>
      <c r="M8" s="19">
        <v>50.43</v>
      </c>
      <c r="N8" s="19">
        <v>66.239999999999995</v>
      </c>
      <c r="O8" s="19">
        <v>26.85</v>
      </c>
      <c r="P8" s="19">
        <v>0</v>
      </c>
      <c r="Q8" s="19">
        <v>0</v>
      </c>
      <c r="R8" s="15">
        <v>0</v>
      </c>
      <c r="S8" s="15">
        <v>148.9</v>
      </c>
      <c r="T8" s="31">
        <f>'[1]11'!$T$98</f>
        <v>148.9</v>
      </c>
      <c r="U8" t="b">
        <f t="shared" si="0"/>
        <v>1</v>
      </c>
    </row>
    <row r="9" spans="1:21" ht="48" customHeight="1" x14ac:dyDescent="0.2">
      <c r="A9" s="15">
        <v>2024</v>
      </c>
      <c r="B9" s="16">
        <v>382908635</v>
      </c>
      <c r="C9" s="17">
        <v>45541</v>
      </c>
      <c r="D9" s="17">
        <v>45505</v>
      </c>
      <c r="E9" s="17">
        <v>45535</v>
      </c>
      <c r="F9" s="18">
        <v>31</v>
      </c>
      <c r="G9" s="15">
        <v>2422</v>
      </c>
      <c r="H9" s="15" t="str">
        <v>F1
F2
F3</v>
      </c>
      <c r="I9" s="19" t="str">
        <v>1015
599
808</v>
      </c>
      <c r="J9" s="19" t="str">
        <v>252
101
82</v>
      </c>
      <c r="K9" s="19">
        <v>0</v>
      </c>
      <c r="L9" s="19">
        <v>0</v>
      </c>
      <c r="M9" s="19">
        <v>28.119999999999997</v>
      </c>
      <c r="N9" s="19">
        <v>48.2</v>
      </c>
      <c r="O9" s="19">
        <v>17.5</v>
      </c>
      <c r="P9" s="19">
        <v>0</v>
      </c>
      <c r="Q9" s="19">
        <v>0</v>
      </c>
      <c r="R9" s="15">
        <v>0</v>
      </c>
      <c r="S9" s="15">
        <v>97.03</v>
      </c>
      <c r="T9" s="31">
        <f>'[1]11'!$T$101</f>
        <v>97.03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382908635</v>
      </c>
      <c r="C10" s="17">
        <v>45571</v>
      </c>
      <c r="D10" s="17">
        <v>45536</v>
      </c>
      <c r="E10" s="17">
        <v>45565</v>
      </c>
      <c r="F10" s="18">
        <v>30</v>
      </c>
      <c r="G10" s="15">
        <v>328</v>
      </c>
      <c r="H10" s="15" t="str">
        <v>F1
F2
F3</v>
      </c>
      <c r="I10" s="19" t="str">
        <v>98
83
147</v>
      </c>
      <c r="J10" s="19" t="str">
        <v>1
0
0</v>
      </c>
      <c r="K10" s="19">
        <v>0</v>
      </c>
      <c r="L10" s="19">
        <v>0</v>
      </c>
      <c r="M10" s="19">
        <v>29.91</v>
      </c>
      <c r="N10" s="19">
        <v>47.62</v>
      </c>
      <c r="O10" s="19">
        <v>17.96</v>
      </c>
      <c r="P10" s="19">
        <v>0</v>
      </c>
      <c r="Q10" s="19">
        <v>0</v>
      </c>
      <c r="R10" s="15">
        <v>0</v>
      </c>
      <c r="S10" s="15">
        <v>99.59</v>
      </c>
      <c r="T10" s="31">
        <f>'[1]11'!$T$104</f>
        <v>99.59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382908635</v>
      </c>
      <c r="C11" s="17">
        <v>45604</v>
      </c>
      <c r="D11" s="17">
        <v>45566</v>
      </c>
      <c r="E11" s="17">
        <v>45596</v>
      </c>
      <c r="F11" s="18">
        <v>31</v>
      </c>
      <c r="G11" s="15">
        <v>487</v>
      </c>
      <c r="H11" s="15" t="str">
        <v>F1
F2
F3</v>
      </c>
      <c r="I11" s="19" t="str">
        <v>214
120
153</v>
      </c>
      <c r="J11" s="19" t="str">
        <v>33
9
1</v>
      </c>
      <c r="K11" s="19">
        <v>0</v>
      </c>
      <c r="L11" s="19">
        <v>0</v>
      </c>
      <c r="M11" s="19">
        <v>59.03</v>
      </c>
      <c r="N11" s="19">
        <v>72.42</v>
      </c>
      <c r="O11" s="19">
        <v>30.26</v>
      </c>
      <c r="P11" s="19">
        <v>0</v>
      </c>
      <c r="Q11" s="19">
        <v>0</v>
      </c>
      <c r="R11" s="15">
        <v>0</v>
      </c>
      <c r="S11" s="15">
        <v>167.8</v>
      </c>
      <c r="T11" s="31">
        <f>'[1]11'!$T$107</f>
        <v>167.8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382908635</v>
      </c>
      <c r="C12" s="17">
        <v>45632</v>
      </c>
      <c r="D12" s="17">
        <v>45597</v>
      </c>
      <c r="E12" s="17">
        <v>45626</v>
      </c>
      <c r="F12" s="18">
        <v>30</v>
      </c>
      <c r="G12" s="15">
        <v>843</v>
      </c>
      <c r="H12" s="15" t="str">
        <v>F1
F2
F3</v>
      </c>
      <c r="I12" s="19" t="str">
        <v>315
232
296</v>
      </c>
      <c r="J12" s="19" t="str">
        <v>96
62
46</v>
      </c>
      <c r="K12" s="19">
        <v>0</v>
      </c>
      <c r="L12" s="19">
        <v>0</v>
      </c>
      <c r="M12" s="19">
        <v>94.25</v>
      </c>
      <c r="N12" s="19">
        <v>139.21</v>
      </c>
      <c r="O12" s="19">
        <v>53.68</v>
      </c>
      <c r="P12" s="19">
        <v>0</v>
      </c>
      <c r="Q12" s="19">
        <v>0</v>
      </c>
      <c r="R12" s="15">
        <v>0</v>
      </c>
      <c r="S12" s="15">
        <v>297.68</v>
      </c>
      <c r="T12" s="31">
        <f>'[1]11'!$T$110</f>
        <v>297.68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382908635</v>
      </c>
      <c r="C13" s="17">
        <v>45665</v>
      </c>
      <c r="D13" s="17">
        <v>45627</v>
      </c>
      <c r="E13" s="17">
        <v>45657</v>
      </c>
      <c r="F13" s="18">
        <v>31</v>
      </c>
      <c r="G13" s="15">
        <v>1020</v>
      </c>
      <c r="H13" s="15" t="str">
        <v>F1
F2
F3</v>
      </c>
      <c r="I13" s="19" t="str">
        <v>414
240
366</v>
      </c>
      <c r="J13" s="19" t="str">
        <v>185
84
76</v>
      </c>
      <c r="K13" s="19">
        <v>0</v>
      </c>
      <c r="L13" s="19">
        <v>0</v>
      </c>
      <c r="M13" s="19">
        <v>98.59</v>
      </c>
      <c r="N13" s="19">
        <v>181.24</v>
      </c>
      <c r="O13" s="19">
        <v>64.37</v>
      </c>
      <c r="P13" s="19">
        <v>0</v>
      </c>
      <c r="Q13" s="19">
        <v>0</v>
      </c>
      <c r="R13" s="15">
        <v>0</v>
      </c>
      <c r="S13" s="15">
        <v>356.95</v>
      </c>
      <c r="T13" s="31">
        <f>'[1]11'!$T$113</f>
        <v>356.95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38A7-F496-C644-BD8E-EB6C14A45842}">
  <dimension ref="A1:U13"/>
  <sheetViews>
    <sheetView topLeftCell="C1" workbookViewId="0">
      <selection activeCell="U10" sqref="U10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_xlfn._xlws.FILTER(Calcolo!V:AN,Calcolo!A:A=Fabbricati!E13)</f>
        <v>2024</v>
      </c>
      <c r="B2" s="16">
        <v>382397959</v>
      </c>
      <c r="C2" s="17">
        <v>45349</v>
      </c>
      <c r="D2" s="17">
        <v>45292</v>
      </c>
      <c r="E2" s="17">
        <v>45322</v>
      </c>
      <c r="F2" s="18">
        <v>31</v>
      </c>
      <c r="G2" s="15">
        <v>481</v>
      </c>
      <c r="H2" s="15" t="str">
        <v>F1
F2
F3</v>
      </c>
      <c r="I2" s="19" t="str">
        <v>211
105
165</v>
      </c>
      <c r="J2" s="19" t="str">
        <v>80
44
95</v>
      </c>
      <c r="K2" s="19">
        <v>0</v>
      </c>
      <c r="L2" s="19">
        <v>0</v>
      </c>
      <c r="M2" s="19">
        <v>59.36</v>
      </c>
      <c r="N2" s="19">
        <v>76.11</v>
      </c>
      <c r="O2" s="19">
        <v>6.01</v>
      </c>
      <c r="P2" s="19">
        <v>0</v>
      </c>
      <c r="Q2" s="19">
        <v>0</v>
      </c>
      <c r="R2" s="15">
        <v>2.41</v>
      </c>
      <c r="S2" s="15">
        <v>175.55</v>
      </c>
      <c r="T2" s="31">
        <f>'[1]12'!$T$80</f>
        <v>175.55</v>
      </c>
      <c r="U2" t="b">
        <f>S2=T2</f>
        <v>1</v>
      </c>
    </row>
    <row r="3" spans="1:21" ht="48" customHeight="1" x14ac:dyDescent="0.2">
      <c r="A3" s="15">
        <v>2024</v>
      </c>
      <c r="B3" s="16">
        <v>382397959</v>
      </c>
      <c r="C3" s="17">
        <v>45358</v>
      </c>
      <c r="D3" s="17">
        <v>45323</v>
      </c>
      <c r="E3" s="17">
        <v>45351</v>
      </c>
      <c r="F3" s="18">
        <v>29</v>
      </c>
      <c r="G3" s="15">
        <v>458</v>
      </c>
      <c r="H3" s="15" t="str">
        <v>F1
F2
F3</v>
      </c>
      <c r="I3" s="19" t="str">
        <v>199
118
141</v>
      </c>
      <c r="J3" s="19" t="str">
        <v>85
51
90</v>
      </c>
      <c r="K3" s="19">
        <v>0</v>
      </c>
      <c r="L3" s="19">
        <v>0</v>
      </c>
      <c r="M3" s="19">
        <v>58.11</v>
      </c>
      <c r="N3" s="19">
        <v>55.65</v>
      </c>
      <c r="O3" s="19">
        <v>26.29</v>
      </c>
      <c r="P3" s="19">
        <v>0</v>
      </c>
      <c r="Q3" s="19">
        <v>0</v>
      </c>
      <c r="R3" s="15">
        <v>0</v>
      </c>
      <c r="S3" s="15">
        <v>145.78</v>
      </c>
      <c r="T3" s="31">
        <f>'[1]12'!$T$83</f>
        <v>145.78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382397959</v>
      </c>
      <c r="C4" s="17">
        <v>45395</v>
      </c>
      <c r="D4" s="17">
        <v>45352</v>
      </c>
      <c r="E4" s="17">
        <v>45382</v>
      </c>
      <c r="F4" s="18">
        <v>31</v>
      </c>
      <c r="G4" s="15">
        <v>487</v>
      </c>
      <c r="H4" s="15" t="str">
        <v>F1
F2
F3</v>
      </c>
      <c r="I4" s="19" t="str">
        <v>182
137
168</v>
      </c>
      <c r="J4" s="19" t="str">
        <v>90
63
111</v>
      </c>
      <c r="K4" s="19">
        <v>0</v>
      </c>
      <c r="L4" s="19">
        <v>0</v>
      </c>
      <c r="M4" s="19">
        <v>59.67</v>
      </c>
      <c r="N4" s="19">
        <v>57.14</v>
      </c>
      <c r="O4" s="19">
        <v>27.04</v>
      </c>
      <c r="P4" s="19">
        <v>0</v>
      </c>
      <c r="Q4" s="19">
        <v>0</v>
      </c>
      <c r="R4" s="15">
        <v>0</v>
      </c>
      <c r="S4" s="15">
        <v>149.94</v>
      </c>
      <c r="T4" s="31">
        <f>'[1]12'!$T$86</f>
        <v>149.94</v>
      </c>
      <c r="U4" t="b">
        <f t="shared" si="0"/>
        <v>1</v>
      </c>
    </row>
    <row r="5" spans="1:21" ht="48" customHeight="1" x14ac:dyDescent="0.2">
      <c r="A5" s="15">
        <v>2024</v>
      </c>
      <c r="B5" s="16">
        <v>382397959</v>
      </c>
      <c r="C5" s="17">
        <v>45419</v>
      </c>
      <c r="D5" s="17">
        <v>45383</v>
      </c>
      <c r="E5" s="17">
        <v>45390</v>
      </c>
      <c r="F5" s="18">
        <v>8</v>
      </c>
      <c r="G5" s="15">
        <v>448</v>
      </c>
      <c r="H5" s="15" t="str">
        <v>F1
F2
F3</v>
      </c>
      <c r="I5" s="19" t="str">
        <v>169
121
158</v>
      </c>
      <c r="J5" s="19" t="str">
        <v>95
58
121</v>
      </c>
      <c r="K5" s="19">
        <v>0</v>
      </c>
      <c r="L5" s="19">
        <v>0</v>
      </c>
      <c r="M5" s="19">
        <v>62.989999999999995</v>
      </c>
      <c r="N5" s="19">
        <v>51.15</v>
      </c>
      <c r="O5" s="19">
        <v>26.34</v>
      </c>
      <c r="P5" s="19">
        <v>0</v>
      </c>
      <c r="Q5" s="19">
        <v>0</v>
      </c>
      <c r="R5" s="15">
        <v>0</v>
      </c>
      <c r="S5" s="15">
        <v>146.08000000000001</v>
      </c>
      <c r="T5" s="31">
        <f>'[1]12'!$T$89</f>
        <v>146.08000000000001</v>
      </c>
      <c r="U5" t="b">
        <f t="shared" si="0"/>
        <v>1</v>
      </c>
    </row>
    <row r="6" spans="1:21" ht="48" customHeight="1" x14ac:dyDescent="0.2">
      <c r="A6" s="15">
        <v>2024</v>
      </c>
      <c r="B6" s="16">
        <v>382397959</v>
      </c>
      <c r="C6" s="17">
        <v>45449</v>
      </c>
      <c r="D6" s="17">
        <v>45413</v>
      </c>
      <c r="E6" s="17">
        <v>45443</v>
      </c>
      <c r="F6" s="18">
        <v>31</v>
      </c>
      <c r="G6" s="15">
        <v>452</v>
      </c>
      <c r="H6" s="15" t="str">
        <v>F1
F2
F3</v>
      </c>
      <c r="I6" s="19" t="str">
        <v>179
116
157</v>
      </c>
      <c r="J6" s="19" t="str">
        <v>115
66
122</v>
      </c>
      <c r="K6" s="19">
        <v>0</v>
      </c>
      <c r="L6" s="19">
        <v>0</v>
      </c>
      <c r="M6" s="19">
        <v>63.209999999999994</v>
      </c>
      <c r="N6" s="19">
        <v>55.35</v>
      </c>
      <c r="O6" s="19">
        <v>27.33</v>
      </c>
      <c r="P6" s="19">
        <v>0</v>
      </c>
      <c r="Q6" s="19">
        <v>0</v>
      </c>
      <c r="R6" s="15">
        <v>0</v>
      </c>
      <c r="S6" s="15">
        <v>151.54</v>
      </c>
      <c r="T6" s="31">
        <f>'[1]12'!$T$92</f>
        <v>151.54</v>
      </c>
      <c r="U6" t="b">
        <f t="shared" si="0"/>
        <v>1</v>
      </c>
    </row>
    <row r="7" spans="1:21" ht="48" customHeight="1" x14ac:dyDescent="0.2">
      <c r="A7" s="15">
        <v>2024</v>
      </c>
      <c r="B7" s="16">
        <v>382397959</v>
      </c>
      <c r="C7" s="17">
        <v>45478</v>
      </c>
      <c r="D7" s="17">
        <v>45444</v>
      </c>
      <c r="E7" s="17">
        <v>45473</v>
      </c>
      <c r="F7" s="18">
        <v>30</v>
      </c>
      <c r="G7" s="15">
        <v>440</v>
      </c>
      <c r="H7" s="15" t="str">
        <v>F1
F2
F3</v>
      </c>
      <c r="I7" s="19" t="str">
        <v>157
116
167</v>
      </c>
      <c r="J7" s="19" t="str">
        <v>99
70
124</v>
      </c>
      <c r="K7" s="19">
        <v>0</v>
      </c>
      <c r="L7" s="19">
        <v>0</v>
      </c>
      <c r="M7" s="19">
        <v>62.480000000000004</v>
      </c>
      <c r="N7" s="19">
        <v>59.16</v>
      </c>
      <c r="O7" s="19">
        <v>27.97</v>
      </c>
      <c r="P7" s="19">
        <v>0</v>
      </c>
      <c r="Q7" s="19">
        <v>0</v>
      </c>
      <c r="R7" s="15">
        <v>0</v>
      </c>
      <c r="S7" s="15">
        <v>155.11000000000001</v>
      </c>
      <c r="T7" s="31">
        <f>'[1]12'!$T$95</f>
        <v>155.11000000000001</v>
      </c>
      <c r="U7" t="b">
        <f t="shared" si="0"/>
        <v>1</v>
      </c>
    </row>
    <row r="8" spans="1:21" ht="48" customHeight="1" x14ac:dyDescent="0.2">
      <c r="A8" s="15">
        <v>2024</v>
      </c>
      <c r="B8" s="16">
        <v>382397959</v>
      </c>
      <c r="C8" s="17">
        <v>45511</v>
      </c>
      <c r="D8" s="17">
        <v>45474</v>
      </c>
      <c r="E8" s="17">
        <v>45504</v>
      </c>
      <c r="F8" s="18">
        <v>31</v>
      </c>
      <c r="G8" s="15">
        <v>337</v>
      </c>
      <c r="H8" s="15" t="str">
        <v>F1
F2
F3</v>
      </c>
      <c r="I8" s="19" t="str">
        <v>146
72
119</v>
      </c>
      <c r="J8" s="19" t="str">
        <v>101
61
108</v>
      </c>
      <c r="K8" s="19">
        <v>0</v>
      </c>
      <c r="L8" s="19">
        <v>0</v>
      </c>
      <c r="M8" s="19">
        <v>56.19</v>
      </c>
      <c r="N8" s="19">
        <v>51.71</v>
      </c>
      <c r="O8" s="19">
        <v>24.66</v>
      </c>
      <c r="P8" s="19">
        <v>0</v>
      </c>
      <c r="Q8" s="19">
        <v>0</v>
      </c>
      <c r="R8" s="15">
        <v>0</v>
      </c>
      <c r="S8" s="15">
        <v>136.77000000000001</v>
      </c>
      <c r="T8" s="31">
        <f>'[1]12'!$T$98</f>
        <v>136.77000000000001</v>
      </c>
      <c r="U8" t="b">
        <f t="shared" si="0"/>
        <v>1</v>
      </c>
    </row>
    <row r="9" spans="1:21" ht="48" customHeight="1" x14ac:dyDescent="0.2">
      <c r="A9" s="15">
        <v>2024</v>
      </c>
      <c r="B9" s="16">
        <v>382397959</v>
      </c>
      <c r="C9" s="17">
        <v>45541</v>
      </c>
      <c r="D9" s="17">
        <v>45505</v>
      </c>
      <c r="E9" s="17">
        <v>45535</v>
      </c>
      <c r="F9" s="18">
        <v>31</v>
      </c>
      <c r="G9" s="15">
        <v>2045</v>
      </c>
      <c r="H9" s="15" t="str">
        <v>F1
F2
F3</v>
      </c>
      <c r="I9" s="19" t="str">
        <v>772
521
752</v>
      </c>
      <c r="J9" s="19" t="str">
        <v>492
318
591</v>
      </c>
      <c r="K9" s="19">
        <v>0</v>
      </c>
      <c r="L9" s="19">
        <v>0</v>
      </c>
      <c r="M9" s="19">
        <v>58.08</v>
      </c>
      <c r="N9" s="19">
        <v>58.41</v>
      </c>
      <c r="O9" s="19">
        <v>26.57</v>
      </c>
      <c r="P9" s="19">
        <v>0</v>
      </c>
      <c r="Q9" s="19">
        <v>0</v>
      </c>
      <c r="R9" s="15">
        <v>0</v>
      </c>
      <c r="S9" s="15">
        <v>147.36000000000001</v>
      </c>
      <c r="T9" s="31">
        <f>'[1]12'!$T$101</f>
        <v>147.36000000000001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382397959</v>
      </c>
      <c r="C10" s="17">
        <v>45571</v>
      </c>
      <c r="D10" s="17">
        <v>45536</v>
      </c>
      <c r="E10" s="17">
        <v>45565</v>
      </c>
      <c r="F10" s="18">
        <v>30</v>
      </c>
      <c r="G10" s="15">
        <v>495</v>
      </c>
      <c r="H10" s="15" t="str">
        <v>F1
F2
F3</v>
      </c>
      <c r="I10" s="19" t="str">
        <v>195
117
183</v>
      </c>
      <c r="J10" s="19" t="str">
        <v>105
64
121</v>
      </c>
      <c r="K10" s="19">
        <v>0</v>
      </c>
      <c r="L10" s="19">
        <v>0</v>
      </c>
      <c r="M10" s="19">
        <v>65.83</v>
      </c>
      <c r="N10" s="19">
        <v>72.53</v>
      </c>
      <c r="O10" s="19">
        <v>31.8</v>
      </c>
      <c r="P10" s="19">
        <v>0</v>
      </c>
      <c r="Q10" s="19">
        <v>0</v>
      </c>
      <c r="R10" s="15">
        <v>0</v>
      </c>
      <c r="S10" s="15">
        <v>176.35</v>
      </c>
      <c r="T10" s="31">
        <f>'[1]12'!$T$104</f>
        <v>176.35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382397959</v>
      </c>
      <c r="C11" s="17">
        <v>45604</v>
      </c>
      <c r="D11" s="17">
        <v>45566</v>
      </c>
      <c r="E11" s="17">
        <v>45596</v>
      </c>
      <c r="F11" s="18">
        <v>31</v>
      </c>
      <c r="G11" s="15">
        <v>676</v>
      </c>
      <c r="H11" s="15" t="str">
        <v>F1
F2
F3</v>
      </c>
      <c r="I11" s="19" t="str">
        <v>341
148
187</v>
      </c>
      <c r="J11" s="19" t="str">
        <v>83
50
89</v>
      </c>
      <c r="K11" s="19">
        <v>0</v>
      </c>
      <c r="L11" s="19">
        <v>0</v>
      </c>
      <c r="M11" s="19">
        <v>76.88</v>
      </c>
      <c r="N11" s="19">
        <v>101.15</v>
      </c>
      <c r="O11" s="19">
        <v>41.03</v>
      </c>
      <c r="P11" s="19">
        <v>0</v>
      </c>
      <c r="Q11" s="19">
        <v>0</v>
      </c>
      <c r="R11" s="15">
        <v>0</v>
      </c>
      <c r="S11" s="15">
        <v>227.51</v>
      </c>
      <c r="T11" s="31">
        <f>'[1]12'!$T$107</f>
        <v>227.51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382397959</v>
      </c>
      <c r="C12" s="17">
        <v>45632</v>
      </c>
      <c r="D12" s="17">
        <v>45597</v>
      </c>
      <c r="E12" s="17">
        <v>45626</v>
      </c>
      <c r="F12" s="18">
        <v>30</v>
      </c>
      <c r="G12" s="15">
        <v>798</v>
      </c>
      <c r="H12" s="15" t="str">
        <v>F1
F2
F3</v>
      </c>
      <c r="I12" s="19" t="str">
        <v>384
174
240</v>
      </c>
      <c r="J12" s="19" t="str">
        <v>84
59
108</v>
      </c>
      <c r="K12" s="19">
        <v>0</v>
      </c>
      <c r="L12" s="19">
        <v>0</v>
      </c>
      <c r="M12" s="19">
        <v>84.33</v>
      </c>
      <c r="N12" s="19">
        <v>133.25</v>
      </c>
      <c r="O12" s="19">
        <v>50.06</v>
      </c>
      <c r="P12" s="19">
        <v>0</v>
      </c>
      <c r="Q12" s="19">
        <v>0</v>
      </c>
      <c r="R12" s="15">
        <v>0</v>
      </c>
      <c r="S12" s="15">
        <v>277.62</v>
      </c>
      <c r="T12" s="31">
        <f>'[1]12'!$T$110</f>
        <v>277.62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382397959</v>
      </c>
      <c r="C13" s="17">
        <v>45665</v>
      </c>
      <c r="D13" s="17">
        <v>45627</v>
      </c>
      <c r="E13" s="17">
        <v>45657</v>
      </c>
      <c r="F13" s="18">
        <v>31</v>
      </c>
      <c r="G13" s="15">
        <v>1030</v>
      </c>
      <c r="H13" s="15" t="str">
        <v>F1
F2
F3</v>
      </c>
      <c r="I13" s="19" t="str">
        <v>482
198
350</v>
      </c>
      <c r="J13" s="19" t="str">
        <v>80
53
119</v>
      </c>
      <c r="K13" s="19">
        <v>0</v>
      </c>
      <c r="L13" s="19">
        <v>0</v>
      </c>
      <c r="M13" s="19">
        <v>98.5</v>
      </c>
      <c r="N13" s="19">
        <v>184.57</v>
      </c>
      <c r="O13" s="19">
        <v>65.11</v>
      </c>
      <c r="P13" s="19">
        <v>0</v>
      </c>
      <c r="Q13" s="19">
        <v>0</v>
      </c>
      <c r="R13" s="15">
        <v>0</v>
      </c>
      <c r="S13" s="15">
        <v>361.06</v>
      </c>
      <c r="T13" s="31">
        <f>'[1]12'!$T$113</f>
        <v>361.06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3A102E-3303-8447-B6B8-97DE3D9F4126}">
  <dimension ref="A1:U13"/>
  <sheetViews>
    <sheetView topLeftCell="E1" workbookViewId="0">
      <selection activeCell="U11" sqref="U11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_xlfn._xlws.FILTER(Calcolo!V:AN,Calcolo!A:A=Fabbricati!E14)</f>
        <v>2024</v>
      </c>
      <c r="B2" s="16">
        <v>382909313</v>
      </c>
      <c r="C2" s="17">
        <v>45350</v>
      </c>
      <c r="D2" s="17">
        <v>45292</v>
      </c>
      <c r="E2" s="17">
        <v>45322</v>
      </c>
      <c r="F2" s="18">
        <v>31</v>
      </c>
      <c r="G2" s="15">
        <v>351</v>
      </c>
      <c r="H2" s="15" t="str">
        <v>F1
F2
F3</v>
      </c>
      <c r="I2" s="19" t="str">
        <v>102
78
171</v>
      </c>
      <c r="J2" s="19" t="str">
        <v>25
18
38</v>
      </c>
      <c r="K2" s="19">
        <v>0</v>
      </c>
      <c r="L2" s="19">
        <v>0</v>
      </c>
      <c r="M2" s="19">
        <v>52.3</v>
      </c>
      <c r="N2" s="19">
        <v>54.38</v>
      </c>
      <c r="O2" s="19">
        <v>4.3899999999999997</v>
      </c>
      <c r="P2" s="19">
        <v>0</v>
      </c>
      <c r="Q2" s="19">
        <v>0</v>
      </c>
      <c r="R2" s="15">
        <v>1.76</v>
      </c>
      <c r="S2" s="15">
        <v>137.65</v>
      </c>
      <c r="T2" s="31">
        <f>'[1]13'!$T$80</f>
        <v>137.65</v>
      </c>
      <c r="U2" t="b">
        <f>S2=T2</f>
        <v>1</v>
      </c>
    </row>
    <row r="3" spans="1:21" ht="48" customHeight="1" x14ac:dyDescent="0.2">
      <c r="A3" s="15">
        <v>2024</v>
      </c>
      <c r="B3" s="16">
        <v>382909313</v>
      </c>
      <c r="C3" s="17">
        <v>45358</v>
      </c>
      <c r="D3" s="17">
        <v>45323</v>
      </c>
      <c r="E3" s="17">
        <v>45351</v>
      </c>
      <c r="F3" s="18">
        <v>29</v>
      </c>
      <c r="G3" s="15">
        <v>310</v>
      </c>
      <c r="H3" s="15" t="str">
        <v>F1
F2
F3</v>
      </c>
      <c r="I3" s="19" t="str">
        <v>91
81
138</v>
      </c>
      <c r="J3" s="19" t="str">
        <v>19
13
24</v>
      </c>
      <c r="K3" s="19">
        <v>0</v>
      </c>
      <c r="L3" s="19">
        <v>0</v>
      </c>
      <c r="M3" s="19">
        <v>50.08</v>
      </c>
      <c r="N3" s="19">
        <v>36.74</v>
      </c>
      <c r="O3" s="19">
        <v>19.95</v>
      </c>
      <c r="P3" s="19">
        <v>0</v>
      </c>
      <c r="Q3" s="19">
        <v>0</v>
      </c>
      <c r="R3" s="15">
        <v>0</v>
      </c>
      <c r="S3" s="15">
        <v>110.65</v>
      </c>
      <c r="T3" s="31">
        <f>'[1]13'!$T$83</f>
        <v>110.65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382909313</v>
      </c>
      <c r="C4" s="17">
        <v>45390</v>
      </c>
      <c r="D4" s="17">
        <v>45352</v>
      </c>
      <c r="E4" s="17">
        <v>45382</v>
      </c>
      <c r="F4" s="18">
        <v>31</v>
      </c>
      <c r="G4" s="15">
        <v>305</v>
      </c>
      <c r="H4" s="15" t="str">
        <v>F1
F2
F3</v>
      </c>
      <c r="I4" s="19" t="str">
        <v>85
81
139</v>
      </c>
      <c r="J4" s="19" t="str">
        <v>1
1
1</v>
      </c>
      <c r="K4" s="19">
        <v>0</v>
      </c>
      <c r="L4" s="19">
        <v>0</v>
      </c>
      <c r="M4" s="19">
        <v>49.8</v>
      </c>
      <c r="N4" s="19">
        <v>35.299999999999997</v>
      </c>
      <c r="O4" s="19">
        <v>19.559999999999999</v>
      </c>
      <c r="P4" s="19">
        <v>0</v>
      </c>
      <c r="Q4" s="19">
        <v>0</v>
      </c>
      <c r="R4" s="15">
        <v>0</v>
      </c>
      <c r="S4" s="15">
        <v>108.47</v>
      </c>
      <c r="T4" s="31">
        <f>'[1]13'!$T$86</f>
        <v>108.47</v>
      </c>
      <c r="U4" t="b">
        <f t="shared" si="0"/>
        <v>1</v>
      </c>
    </row>
    <row r="5" spans="1:21" ht="48" customHeight="1" x14ac:dyDescent="0.2">
      <c r="A5" s="15">
        <v>2024</v>
      </c>
      <c r="B5" s="16">
        <v>382909313</v>
      </c>
      <c r="C5" s="17">
        <v>45419</v>
      </c>
      <c r="D5" s="17">
        <v>45383</v>
      </c>
      <c r="E5" s="17">
        <v>45412</v>
      </c>
      <c r="F5" s="18">
        <v>30</v>
      </c>
      <c r="G5" s="15">
        <v>246</v>
      </c>
      <c r="H5" s="15" t="str">
        <v>F1
F2
F3</v>
      </c>
      <c r="I5" s="19" t="str">
        <v>66
56
124</v>
      </c>
      <c r="J5" s="19" t="str">
        <v>0
0
0</v>
      </c>
      <c r="K5" s="19">
        <v>0</v>
      </c>
      <c r="L5" s="19">
        <v>0</v>
      </c>
      <c r="M5" s="19">
        <v>50.629999999999995</v>
      </c>
      <c r="N5" s="19">
        <v>27.58</v>
      </c>
      <c r="O5" s="19">
        <v>17.88</v>
      </c>
      <c r="P5" s="19">
        <v>0</v>
      </c>
      <c r="Q5" s="19">
        <v>0</v>
      </c>
      <c r="R5" s="15">
        <v>0</v>
      </c>
      <c r="S5" s="15">
        <v>99.17</v>
      </c>
      <c r="T5" s="31">
        <f>'[1]13'!$T$89</f>
        <v>99.17</v>
      </c>
      <c r="U5" t="b">
        <f t="shared" si="0"/>
        <v>1</v>
      </c>
    </row>
    <row r="6" spans="1:21" ht="48" customHeight="1" x14ac:dyDescent="0.2">
      <c r="A6" s="15">
        <v>2024</v>
      </c>
      <c r="B6" s="16">
        <v>382909313</v>
      </c>
      <c r="C6" s="17">
        <v>45449</v>
      </c>
      <c r="D6" s="17">
        <v>45413</v>
      </c>
      <c r="E6" s="17">
        <v>45443</v>
      </c>
      <c r="F6" s="18">
        <v>31</v>
      </c>
      <c r="G6" s="15">
        <v>262</v>
      </c>
      <c r="H6" s="15" t="str">
        <v>F1
F2
F3</v>
      </c>
      <c r="I6" s="19" t="str">
        <v>73
67
122</v>
      </c>
      <c r="J6" s="19" t="str">
        <v>1
0
1</v>
      </c>
      <c r="K6" s="19">
        <v>0</v>
      </c>
      <c r="L6" s="19">
        <v>0</v>
      </c>
      <c r="M6" s="19">
        <v>51.61</v>
      </c>
      <c r="N6" s="19">
        <v>31.74</v>
      </c>
      <c r="O6" s="19">
        <v>19.059999999999999</v>
      </c>
      <c r="P6" s="19">
        <v>0</v>
      </c>
      <c r="Q6" s="19">
        <v>0</v>
      </c>
      <c r="R6" s="15">
        <v>0</v>
      </c>
      <c r="S6" s="15">
        <v>105.69</v>
      </c>
      <c r="T6" s="31">
        <f>'[1]13'!$T$92</f>
        <v>105.69</v>
      </c>
      <c r="U6" t="b">
        <f t="shared" si="0"/>
        <v>1</v>
      </c>
    </row>
    <row r="7" spans="1:21" ht="48" customHeight="1" x14ac:dyDescent="0.2">
      <c r="A7" s="15">
        <v>2024</v>
      </c>
      <c r="B7" s="16">
        <v>382909313</v>
      </c>
      <c r="C7" s="17">
        <v>45478</v>
      </c>
      <c r="D7" s="17">
        <v>45444</v>
      </c>
      <c r="E7" s="17">
        <v>45473</v>
      </c>
      <c r="F7" s="18">
        <v>30</v>
      </c>
      <c r="G7" s="15">
        <v>263</v>
      </c>
      <c r="H7" s="15" t="str">
        <v>F1
F2
F3</v>
      </c>
      <c r="I7" s="19" t="str">
        <v>71
68
124</v>
      </c>
      <c r="J7" s="19" t="str">
        <v>0
0
0</v>
      </c>
      <c r="K7" s="19">
        <v>0</v>
      </c>
      <c r="L7" s="19">
        <v>0</v>
      </c>
      <c r="M7" s="19">
        <v>51.67</v>
      </c>
      <c r="N7" s="19">
        <v>35.01</v>
      </c>
      <c r="O7" s="19">
        <v>19.79</v>
      </c>
      <c r="P7" s="19">
        <v>0</v>
      </c>
      <c r="Q7" s="19">
        <v>0</v>
      </c>
      <c r="R7" s="15">
        <v>0</v>
      </c>
      <c r="S7" s="15">
        <v>109.76</v>
      </c>
      <c r="T7" s="31">
        <f>'[1]13'!$T$95</f>
        <v>109.76</v>
      </c>
      <c r="U7" t="b">
        <f t="shared" si="0"/>
        <v>1</v>
      </c>
    </row>
    <row r="8" spans="1:21" ht="48" customHeight="1" x14ac:dyDescent="0.2">
      <c r="A8" s="15">
        <v>2024</v>
      </c>
      <c r="B8" s="16">
        <v>382909313</v>
      </c>
      <c r="C8" s="17">
        <v>45515</v>
      </c>
      <c r="D8" s="17">
        <v>45474</v>
      </c>
      <c r="E8" s="17">
        <v>45504</v>
      </c>
      <c r="F8" s="18">
        <v>31</v>
      </c>
      <c r="G8" s="15">
        <v>235</v>
      </c>
      <c r="H8" s="15" t="str">
        <v>F1
F2
F3</v>
      </c>
      <c r="I8" s="19" t="str">
        <v>70
57
108</v>
      </c>
      <c r="J8" s="19" t="str">
        <v>0
1
0</v>
      </c>
      <c r="K8" s="19">
        <v>0</v>
      </c>
      <c r="L8" s="19">
        <v>0</v>
      </c>
      <c r="M8" s="19">
        <v>49.96</v>
      </c>
      <c r="N8" s="19">
        <v>36.17</v>
      </c>
      <c r="O8" s="19">
        <v>19.600000000000001</v>
      </c>
      <c r="P8" s="19">
        <v>0</v>
      </c>
      <c r="Q8" s="19">
        <v>0</v>
      </c>
      <c r="R8" s="15">
        <v>0</v>
      </c>
      <c r="S8" s="15">
        <v>108.67</v>
      </c>
      <c r="T8" s="31">
        <f>'[1]13'!$T$98</f>
        <v>108.67</v>
      </c>
      <c r="U8" t="b">
        <f t="shared" si="0"/>
        <v>1</v>
      </c>
    </row>
    <row r="9" spans="1:21" ht="48" customHeight="1" x14ac:dyDescent="0.2">
      <c r="A9" s="15">
        <v>2024</v>
      </c>
      <c r="B9" s="16">
        <v>382909313</v>
      </c>
      <c r="C9" s="17">
        <v>45541</v>
      </c>
      <c r="D9" s="17">
        <v>45505</v>
      </c>
      <c r="E9" s="17">
        <v>45535</v>
      </c>
      <c r="F9" s="18">
        <v>31</v>
      </c>
      <c r="G9" s="15">
        <v>248</v>
      </c>
      <c r="H9" s="15" t="str">
        <v>F1
F2
F3</v>
      </c>
      <c r="I9" s="19" t="str">
        <v>65
65
118</v>
      </c>
      <c r="J9" s="19" t="str">
        <v>3
1
3</v>
      </c>
      <c r="K9" s="19">
        <v>0</v>
      </c>
      <c r="L9" s="19">
        <v>0</v>
      </c>
      <c r="M9" s="19">
        <v>50.739999999999995</v>
      </c>
      <c r="N9" s="19">
        <v>39.51</v>
      </c>
      <c r="O9" s="19">
        <v>20.54</v>
      </c>
      <c r="P9" s="19">
        <v>0</v>
      </c>
      <c r="Q9" s="19">
        <v>0</v>
      </c>
      <c r="R9" s="15">
        <v>0</v>
      </c>
      <c r="S9" s="15">
        <v>113.89</v>
      </c>
      <c r="T9" s="31">
        <f>'[1]13'!$T$101</f>
        <v>113.89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382909313</v>
      </c>
      <c r="C10" s="17">
        <v>45571</v>
      </c>
      <c r="D10" s="17">
        <v>45536</v>
      </c>
      <c r="E10" s="17">
        <v>45565</v>
      </c>
      <c r="F10" s="18">
        <v>30</v>
      </c>
      <c r="G10" s="15">
        <v>240</v>
      </c>
      <c r="H10" s="15" t="str">
        <v>F1
F2
F3</v>
      </c>
      <c r="I10" s="19" t="str">
        <v>65
60
115</v>
      </c>
      <c r="J10" s="19" t="str">
        <v>1
1
1</v>
      </c>
      <c r="K10" s="19">
        <v>0</v>
      </c>
      <c r="L10" s="19">
        <v>0</v>
      </c>
      <c r="M10" s="19">
        <v>50.26</v>
      </c>
      <c r="N10" s="19">
        <v>34.799999999999997</v>
      </c>
      <c r="O10" s="19">
        <v>19.37</v>
      </c>
      <c r="P10" s="19">
        <v>0</v>
      </c>
      <c r="Q10" s="19">
        <v>0</v>
      </c>
      <c r="R10" s="15">
        <v>0</v>
      </c>
      <c r="S10" s="15">
        <v>107.43</v>
      </c>
      <c r="T10" s="31">
        <f>'[1]13'!$T$104</f>
        <v>107.43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382909313</v>
      </c>
      <c r="C11" s="17">
        <v>45604</v>
      </c>
      <c r="D11" s="17">
        <v>45566</v>
      </c>
      <c r="E11" s="17">
        <v>45596</v>
      </c>
      <c r="F11" s="18">
        <v>31</v>
      </c>
      <c r="G11" s="15">
        <v>267</v>
      </c>
      <c r="H11" s="15" t="str">
        <v>F1
F2
F3</v>
      </c>
      <c r="I11" s="19" t="str">
        <v>75
77
115</v>
      </c>
      <c r="J11" s="19" t="str">
        <v>0
0
0</v>
      </c>
      <c r="K11" s="19">
        <v>0</v>
      </c>
      <c r="L11" s="19">
        <v>0</v>
      </c>
      <c r="M11" s="19">
        <v>51.92</v>
      </c>
      <c r="N11" s="19">
        <v>39.31</v>
      </c>
      <c r="O11" s="19">
        <v>20.81</v>
      </c>
      <c r="P11" s="19">
        <v>0</v>
      </c>
      <c r="Q11" s="19">
        <v>0</v>
      </c>
      <c r="R11" s="15">
        <v>0</v>
      </c>
      <c r="S11" s="15">
        <v>115.38</v>
      </c>
      <c r="T11" s="31">
        <f>'[1]13'!$T$107</f>
        <v>115.38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382909313</v>
      </c>
      <c r="C12" s="17">
        <v>45632</v>
      </c>
      <c r="D12" s="17">
        <v>45597</v>
      </c>
      <c r="E12" s="17">
        <v>45626</v>
      </c>
      <c r="F12" s="18">
        <v>30</v>
      </c>
      <c r="G12" s="15">
        <v>537</v>
      </c>
      <c r="H12" s="15" t="str">
        <v>F1
F2
F3</v>
      </c>
      <c r="I12" s="19" t="str">
        <v>152
174
211</v>
      </c>
      <c r="J12" s="19" t="str">
        <v>2
2
4</v>
      </c>
      <c r="K12" s="19">
        <v>0</v>
      </c>
      <c r="L12" s="19">
        <v>0</v>
      </c>
      <c r="M12" s="19">
        <v>68.400000000000006</v>
      </c>
      <c r="N12" s="19">
        <v>87.59</v>
      </c>
      <c r="O12" s="19">
        <v>35.79</v>
      </c>
      <c r="P12" s="19">
        <v>0</v>
      </c>
      <c r="Q12" s="19">
        <v>0</v>
      </c>
      <c r="R12" s="15">
        <v>0</v>
      </c>
      <c r="S12" s="15">
        <v>198.49</v>
      </c>
      <c r="T12" s="31">
        <f>'[1]13'!$T$110</f>
        <v>198.49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382909313</v>
      </c>
      <c r="C13" s="17">
        <v>45665</v>
      </c>
      <c r="D13" s="17">
        <v>45627</v>
      </c>
      <c r="E13" s="17">
        <v>45657</v>
      </c>
      <c r="F13" s="18">
        <v>31</v>
      </c>
      <c r="G13" s="15">
        <v>382</v>
      </c>
      <c r="H13" s="15" t="str">
        <v>F1
F2
F3</v>
      </c>
      <c r="I13" s="19" t="str">
        <v>101
88
193</v>
      </c>
      <c r="J13" s="19" t="str">
        <v>2
2
6</v>
      </c>
      <c r="K13" s="19">
        <v>0</v>
      </c>
      <c r="L13" s="19">
        <v>0</v>
      </c>
      <c r="M13" s="19">
        <v>58.94</v>
      </c>
      <c r="N13" s="19">
        <v>65.260000000000005</v>
      </c>
      <c r="O13" s="19">
        <v>28.38</v>
      </c>
      <c r="P13" s="19">
        <v>0</v>
      </c>
      <c r="Q13" s="19">
        <v>0</v>
      </c>
      <c r="R13" s="15">
        <v>0</v>
      </c>
      <c r="S13" s="15">
        <v>157.36000000000001</v>
      </c>
      <c r="T13" s="31">
        <f>'[1]13'!$T$113</f>
        <v>157.36000000000001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E9205-FE7F-C54B-811C-38409323FD22}">
  <dimension ref="A1:U13"/>
  <sheetViews>
    <sheetView topLeftCell="F1" workbookViewId="0">
      <selection activeCell="S10" sqref="S10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_xlfn._xlws.FILTER(Calcolo!V:AN,Calcolo!A:A=Fabbricati!E15)</f>
        <v>2024</v>
      </c>
      <c r="B2" s="16">
        <v>382921101</v>
      </c>
      <c r="C2" s="17">
        <v>45350</v>
      </c>
      <c r="D2" s="17">
        <v>45292</v>
      </c>
      <c r="E2" s="17">
        <v>45322</v>
      </c>
      <c r="F2" s="18">
        <v>31</v>
      </c>
      <c r="G2" s="15">
        <v>221</v>
      </c>
      <c r="H2" s="15" t="str">
        <v>F1
F2
F3</v>
      </c>
      <c r="I2" s="19" t="str">
        <v>31
59
131</v>
      </c>
      <c r="J2" s="19" t="str">
        <v>22
54
130</v>
      </c>
      <c r="K2" s="19">
        <v>0</v>
      </c>
      <c r="L2" s="19">
        <v>0</v>
      </c>
      <c r="M2" s="19">
        <v>29.11</v>
      </c>
      <c r="N2" s="19">
        <v>33.68</v>
      </c>
      <c r="O2" s="19">
        <v>2.76</v>
      </c>
      <c r="P2" s="19">
        <v>0</v>
      </c>
      <c r="Q2" s="19">
        <v>0</v>
      </c>
      <c r="R2" s="15">
        <v>1.1100000000000001</v>
      </c>
      <c r="S2" s="15">
        <v>81.33</v>
      </c>
      <c r="T2" s="31">
        <f>'[1]14'!$T$80</f>
        <v>81.33</v>
      </c>
      <c r="U2" t="b">
        <f>S2=T2</f>
        <v>1</v>
      </c>
    </row>
    <row r="3" spans="1:21" ht="48" customHeight="1" x14ac:dyDescent="0.2">
      <c r="A3" s="15">
        <v>2024</v>
      </c>
      <c r="B3" s="16">
        <v>382921101</v>
      </c>
      <c r="C3" s="17">
        <v>45358</v>
      </c>
      <c r="D3" s="17">
        <v>45323</v>
      </c>
      <c r="E3" s="17">
        <v>45351</v>
      </c>
      <c r="F3" s="18">
        <v>29</v>
      </c>
      <c r="G3" s="15">
        <v>187</v>
      </c>
      <c r="H3" s="15" t="str">
        <v>F1
F2
F3</v>
      </c>
      <c r="I3" s="19" t="str">
        <v>23
52
112</v>
      </c>
      <c r="J3" s="19" t="str">
        <v>15
49
113</v>
      </c>
      <c r="K3" s="19">
        <v>0</v>
      </c>
      <c r="L3" s="19">
        <v>0</v>
      </c>
      <c r="M3" s="19">
        <v>27.270000000000003</v>
      </c>
      <c r="N3" s="19">
        <v>21.5</v>
      </c>
      <c r="O3" s="19">
        <v>11.24</v>
      </c>
      <c r="P3" s="19">
        <v>0</v>
      </c>
      <c r="Q3" s="19">
        <v>0</v>
      </c>
      <c r="R3" s="15">
        <v>0</v>
      </c>
      <c r="S3" s="15">
        <v>62.35</v>
      </c>
      <c r="T3" s="31">
        <f>'[1]14'!$T$83</f>
        <v>62.35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382921101</v>
      </c>
      <c r="C4" s="17">
        <v>45390</v>
      </c>
      <c r="D4" s="17">
        <v>45352</v>
      </c>
      <c r="E4" s="17">
        <v>45382</v>
      </c>
      <c r="F4" s="18">
        <v>31</v>
      </c>
      <c r="G4" s="15">
        <v>178</v>
      </c>
      <c r="H4" s="15" t="str">
        <v>F1
F2
F3</v>
      </c>
      <c r="I4" s="19" t="str">
        <v>17
52
109</v>
      </c>
      <c r="J4" s="19" t="str">
        <v>9
49
111</v>
      </c>
      <c r="K4" s="19">
        <v>0</v>
      </c>
      <c r="L4" s="19">
        <v>0</v>
      </c>
      <c r="M4" s="19">
        <v>26.79</v>
      </c>
      <c r="N4" s="19">
        <v>20.170000000000002</v>
      </c>
      <c r="O4" s="19">
        <v>10.82</v>
      </c>
      <c r="P4" s="19">
        <v>0</v>
      </c>
      <c r="Q4" s="19">
        <v>0</v>
      </c>
      <c r="R4" s="15">
        <v>0</v>
      </c>
      <c r="S4" s="15">
        <v>60.01</v>
      </c>
      <c r="T4" s="31">
        <f>'[1]14'!$T$86</f>
        <v>60.01</v>
      </c>
      <c r="U4" t="b">
        <f t="shared" si="0"/>
        <v>1</v>
      </c>
    </row>
    <row r="5" spans="1:21" ht="48" customHeight="1" x14ac:dyDescent="0.2">
      <c r="A5" s="15">
        <v>2024</v>
      </c>
      <c r="B5" s="16">
        <v>382921101</v>
      </c>
      <c r="C5" s="17">
        <v>45424</v>
      </c>
      <c r="D5" s="17">
        <v>45383</v>
      </c>
      <c r="E5" s="17">
        <v>45412</v>
      </c>
      <c r="F5" s="18">
        <v>30</v>
      </c>
      <c r="G5" s="15">
        <v>149</v>
      </c>
      <c r="H5" s="15" t="str">
        <v>F1
F2
F3</v>
      </c>
      <c r="I5" s="19" t="str">
        <v>9
34
106</v>
      </c>
      <c r="J5" s="19" t="str">
        <v>0
0
0</v>
      </c>
      <c r="K5" s="19">
        <v>0</v>
      </c>
      <c r="L5" s="19">
        <v>0</v>
      </c>
      <c r="M5" s="19">
        <v>27.43</v>
      </c>
      <c r="N5" s="19">
        <v>16.510000000000002</v>
      </c>
      <c r="O5" s="19">
        <v>10.08</v>
      </c>
      <c r="P5" s="19">
        <v>0</v>
      </c>
      <c r="Q5" s="19">
        <v>0</v>
      </c>
      <c r="R5" s="15">
        <v>0</v>
      </c>
      <c r="S5" s="15">
        <v>55.88</v>
      </c>
      <c r="T5" s="31">
        <f>'[1]14'!$T$89</f>
        <v>55.88</v>
      </c>
      <c r="U5" t="b">
        <f t="shared" si="0"/>
        <v>1</v>
      </c>
    </row>
    <row r="6" spans="1:21" ht="48" customHeight="1" x14ac:dyDescent="0.2">
      <c r="A6" s="15">
        <v>2024</v>
      </c>
      <c r="B6" s="16">
        <v>382921101</v>
      </c>
      <c r="C6" s="17">
        <v>45449</v>
      </c>
      <c r="D6" s="17">
        <v>45383</v>
      </c>
      <c r="E6" s="17">
        <v>45414</v>
      </c>
      <c r="F6" s="18">
        <v>32</v>
      </c>
      <c r="G6" s="15">
        <v>289</v>
      </c>
      <c r="H6" s="15" t="str">
        <v>F1
F2
F3</v>
      </c>
      <c r="I6" s="19" t="str">
        <v>19
66
204</v>
      </c>
      <c r="J6" s="19" t="str">
        <v>4
62
209</v>
      </c>
      <c r="K6" s="19">
        <v>0</v>
      </c>
      <c r="L6" s="19">
        <v>0</v>
      </c>
      <c r="M6" s="19">
        <v>26.89</v>
      </c>
      <c r="N6" s="19">
        <v>16.57</v>
      </c>
      <c r="O6" s="19">
        <v>9.9499999999999993</v>
      </c>
      <c r="P6" s="19">
        <v>0</v>
      </c>
      <c r="Q6" s="19">
        <v>0</v>
      </c>
      <c r="R6" s="15">
        <v>0</v>
      </c>
      <c r="S6" s="15">
        <v>55.17</v>
      </c>
      <c r="T6" s="31">
        <f>'[1]14'!$T$92</f>
        <v>55.17</v>
      </c>
      <c r="U6" t="b">
        <f t="shared" si="0"/>
        <v>1</v>
      </c>
    </row>
    <row r="7" spans="1:21" ht="48" customHeight="1" x14ac:dyDescent="0.2">
      <c r="A7" s="15">
        <v>2024</v>
      </c>
      <c r="B7" s="16">
        <v>382921101</v>
      </c>
      <c r="C7" s="17">
        <v>45478</v>
      </c>
      <c r="D7" s="17">
        <v>45444</v>
      </c>
      <c r="E7" s="17">
        <v>45473</v>
      </c>
      <c r="F7" s="18">
        <v>30</v>
      </c>
      <c r="G7" s="15">
        <v>126</v>
      </c>
      <c r="H7" s="15" t="str">
        <v>F1
F2
F3</v>
      </c>
      <c r="I7" s="19" t="str">
        <v>10
26
90</v>
      </c>
      <c r="J7" s="19" t="str">
        <v>2
23
92</v>
      </c>
      <c r="K7" s="19">
        <v>0</v>
      </c>
      <c r="L7" s="19">
        <v>0</v>
      </c>
      <c r="M7" s="19">
        <v>26.03</v>
      </c>
      <c r="N7" s="19">
        <v>16.46</v>
      </c>
      <c r="O7" s="19">
        <v>9.6999999999999993</v>
      </c>
      <c r="P7" s="19">
        <v>0</v>
      </c>
      <c r="Q7" s="19">
        <v>0</v>
      </c>
      <c r="R7" s="15">
        <v>0</v>
      </c>
      <c r="S7" s="15">
        <v>53.77</v>
      </c>
      <c r="T7" s="31">
        <f>'[1]14'!$T$95</f>
        <v>53.77</v>
      </c>
      <c r="U7" t="b">
        <f t="shared" si="0"/>
        <v>1</v>
      </c>
    </row>
    <row r="8" spans="1:21" ht="48" customHeight="1" x14ac:dyDescent="0.2">
      <c r="A8" s="15">
        <v>2024</v>
      </c>
      <c r="B8" s="16">
        <v>382921101</v>
      </c>
      <c r="C8" s="17">
        <v>45511</v>
      </c>
      <c r="D8" s="17">
        <v>45474</v>
      </c>
      <c r="E8" s="17">
        <v>45504</v>
      </c>
      <c r="F8" s="18">
        <v>31</v>
      </c>
      <c r="G8" s="15">
        <v>133</v>
      </c>
      <c r="H8" s="15" t="str">
        <v>F1
F2
F3</v>
      </c>
      <c r="I8" s="19" t="str">
        <v>27
30
76</v>
      </c>
      <c r="J8" s="19" t="str">
        <v>13
26
81</v>
      </c>
      <c r="K8" s="19">
        <v>0</v>
      </c>
      <c r="L8" s="19">
        <v>0</v>
      </c>
      <c r="M8" s="19">
        <v>26.46</v>
      </c>
      <c r="N8" s="19">
        <v>20.39</v>
      </c>
      <c r="O8" s="19">
        <v>10.67</v>
      </c>
      <c r="P8" s="19">
        <v>0</v>
      </c>
      <c r="Q8" s="19">
        <v>0</v>
      </c>
      <c r="R8" s="15">
        <v>0</v>
      </c>
      <c r="S8" s="15">
        <v>59.18</v>
      </c>
      <c r="T8" s="31">
        <f>'[1]14'!$T$98</f>
        <v>59.18</v>
      </c>
      <c r="U8" t="b">
        <f t="shared" si="0"/>
        <v>1</v>
      </c>
    </row>
    <row r="9" spans="1:21" ht="48" customHeight="1" x14ac:dyDescent="0.2">
      <c r="A9" s="15">
        <v>2024</v>
      </c>
      <c r="B9" s="16">
        <v>382921101</v>
      </c>
      <c r="C9" s="17">
        <v>45541</v>
      </c>
      <c r="D9" s="17">
        <v>45505</v>
      </c>
      <c r="E9" s="17">
        <v>45535</v>
      </c>
      <c r="F9" s="18">
        <v>31</v>
      </c>
      <c r="G9" s="15">
        <v>697</v>
      </c>
      <c r="H9" s="15" t="str">
        <v>F1
F2
F3</v>
      </c>
      <c r="I9" s="19" t="str">
        <v>80
158
459</v>
      </c>
      <c r="J9" s="19" t="str">
        <v>39
151
487</v>
      </c>
      <c r="K9" s="19">
        <v>0</v>
      </c>
      <c r="L9" s="19">
        <v>0</v>
      </c>
      <c r="M9" s="19">
        <v>27.43</v>
      </c>
      <c r="N9" s="19">
        <v>23.58</v>
      </c>
      <c r="O9" s="19">
        <v>11.65</v>
      </c>
      <c r="P9" s="19">
        <v>0</v>
      </c>
      <c r="Q9" s="19">
        <v>0</v>
      </c>
      <c r="R9" s="15">
        <v>0</v>
      </c>
      <c r="S9" s="15">
        <v>64.62</v>
      </c>
      <c r="T9" s="31">
        <f>'[1]14'!$T$101</f>
        <v>64.62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382921101</v>
      </c>
      <c r="C10" s="17">
        <v>45571</v>
      </c>
      <c r="D10" s="17">
        <v>45536</v>
      </c>
      <c r="E10" s="17">
        <v>45565</v>
      </c>
      <c r="F10" s="18">
        <v>30</v>
      </c>
      <c r="G10" s="15">
        <v>135</v>
      </c>
      <c r="H10" s="15" t="str">
        <v>F1
F2
F3</v>
      </c>
      <c r="I10" s="19" t="str">
        <v>15
35
85</v>
      </c>
      <c r="J10" s="19" t="str">
        <v>10
38
100</v>
      </c>
      <c r="K10" s="19">
        <v>0</v>
      </c>
      <c r="L10" s="19">
        <v>0</v>
      </c>
      <c r="M10" s="19">
        <v>26.58</v>
      </c>
      <c r="N10" s="19">
        <v>19.350000000000001</v>
      </c>
      <c r="O10" s="19">
        <v>10.48</v>
      </c>
      <c r="P10" s="19">
        <v>0</v>
      </c>
      <c r="Q10" s="19">
        <v>0</v>
      </c>
      <c r="R10" s="15">
        <v>0</v>
      </c>
      <c r="S10" s="15">
        <v>58.1</v>
      </c>
      <c r="T10" s="31">
        <f>'[1]14'!$T$104</f>
        <v>58.1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382921101</v>
      </c>
      <c r="C11" s="17">
        <v>45604</v>
      </c>
      <c r="D11" s="17">
        <v>45566</v>
      </c>
      <c r="E11" s="17">
        <v>45596</v>
      </c>
      <c r="F11" s="18">
        <v>31</v>
      </c>
      <c r="G11" s="15">
        <v>164</v>
      </c>
      <c r="H11" s="15" t="str">
        <v>F1
F2
F3</v>
      </c>
      <c r="I11" s="19" t="str">
        <v>30
46
88</v>
      </c>
      <c r="J11" s="19" t="str">
        <v>19
53
114</v>
      </c>
      <c r="K11" s="19">
        <v>0</v>
      </c>
      <c r="L11" s="19">
        <v>0</v>
      </c>
      <c r="M11" s="19">
        <v>28.35</v>
      </c>
      <c r="N11" s="19">
        <v>23.78</v>
      </c>
      <c r="O11" s="19">
        <v>11.92</v>
      </c>
      <c r="P11" s="19">
        <v>0</v>
      </c>
      <c r="Q11" s="19">
        <v>0</v>
      </c>
      <c r="R11" s="15">
        <v>0</v>
      </c>
      <c r="S11" s="15">
        <v>66.099999999999994</v>
      </c>
      <c r="T11" s="31">
        <f>'[1]14'!$T$107</f>
        <v>66.099999999999994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382921101</v>
      </c>
      <c r="C12" s="17">
        <v>45632</v>
      </c>
      <c r="D12" s="17">
        <v>45597</v>
      </c>
      <c r="E12" s="17">
        <v>45626</v>
      </c>
      <c r="F12" s="18">
        <v>30</v>
      </c>
      <c r="G12" s="15">
        <v>181</v>
      </c>
      <c r="H12" s="15" t="str">
        <v>F1
F2
F3</v>
      </c>
      <c r="I12" s="19" t="str">
        <v>29
44
108</v>
      </c>
      <c r="J12" s="19" t="str">
        <v>25
54
132</v>
      </c>
      <c r="K12" s="19">
        <v>0</v>
      </c>
      <c r="L12" s="19">
        <v>0</v>
      </c>
      <c r="M12" s="19">
        <v>29.4</v>
      </c>
      <c r="N12" s="19">
        <v>28.51</v>
      </c>
      <c r="O12" s="19">
        <v>13.24</v>
      </c>
      <c r="P12" s="19">
        <v>0</v>
      </c>
      <c r="Q12" s="19">
        <v>0</v>
      </c>
      <c r="R12" s="15">
        <v>0</v>
      </c>
      <c r="S12" s="15">
        <v>73.41</v>
      </c>
      <c r="T12" s="31">
        <f>'[1]14'!$T$110</f>
        <v>73.41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382921101</v>
      </c>
      <c r="C13" s="17">
        <v>45665</v>
      </c>
      <c r="D13" s="17">
        <v>45627</v>
      </c>
      <c r="E13" s="17">
        <v>45657</v>
      </c>
      <c r="F13" s="18">
        <v>31</v>
      </c>
      <c r="G13" s="15">
        <v>184</v>
      </c>
      <c r="H13" s="15" t="str">
        <v>F1
F2
F3</v>
      </c>
      <c r="I13" s="19" t="str">
        <v>25
48
111</v>
      </c>
      <c r="J13" s="19" t="str">
        <v>23
51
129</v>
      </c>
      <c r="K13" s="19">
        <v>0</v>
      </c>
      <c r="L13" s="19">
        <v>0</v>
      </c>
      <c r="M13" s="19">
        <v>29.57</v>
      </c>
      <c r="N13" s="19">
        <v>30.63</v>
      </c>
      <c r="O13" s="19">
        <v>13.75</v>
      </c>
      <c r="P13" s="19">
        <v>0</v>
      </c>
      <c r="Q13" s="19">
        <v>0</v>
      </c>
      <c r="R13" s="15">
        <v>0</v>
      </c>
      <c r="S13" s="15">
        <v>76.25</v>
      </c>
      <c r="T13" s="31">
        <f>'[1]14'!$T$113</f>
        <v>76.25</v>
      </c>
      <c r="U13" t="b">
        <f t="shared" si="0"/>
        <v>1</v>
      </c>
    </row>
  </sheetData>
  <mergeCells count="2">
    <mergeCell ref="D1:E1"/>
    <mergeCell ref="O1:P1"/>
  </mergeCell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9C69E-7432-5641-829C-7D216981504A}">
  <dimension ref="A1:U13"/>
  <sheetViews>
    <sheetView topLeftCell="F1" workbookViewId="0">
      <selection activeCell="T12" sqref="T12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_xlfn._xlws.FILTER(Calcolo!V:AN,Calcolo!A:A=Fabbricati!E16)</f>
        <v>2024</v>
      </c>
      <c r="B2" s="16">
        <v>382402260</v>
      </c>
      <c r="C2" s="17">
        <v>45349</v>
      </c>
      <c r="D2" s="17">
        <v>45292</v>
      </c>
      <c r="E2" s="17">
        <v>45322</v>
      </c>
      <c r="F2" s="18">
        <v>31</v>
      </c>
      <c r="G2" s="15">
        <v>68</v>
      </c>
      <c r="H2" s="15" t="str">
        <v>F1
F2
F3</v>
      </c>
      <c r="I2" s="19" t="str">
        <v>14
28
26</v>
      </c>
      <c r="J2" s="19" t="str">
        <v>14
16
14</v>
      </c>
      <c r="K2" s="19">
        <v>0</v>
      </c>
      <c r="L2" s="19">
        <v>0</v>
      </c>
      <c r="M2" s="19">
        <v>36.92</v>
      </c>
      <c r="N2" s="19">
        <v>10.63</v>
      </c>
      <c r="O2" s="19">
        <v>0.85</v>
      </c>
      <c r="P2" s="19">
        <v>0</v>
      </c>
      <c r="Q2" s="19">
        <v>0</v>
      </c>
      <c r="R2" s="15">
        <v>0.34</v>
      </c>
      <c r="S2" s="15">
        <v>59.46</v>
      </c>
      <c r="T2" s="31">
        <f>'[1]15'!$T$80</f>
        <v>59.05</v>
      </c>
      <c r="U2" t="b">
        <f>S2=T2</f>
        <v>0</v>
      </c>
    </row>
    <row r="3" spans="1:21" ht="48" customHeight="1" x14ac:dyDescent="0.2">
      <c r="A3" s="15">
        <v>2024</v>
      </c>
      <c r="B3" s="16">
        <v>382402260</v>
      </c>
      <c r="C3" s="17">
        <v>45358</v>
      </c>
      <c r="D3" s="17">
        <v>45323</v>
      </c>
      <c r="E3" s="17">
        <v>45351</v>
      </c>
      <c r="F3" s="18">
        <v>29</v>
      </c>
      <c r="G3" s="15">
        <v>63</v>
      </c>
      <c r="H3" s="15" t="str">
        <v>F1
F2
F3</v>
      </c>
      <c r="I3" s="19" t="str">
        <v>14
31
18</v>
      </c>
      <c r="J3" s="19" t="str">
        <v>9
18
10</v>
      </c>
      <c r="K3" s="19">
        <v>0</v>
      </c>
      <c r="L3" s="19">
        <v>0</v>
      </c>
      <c r="M3" s="19">
        <v>36.659999999999997</v>
      </c>
      <c r="N3" s="19">
        <v>7.62</v>
      </c>
      <c r="O3" s="19">
        <v>9.92</v>
      </c>
      <c r="P3" s="19">
        <v>0</v>
      </c>
      <c r="Q3" s="19">
        <v>0</v>
      </c>
      <c r="R3" s="15">
        <v>0</v>
      </c>
      <c r="S3" s="15">
        <v>54.99</v>
      </c>
      <c r="T3" s="31">
        <f>'[1]15'!$T$83</f>
        <v>54.99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382402260</v>
      </c>
      <c r="C4" s="17">
        <v>45390</v>
      </c>
      <c r="D4" s="17">
        <v>45352</v>
      </c>
      <c r="E4" s="17">
        <v>45382</v>
      </c>
      <c r="F4" s="18">
        <v>31</v>
      </c>
      <c r="G4" s="15">
        <v>37</v>
      </c>
      <c r="H4" s="15" t="str">
        <v>F1
F2
F3</v>
      </c>
      <c r="I4" s="19" t="str">
        <v>6
17
14</v>
      </c>
      <c r="J4" s="19" t="str">
        <v>7
11
11</v>
      </c>
      <c r="K4" s="19">
        <v>0</v>
      </c>
      <c r="L4" s="19">
        <v>0</v>
      </c>
      <c r="M4" s="19">
        <v>35.260000000000005</v>
      </c>
      <c r="N4" s="19">
        <v>4.3600000000000003</v>
      </c>
      <c r="O4" s="19">
        <v>8.82</v>
      </c>
      <c r="P4" s="19">
        <v>0</v>
      </c>
      <c r="Q4" s="19">
        <v>0</v>
      </c>
      <c r="R4" s="15">
        <v>0</v>
      </c>
      <c r="S4" s="15">
        <v>48.9</v>
      </c>
      <c r="T4" s="31">
        <f>'[1]15'!$T$86</f>
        <v>48.9</v>
      </c>
      <c r="U4" t="b">
        <f t="shared" si="0"/>
        <v>1</v>
      </c>
    </row>
    <row r="5" spans="1:21" ht="48" customHeight="1" x14ac:dyDescent="0.2">
      <c r="A5" s="15">
        <v>2024</v>
      </c>
      <c r="B5" s="16">
        <v>382402260</v>
      </c>
      <c r="C5" s="17">
        <v>45424</v>
      </c>
      <c r="D5" s="17">
        <v>45383</v>
      </c>
      <c r="E5" s="17">
        <v>45412</v>
      </c>
      <c r="F5" s="18">
        <v>30</v>
      </c>
      <c r="G5" s="15">
        <v>26</v>
      </c>
      <c r="H5" s="15" t="str">
        <v>F1
F2
F3</v>
      </c>
      <c r="I5" s="19" t="str">
        <v>6
11
9</v>
      </c>
      <c r="J5" s="19" t="str">
        <v>0
0
0</v>
      </c>
      <c r="K5" s="19">
        <v>0</v>
      </c>
      <c r="L5" s="19">
        <v>0</v>
      </c>
      <c r="M5" s="19">
        <v>37.19</v>
      </c>
      <c r="N5" s="19">
        <v>3.05</v>
      </c>
      <c r="O5" s="19">
        <v>8.93</v>
      </c>
      <c r="P5" s="19">
        <v>0</v>
      </c>
      <c r="Q5" s="19">
        <v>0</v>
      </c>
      <c r="R5" s="15">
        <v>0</v>
      </c>
      <c r="S5" s="15">
        <v>49.5</v>
      </c>
      <c r="T5" s="31">
        <f>'[1]15'!$T$89</f>
        <v>49.5</v>
      </c>
      <c r="U5" t="b">
        <f t="shared" si="0"/>
        <v>1</v>
      </c>
    </row>
    <row r="6" spans="1:21" ht="48" customHeight="1" x14ac:dyDescent="0.2">
      <c r="A6" s="15">
        <v>2024</v>
      </c>
      <c r="B6" s="16">
        <v>382402260</v>
      </c>
      <c r="C6" s="17">
        <v>45449</v>
      </c>
      <c r="D6" s="17">
        <v>45383</v>
      </c>
      <c r="E6" s="17">
        <v>45414</v>
      </c>
      <c r="F6" s="18">
        <v>32</v>
      </c>
      <c r="G6" s="15">
        <v>60</v>
      </c>
      <c r="H6" s="15" t="str">
        <v>F1
F2
F3</v>
      </c>
      <c r="I6" s="19" t="str">
        <v>13
26
21</v>
      </c>
      <c r="J6" s="19" t="str">
        <v>8
7
11</v>
      </c>
      <c r="K6" s="19">
        <v>0</v>
      </c>
      <c r="L6" s="19">
        <v>0</v>
      </c>
      <c r="M6" s="19">
        <v>37.69</v>
      </c>
      <c r="N6" s="19">
        <v>4.22</v>
      </c>
      <c r="O6" s="19">
        <v>9.31</v>
      </c>
      <c r="P6" s="19">
        <v>0</v>
      </c>
      <c r="Q6" s="19">
        <v>0</v>
      </c>
      <c r="R6" s="15">
        <v>0</v>
      </c>
      <c r="S6" s="15">
        <v>51.64</v>
      </c>
      <c r="T6" s="31">
        <f>'[1]15'!$T$92</f>
        <v>51.64</v>
      </c>
      <c r="U6" t="b">
        <f t="shared" si="0"/>
        <v>1</v>
      </c>
    </row>
    <row r="7" spans="1:21" ht="48" customHeight="1" x14ac:dyDescent="0.2">
      <c r="A7" s="15">
        <v>2024</v>
      </c>
      <c r="B7" s="16">
        <v>382402260</v>
      </c>
      <c r="C7" s="17">
        <v>45478</v>
      </c>
      <c r="D7" s="17">
        <v>45444</v>
      </c>
      <c r="E7" s="17">
        <v>45473</v>
      </c>
      <c r="F7" s="18">
        <v>30</v>
      </c>
      <c r="G7" s="15">
        <v>39</v>
      </c>
      <c r="H7" s="15" t="str">
        <v>F1
F2
F3</v>
      </c>
      <c r="I7" s="19" t="str">
        <v>12
13
14</v>
      </c>
      <c r="J7" s="19" t="str">
        <v>5
4
7</v>
      </c>
      <c r="K7" s="19">
        <v>0</v>
      </c>
      <c r="L7" s="19">
        <v>0</v>
      </c>
      <c r="M7" s="19">
        <v>37.99</v>
      </c>
      <c r="N7" s="19">
        <v>5.17</v>
      </c>
      <c r="O7" s="19">
        <v>9.6</v>
      </c>
      <c r="P7" s="19">
        <v>0</v>
      </c>
      <c r="Q7" s="19">
        <v>0</v>
      </c>
      <c r="R7" s="15">
        <v>0</v>
      </c>
      <c r="S7" s="15">
        <v>53.25</v>
      </c>
      <c r="T7" s="31">
        <f>'[1]15'!$T$95</f>
        <v>53.25</v>
      </c>
      <c r="U7" t="b">
        <f t="shared" si="0"/>
        <v>1</v>
      </c>
    </row>
    <row r="8" spans="1:21" ht="48" customHeight="1" x14ac:dyDescent="0.2">
      <c r="A8" s="15">
        <v>2024</v>
      </c>
      <c r="B8" s="16">
        <v>382402260</v>
      </c>
      <c r="C8" s="17">
        <v>45511</v>
      </c>
      <c r="D8" s="17">
        <v>45474</v>
      </c>
      <c r="E8" s="17">
        <v>45504</v>
      </c>
      <c r="F8" s="18">
        <v>31</v>
      </c>
      <c r="G8" s="15">
        <v>44</v>
      </c>
      <c r="H8" s="15" t="str">
        <v>F1
F2
F3</v>
      </c>
      <c r="I8" s="19" t="str">
        <v>13
15
16</v>
      </c>
      <c r="J8" s="19" t="str">
        <v>7
4
7</v>
      </c>
      <c r="K8" s="19">
        <v>0</v>
      </c>
      <c r="L8" s="19">
        <v>0</v>
      </c>
      <c r="M8" s="19">
        <v>38.299999999999997</v>
      </c>
      <c r="N8" s="19">
        <v>6.95</v>
      </c>
      <c r="O8" s="19">
        <v>10.08</v>
      </c>
      <c r="P8" s="19">
        <v>0</v>
      </c>
      <c r="Q8" s="19">
        <v>0</v>
      </c>
      <c r="R8" s="15">
        <v>0</v>
      </c>
      <c r="S8" s="15">
        <v>55.88</v>
      </c>
      <c r="T8" s="31">
        <f>'[1]15'!$T$98</f>
        <v>55.88</v>
      </c>
      <c r="U8" t="b">
        <f t="shared" si="0"/>
        <v>1</v>
      </c>
    </row>
    <row r="9" spans="1:21" ht="48" customHeight="1" x14ac:dyDescent="0.2">
      <c r="A9" s="15">
        <v>2024</v>
      </c>
      <c r="B9" s="16">
        <v>382402260</v>
      </c>
      <c r="C9" s="17">
        <v>45541</v>
      </c>
      <c r="D9" s="17">
        <v>45505</v>
      </c>
      <c r="E9" s="17">
        <v>45535</v>
      </c>
      <c r="F9" s="18">
        <v>31</v>
      </c>
      <c r="G9" s="15">
        <v>200</v>
      </c>
      <c r="H9" s="15" t="str">
        <v>F1
F2
F3</v>
      </c>
      <c r="I9" s="19" t="str">
        <v>54
70
76</v>
      </c>
      <c r="J9" s="19" t="str">
        <v>29
22
38</v>
      </c>
      <c r="K9" s="19">
        <v>0</v>
      </c>
      <c r="L9" s="19">
        <v>0</v>
      </c>
      <c r="M9" s="19">
        <v>39.090000000000003</v>
      </c>
      <c r="N9" s="19">
        <v>9.23</v>
      </c>
      <c r="O9" s="19">
        <v>10.79</v>
      </c>
      <c r="P9" s="19">
        <v>0</v>
      </c>
      <c r="Q9" s="19">
        <v>0</v>
      </c>
      <c r="R9" s="15">
        <v>0</v>
      </c>
      <c r="S9" s="15">
        <v>59.84</v>
      </c>
      <c r="T9" s="31">
        <f>'[1]15'!$T$101</f>
        <v>59.84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382402260</v>
      </c>
      <c r="C10" s="17">
        <v>45571</v>
      </c>
      <c r="D10" s="17">
        <v>45536</v>
      </c>
      <c r="E10" s="17">
        <v>45565</v>
      </c>
      <c r="F10" s="18">
        <v>30</v>
      </c>
      <c r="G10" s="15">
        <v>54</v>
      </c>
      <c r="H10" s="15" t="str">
        <v>F1
F2
F3</v>
      </c>
      <c r="I10" s="19" t="str">
        <v>11
20
23</v>
      </c>
      <c r="J10" s="19" t="str">
        <v>4
5
7</v>
      </c>
      <c r="K10" s="19">
        <v>0</v>
      </c>
      <c r="L10" s="19">
        <v>0</v>
      </c>
      <c r="M10" s="19">
        <v>38.909999999999997</v>
      </c>
      <c r="N10" s="19">
        <v>7.88</v>
      </c>
      <c r="O10" s="19">
        <v>10.44</v>
      </c>
      <c r="P10" s="19">
        <v>0</v>
      </c>
      <c r="Q10" s="19">
        <v>0</v>
      </c>
      <c r="R10" s="15">
        <v>0</v>
      </c>
      <c r="S10" s="15">
        <v>57.91</v>
      </c>
      <c r="T10" s="31">
        <f>'[1]15'!$T$104</f>
        <v>57.91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382402260</v>
      </c>
      <c r="C11" s="17">
        <v>45604</v>
      </c>
      <c r="D11" s="17">
        <v>45566</v>
      </c>
      <c r="E11" s="17">
        <v>45596</v>
      </c>
      <c r="F11" s="18">
        <v>31</v>
      </c>
      <c r="G11" s="15">
        <v>41</v>
      </c>
      <c r="H11" s="15" t="str">
        <v>F1
F2
F3</v>
      </c>
      <c r="I11" s="19" t="str">
        <v>11
17
13</v>
      </c>
      <c r="J11" s="19" t="str">
        <v>4
4
5</v>
      </c>
      <c r="K11" s="19">
        <v>0</v>
      </c>
      <c r="L11" s="19">
        <v>0</v>
      </c>
      <c r="M11" s="19">
        <v>38.120000000000005</v>
      </c>
      <c r="N11" s="19">
        <v>6.11</v>
      </c>
      <c r="O11" s="19">
        <v>9.84</v>
      </c>
      <c r="P11" s="19">
        <v>0</v>
      </c>
      <c r="Q11" s="19">
        <v>0</v>
      </c>
      <c r="R11" s="15">
        <v>0</v>
      </c>
      <c r="S11" s="15">
        <v>54.58</v>
      </c>
      <c r="T11" s="31">
        <f>'[1]15'!$T$107</f>
        <v>54.58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382402260</v>
      </c>
      <c r="C12" s="17">
        <v>45632</v>
      </c>
      <c r="D12" s="17">
        <v>45597</v>
      </c>
      <c r="E12" s="17">
        <v>45626</v>
      </c>
      <c r="F12" s="18">
        <v>30</v>
      </c>
      <c r="G12" s="15">
        <v>50</v>
      </c>
      <c r="H12" s="15" t="str">
        <v>F1
F2
F3</v>
      </c>
      <c r="I12" s="19" t="str">
        <v>12
16
22</v>
      </c>
      <c r="J12" s="19" t="str">
        <v>6
8
7</v>
      </c>
      <c r="K12" s="19">
        <v>0</v>
      </c>
      <c r="L12" s="19">
        <v>0</v>
      </c>
      <c r="M12" s="19">
        <v>38.659999999999997</v>
      </c>
      <c r="N12" s="19">
        <v>8.11</v>
      </c>
      <c r="O12" s="19">
        <v>10.43</v>
      </c>
      <c r="P12" s="19">
        <v>0</v>
      </c>
      <c r="Q12" s="19">
        <v>0</v>
      </c>
      <c r="R12" s="15">
        <v>0</v>
      </c>
      <c r="S12" s="15">
        <v>57.83</v>
      </c>
      <c r="T12" s="31">
        <f>'[1]15'!$T$110</f>
        <v>57.83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382402260</v>
      </c>
      <c r="C13" s="17">
        <v>45665</v>
      </c>
      <c r="D13" s="17">
        <v>45627</v>
      </c>
      <c r="E13" s="17">
        <v>45657</v>
      </c>
      <c r="F13" s="18">
        <v>31</v>
      </c>
      <c r="G13" s="15">
        <v>31</v>
      </c>
      <c r="H13" s="15" t="str">
        <v>F1
F2
F3</v>
      </c>
      <c r="I13" s="19" t="str">
        <v>7
11
13</v>
      </c>
      <c r="J13" s="19" t="str">
        <v>4
6
6</v>
      </c>
      <c r="K13" s="19">
        <v>0</v>
      </c>
      <c r="L13" s="19">
        <v>0</v>
      </c>
      <c r="M13" s="19">
        <v>37.5</v>
      </c>
      <c r="N13" s="19">
        <v>5.37</v>
      </c>
      <c r="O13" s="19">
        <v>9.52</v>
      </c>
      <c r="P13" s="19">
        <v>0</v>
      </c>
      <c r="Q13" s="19">
        <v>0</v>
      </c>
      <c r="R13" s="15">
        <v>0</v>
      </c>
      <c r="S13" s="15">
        <v>52.78</v>
      </c>
      <c r="T13" s="31">
        <f>'[1]15'!$T$113</f>
        <v>52.78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13" priority="1" operator="notEqual">
      <formula>TRUE</formula>
    </cfRule>
  </conditionalFormatting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0EC73-371E-7D48-90A9-AA5AC5409067}">
  <dimension ref="A1:U13"/>
  <sheetViews>
    <sheetView topLeftCell="C1" workbookViewId="0">
      <selection activeCell="U2" sqref="U2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_xlfn._xlws.FILTER(Calcolo!V:AN,Calcolo!A:A=Fabbricati!E17)</f>
        <v>2024</v>
      </c>
      <c r="B2" s="16">
        <v>382911814</v>
      </c>
      <c r="C2" s="17">
        <v>45350</v>
      </c>
      <c r="D2" s="17">
        <v>45292</v>
      </c>
      <c r="E2" s="17">
        <v>45322</v>
      </c>
      <c r="F2" s="18">
        <v>31</v>
      </c>
      <c r="G2" s="15">
        <v>162</v>
      </c>
      <c r="H2" s="15" t="str">
        <v>F1
F2
F3</v>
      </c>
      <c r="I2" s="19" t="str">
        <v>57
48
57</v>
      </c>
      <c r="J2" s="19" t="str">
        <v>11
10
19</v>
      </c>
      <c r="K2" s="19">
        <v>0</v>
      </c>
      <c r="L2" s="19">
        <v>0</v>
      </c>
      <c r="M2" s="19">
        <v>25.91</v>
      </c>
      <c r="N2" s="19">
        <v>25.54</v>
      </c>
      <c r="O2" s="19">
        <v>2.0299999999999998</v>
      </c>
      <c r="P2" s="19">
        <v>0</v>
      </c>
      <c r="Q2" s="19">
        <v>0</v>
      </c>
      <c r="R2" s="15">
        <v>0.81</v>
      </c>
      <c r="S2" s="15">
        <v>66.23</v>
      </c>
      <c r="T2" s="31">
        <f>'[1]16'!$T$80</f>
        <v>66.23</v>
      </c>
      <c r="U2" t="b">
        <f>S2=T2</f>
        <v>1</v>
      </c>
    </row>
    <row r="3" spans="1:21" ht="48" customHeight="1" x14ac:dyDescent="0.2">
      <c r="A3" s="15">
        <v>2024</v>
      </c>
      <c r="B3" s="16">
        <v>382911814</v>
      </c>
      <c r="C3" s="17">
        <v>45358</v>
      </c>
      <c r="D3" s="17">
        <v>45323</v>
      </c>
      <c r="E3" s="17">
        <v>45351</v>
      </c>
      <c r="F3" s="18">
        <v>29</v>
      </c>
      <c r="G3" s="15">
        <v>154</v>
      </c>
      <c r="H3" s="15" t="str">
        <v>F1
F2
F3</v>
      </c>
      <c r="I3" s="19" t="str">
        <v>47
52
55</v>
      </c>
      <c r="J3" s="19" t="str">
        <v>10
11
17</v>
      </c>
      <c r="K3" s="19">
        <v>0</v>
      </c>
      <c r="L3" s="19">
        <v>0</v>
      </c>
      <c r="M3" s="19">
        <v>25.490000000000002</v>
      </c>
      <c r="N3" s="19">
        <v>18.59</v>
      </c>
      <c r="O3" s="19">
        <v>10.119999999999999</v>
      </c>
      <c r="P3" s="19">
        <v>0</v>
      </c>
      <c r="Q3" s="19">
        <v>0</v>
      </c>
      <c r="R3" s="15">
        <v>0</v>
      </c>
      <c r="S3" s="15">
        <v>56.13</v>
      </c>
      <c r="T3" s="31">
        <f>'[1]16'!$T$83</f>
        <v>56.13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382911814</v>
      </c>
      <c r="C4" s="17">
        <v>45390</v>
      </c>
      <c r="D4" s="17">
        <v>45352</v>
      </c>
      <c r="E4" s="17">
        <v>45382</v>
      </c>
      <c r="F4" s="18">
        <v>31</v>
      </c>
      <c r="G4" s="15">
        <v>120</v>
      </c>
      <c r="H4" s="15" t="str">
        <v>F1
F2
F3</v>
      </c>
      <c r="I4" s="19" t="str">
        <v>25
33
62</v>
      </c>
      <c r="J4" s="19" t="str">
        <v>9
10
19</v>
      </c>
      <c r="K4" s="19">
        <v>0</v>
      </c>
      <c r="L4" s="19">
        <v>0</v>
      </c>
      <c r="M4" s="19">
        <v>23.64</v>
      </c>
      <c r="N4" s="19">
        <v>13.76</v>
      </c>
      <c r="O4" s="19">
        <v>8.56</v>
      </c>
      <c r="P4" s="19">
        <v>0</v>
      </c>
      <c r="Q4" s="19">
        <v>0</v>
      </c>
      <c r="R4" s="15">
        <v>0</v>
      </c>
      <c r="S4" s="15">
        <v>47.46</v>
      </c>
      <c r="T4" s="31">
        <f>'[1]16'!$T$86</f>
        <v>47.46</v>
      </c>
      <c r="U4" t="b">
        <f t="shared" si="0"/>
        <v>1</v>
      </c>
    </row>
    <row r="5" spans="1:21" ht="48" customHeight="1" x14ac:dyDescent="0.2">
      <c r="A5" s="15">
        <v>2024</v>
      </c>
      <c r="B5" s="16">
        <v>382911814</v>
      </c>
      <c r="C5" s="17">
        <v>45419</v>
      </c>
      <c r="D5" s="17">
        <v>45383</v>
      </c>
      <c r="E5" s="17">
        <v>45411</v>
      </c>
      <c r="F5" s="18">
        <v>29</v>
      </c>
      <c r="G5" s="15">
        <v>75</v>
      </c>
      <c r="H5" s="15" t="str">
        <v>F1
F2
F3</v>
      </c>
      <c r="I5" s="19" t="str">
        <v>25
17
33</v>
      </c>
      <c r="J5" s="19" t="str">
        <v>8
6
15</v>
      </c>
      <c r="K5" s="19">
        <v>0</v>
      </c>
      <c r="L5" s="19">
        <v>0</v>
      </c>
      <c r="M5" s="19">
        <v>22.91</v>
      </c>
      <c r="N5" s="19">
        <v>8.4600000000000009</v>
      </c>
      <c r="O5" s="19">
        <v>7.11</v>
      </c>
      <c r="P5" s="19">
        <v>0</v>
      </c>
      <c r="Q5" s="19">
        <v>0</v>
      </c>
      <c r="R5" s="15">
        <v>0</v>
      </c>
      <c r="S5" s="15">
        <v>39.42</v>
      </c>
      <c r="T5" s="31">
        <f>'[1]16'!$T$89</f>
        <v>39.42</v>
      </c>
      <c r="U5" t="b">
        <f t="shared" si="0"/>
        <v>1</v>
      </c>
    </row>
    <row r="6" spans="1:21" ht="48" customHeight="1" x14ac:dyDescent="0.2">
      <c r="A6" s="15">
        <v>2024</v>
      </c>
      <c r="B6" s="16">
        <v>382911814</v>
      </c>
      <c r="C6" s="17">
        <v>45449</v>
      </c>
      <c r="D6" s="17">
        <v>45413</v>
      </c>
      <c r="E6" s="17">
        <v>45443</v>
      </c>
      <c r="F6" s="18">
        <v>31</v>
      </c>
      <c r="G6" s="15">
        <v>91</v>
      </c>
      <c r="H6" s="15" t="str">
        <v>F1
F2
F3</v>
      </c>
      <c r="I6" s="19" t="str">
        <v>25
18
48</v>
      </c>
      <c r="J6" s="19" t="str">
        <v>8
5
7</v>
      </c>
      <c r="K6" s="19">
        <v>0</v>
      </c>
      <c r="L6" s="19">
        <v>0</v>
      </c>
      <c r="M6" s="19">
        <v>23.9</v>
      </c>
      <c r="N6" s="19">
        <v>10.96</v>
      </c>
      <c r="O6" s="19">
        <v>7.92</v>
      </c>
      <c r="P6" s="19">
        <v>0</v>
      </c>
      <c r="Q6" s="19">
        <v>0</v>
      </c>
      <c r="R6" s="15">
        <v>0</v>
      </c>
      <c r="S6" s="15">
        <v>43.92</v>
      </c>
      <c r="T6" s="31">
        <f>'[1]16'!$T$92</f>
        <v>43.92</v>
      </c>
      <c r="U6" t="b">
        <f t="shared" si="0"/>
        <v>1</v>
      </c>
    </row>
    <row r="7" spans="1:21" ht="48" customHeight="1" x14ac:dyDescent="0.2">
      <c r="A7" s="15">
        <v>2024</v>
      </c>
      <c r="B7" s="16">
        <v>382911814</v>
      </c>
      <c r="C7" s="17">
        <v>45481</v>
      </c>
      <c r="D7" s="17">
        <v>45444</v>
      </c>
      <c r="E7" s="17">
        <v>45473</v>
      </c>
      <c r="F7" s="18">
        <v>30</v>
      </c>
      <c r="G7" s="15">
        <v>73</v>
      </c>
      <c r="H7" s="15" t="str">
        <v>F1
F2
F3</v>
      </c>
      <c r="I7" s="19" t="str">
        <v>29
16
28</v>
      </c>
      <c r="J7" s="19" t="str">
        <v>6
4
5</v>
      </c>
      <c r="K7" s="19">
        <v>0</v>
      </c>
      <c r="L7" s="19">
        <v>0</v>
      </c>
      <c r="M7" s="19">
        <v>22.8</v>
      </c>
      <c r="N7" s="19">
        <v>9.83</v>
      </c>
      <c r="O7" s="19">
        <v>7.38</v>
      </c>
      <c r="P7" s="19">
        <v>0</v>
      </c>
      <c r="Q7" s="19">
        <v>0</v>
      </c>
      <c r="R7" s="15">
        <v>0</v>
      </c>
      <c r="S7" s="15">
        <v>40.92</v>
      </c>
      <c r="T7" s="31">
        <f>'[1]16'!$T$95</f>
        <v>40.92</v>
      </c>
      <c r="U7" t="b">
        <f t="shared" si="0"/>
        <v>1</v>
      </c>
    </row>
    <row r="8" spans="1:21" ht="48" customHeight="1" x14ac:dyDescent="0.2">
      <c r="A8" s="15">
        <v>2024</v>
      </c>
      <c r="B8" s="16">
        <v>382911814</v>
      </c>
      <c r="C8" s="17">
        <v>45511</v>
      </c>
      <c r="D8" s="17">
        <v>45474</v>
      </c>
      <c r="E8" s="17">
        <v>45504</v>
      </c>
      <c r="F8" s="18">
        <v>31</v>
      </c>
      <c r="G8" s="15">
        <v>62</v>
      </c>
      <c r="H8" s="15" t="str">
        <v>F1
F2
F3</v>
      </c>
      <c r="I8" s="19" t="str">
        <v>21
15
26</v>
      </c>
      <c r="J8" s="19" t="str">
        <v>7
4
3</v>
      </c>
      <c r="K8" s="19">
        <v>0</v>
      </c>
      <c r="L8" s="19">
        <v>0</v>
      </c>
      <c r="M8" s="19">
        <v>22.13</v>
      </c>
      <c r="N8" s="19">
        <v>9.65</v>
      </c>
      <c r="O8" s="19">
        <v>7.16</v>
      </c>
      <c r="P8" s="19">
        <v>0</v>
      </c>
      <c r="Q8" s="19">
        <v>0</v>
      </c>
      <c r="R8" s="15">
        <v>0</v>
      </c>
      <c r="S8" s="15">
        <v>39.72</v>
      </c>
      <c r="T8" s="31">
        <f>'[1]16'!$T$98</f>
        <v>39.72</v>
      </c>
      <c r="U8" t="b">
        <f t="shared" si="0"/>
        <v>1</v>
      </c>
    </row>
    <row r="9" spans="1:21" ht="48" customHeight="1" x14ac:dyDescent="0.2">
      <c r="A9" s="15">
        <v>2024</v>
      </c>
      <c r="B9" s="16">
        <v>382911814</v>
      </c>
      <c r="C9" s="17">
        <v>45541</v>
      </c>
      <c r="D9" s="17">
        <v>45505</v>
      </c>
      <c r="E9" s="17">
        <v>45535</v>
      </c>
      <c r="F9" s="18">
        <v>31</v>
      </c>
      <c r="G9" s="15">
        <v>50</v>
      </c>
      <c r="H9" s="15" t="str">
        <v>F1
F2
F3</v>
      </c>
      <c r="I9" s="19" t="str">
        <v>15
13
22</v>
      </c>
      <c r="J9" s="19" t="str">
        <v>7
3
3</v>
      </c>
      <c r="K9" s="19">
        <v>0</v>
      </c>
      <c r="L9" s="19">
        <v>0</v>
      </c>
      <c r="M9" s="19">
        <v>21.39</v>
      </c>
      <c r="N9" s="19">
        <v>7.92</v>
      </c>
      <c r="O9" s="19">
        <v>6.59</v>
      </c>
      <c r="P9" s="19">
        <v>0</v>
      </c>
      <c r="Q9" s="19">
        <v>0</v>
      </c>
      <c r="R9" s="15">
        <v>0</v>
      </c>
      <c r="S9" s="15">
        <v>36.53</v>
      </c>
      <c r="T9" s="31">
        <f>'[1]16'!$T$101</f>
        <v>36.53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382911814</v>
      </c>
      <c r="C10" s="17">
        <v>45571</v>
      </c>
      <c r="D10" s="17">
        <v>45536</v>
      </c>
      <c r="E10" s="17">
        <v>45565</v>
      </c>
      <c r="F10" s="18">
        <v>30</v>
      </c>
      <c r="G10" s="15">
        <v>38</v>
      </c>
      <c r="H10" s="15" t="str">
        <v>F1
F2
F3</v>
      </c>
      <c r="I10" s="19" t="str">
        <v>13
8
17</v>
      </c>
      <c r="J10" s="19" t="str">
        <v>7
3
3</v>
      </c>
      <c r="K10" s="19">
        <v>0</v>
      </c>
      <c r="L10" s="19">
        <v>0</v>
      </c>
      <c r="M10" s="19">
        <v>20.66</v>
      </c>
      <c r="N10" s="19">
        <v>5.52</v>
      </c>
      <c r="O10" s="19">
        <v>5.87</v>
      </c>
      <c r="P10" s="19">
        <v>0</v>
      </c>
      <c r="Q10" s="19">
        <v>0</v>
      </c>
      <c r="R10" s="15">
        <v>0</v>
      </c>
      <c r="S10" s="15">
        <v>32.53</v>
      </c>
      <c r="T10" s="31">
        <f>'[1]16'!$T$104</f>
        <v>32.53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382911814</v>
      </c>
      <c r="C11" s="17">
        <v>45604</v>
      </c>
      <c r="D11" s="17">
        <v>45566</v>
      </c>
      <c r="E11" s="17">
        <v>45596</v>
      </c>
      <c r="F11" s="18">
        <v>31</v>
      </c>
      <c r="G11" s="15">
        <v>51</v>
      </c>
      <c r="H11" s="15" t="str">
        <v>F1
F2
F3</v>
      </c>
      <c r="I11" s="19" t="str">
        <v>17
13
21</v>
      </c>
      <c r="J11" s="19" t="str">
        <v>7
2
2</v>
      </c>
      <c r="K11" s="19">
        <v>0</v>
      </c>
      <c r="L11" s="19">
        <v>0</v>
      </c>
      <c r="M11" s="19">
        <v>21.44</v>
      </c>
      <c r="N11" s="19">
        <v>7.49</v>
      </c>
      <c r="O11" s="19">
        <v>6.51</v>
      </c>
      <c r="P11" s="19">
        <v>0</v>
      </c>
      <c r="Q11" s="19">
        <v>0</v>
      </c>
      <c r="R11" s="15">
        <v>0</v>
      </c>
      <c r="S11" s="15">
        <v>36.08</v>
      </c>
      <c r="T11" s="31">
        <f>'[1]16'!$T$107</f>
        <v>36.08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382911814</v>
      </c>
      <c r="C12" s="17">
        <v>45632</v>
      </c>
      <c r="D12" s="17">
        <v>45597</v>
      </c>
      <c r="E12" s="17">
        <v>45626</v>
      </c>
      <c r="F12" s="18">
        <v>30</v>
      </c>
      <c r="G12" s="15">
        <v>51</v>
      </c>
      <c r="H12" s="15" t="str">
        <v>F1
F2
F3</v>
      </c>
      <c r="I12" s="19" t="str">
        <v>15
12
24</v>
      </c>
      <c r="J12" s="19" t="str">
        <v>6
2
2</v>
      </c>
      <c r="K12" s="19">
        <v>0</v>
      </c>
      <c r="L12" s="19">
        <v>0</v>
      </c>
      <c r="M12" s="19">
        <v>21.44</v>
      </c>
      <c r="N12" s="19">
        <v>8.24</v>
      </c>
      <c r="O12" s="19">
        <v>6.67</v>
      </c>
      <c r="P12" s="19">
        <v>0</v>
      </c>
      <c r="Q12" s="19">
        <v>0</v>
      </c>
      <c r="R12" s="15">
        <v>0</v>
      </c>
      <c r="S12" s="15">
        <v>36.99</v>
      </c>
      <c r="T12" s="31">
        <f>'[1]16'!$T$110</f>
        <v>36.99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382911814</v>
      </c>
      <c r="C13" s="17">
        <v>45665</v>
      </c>
      <c r="D13" s="17">
        <v>45627</v>
      </c>
      <c r="E13" s="17">
        <v>45657</v>
      </c>
      <c r="F13" s="18">
        <v>31</v>
      </c>
      <c r="G13" s="15">
        <v>58</v>
      </c>
      <c r="H13" s="15" t="str">
        <v>F1
F2
F3</v>
      </c>
      <c r="I13" s="19" t="str">
        <v>15
13
30</v>
      </c>
      <c r="J13" s="19" t="str">
        <v>6
2
2</v>
      </c>
      <c r="K13" s="19">
        <v>0</v>
      </c>
      <c r="L13" s="19">
        <v>0</v>
      </c>
      <c r="M13" s="19">
        <v>21.87</v>
      </c>
      <c r="N13" s="19">
        <v>9.92</v>
      </c>
      <c r="O13" s="19">
        <v>7.15</v>
      </c>
      <c r="P13" s="19">
        <v>0</v>
      </c>
      <c r="Q13" s="19">
        <v>0</v>
      </c>
      <c r="R13" s="15">
        <v>0</v>
      </c>
      <c r="S13" s="15">
        <v>39.67</v>
      </c>
      <c r="T13" s="31">
        <f>'[1]16'!$T$113</f>
        <v>39.67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12" priority="1" operator="notEqual">
      <formula>TRUE</formula>
    </cfRule>
  </conditionalFormatting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927FE-684D-6F48-B506-1CF5EEE0359B}">
  <dimension ref="A1:U13"/>
  <sheetViews>
    <sheetView topLeftCell="C1" workbookViewId="0">
      <selection activeCell="W11" sqref="W11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_xlfn._xlws.FILTER(Calcolo!V:AN,Calcolo!A:A=Fabbricati!E18)</f>
        <v>2024</v>
      </c>
      <c r="B2" s="16">
        <v>382911971</v>
      </c>
      <c r="C2" s="17">
        <v>45350</v>
      </c>
      <c r="D2" s="17">
        <v>45292</v>
      </c>
      <c r="E2" s="17">
        <v>45322</v>
      </c>
      <c r="F2" s="18">
        <v>31</v>
      </c>
      <c r="G2" s="15">
        <v>2770</v>
      </c>
      <c r="H2" s="15" t="str">
        <v>F1
F2
F3</v>
      </c>
      <c r="I2" s="19" t="str">
        <v>903
1304
563</v>
      </c>
      <c r="J2" s="19" t="str">
        <v>365
604
22</v>
      </c>
      <c r="K2" s="19">
        <v>0</v>
      </c>
      <c r="L2" s="19">
        <v>0</v>
      </c>
      <c r="M2" s="19">
        <v>333.14</v>
      </c>
      <c r="N2" s="19">
        <v>443.57</v>
      </c>
      <c r="O2" s="19">
        <v>34.630000000000003</v>
      </c>
      <c r="P2" s="19">
        <v>0</v>
      </c>
      <c r="Q2" s="19">
        <v>0</v>
      </c>
      <c r="R2" s="15">
        <v>13.85</v>
      </c>
      <c r="S2" s="15">
        <v>1006.73</v>
      </c>
      <c r="T2" s="31">
        <f>'[1]17'!$T$80</f>
        <v>1006.73</v>
      </c>
      <c r="U2" t="b">
        <f>S2=T2</f>
        <v>1</v>
      </c>
    </row>
    <row r="3" spans="1:21" ht="48" customHeight="1" x14ac:dyDescent="0.2">
      <c r="A3" s="15">
        <v>2024</v>
      </c>
      <c r="B3" s="16">
        <v>382911971</v>
      </c>
      <c r="C3" s="17">
        <v>45358</v>
      </c>
      <c r="D3" s="17">
        <v>45323</v>
      </c>
      <c r="E3" s="17">
        <v>45351</v>
      </c>
      <c r="F3" s="18">
        <v>29</v>
      </c>
      <c r="G3" s="15">
        <v>2343</v>
      </c>
      <c r="H3" s="15" t="str">
        <v>F1
F2
F3</v>
      </c>
      <c r="I3" s="19" t="str">
        <v>696
1154
493</v>
      </c>
      <c r="J3" s="19" t="str">
        <v>214
513
32</v>
      </c>
      <c r="K3" s="19">
        <v>0</v>
      </c>
      <c r="L3" s="19">
        <v>0</v>
      </c>
      <c r="M3" s="19">
        <v>305.74</v>
      </c>
      <c r="N3" s="19">
        <v>288.7</v>
      </c>
      <c r="O3" s="19">
        <v>137.22</v>
      </c>
      <c r="P3" s="19">
        <v>0</v>
      </c>
      <c r="Q3" s="19">
        <v>0</v>
      </c>
      <c r="R3" s="15">
        <v>0</v>
      </c>
      <c r="S3" s="15">
        <v>760.95</v>
      </c>
      <c r="T3" s="31">
        <f>'[1]17'!$T$83</f>
        <v>760.95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382911971</v>
      </c>
      <c r="C4" s="17">
        <v>45390</v>
      </c>
      <c r="D4" s="17">
        <v>45352</v>
      </c>
      <c r="E4" s="17">
        <v>45382</v>
      </c>
      <c r="F4" s="18">
        <v>31</v>
      </c>
      <c r="G4" s="15">
        <v>2592</v>
      </c>
      <c r="H4" s="15" t="str">
        <v>F1
F2
F3</v>
      </c>
      <c r="I4" s="19" t="str">
        <v>595
1394
603</v>
      </c>
      <c r="J4" s="19" t="str">
        <v>198
679
96</v>
      </c>
      <c r="K4" s="19">
        <v>0</v>
      </c>
      <c r="L4" s="19">
        <v>0</v>
      </c>
      <c r="M4" s="19">
        <v>339.31</v>
      </c>
      <c r="N4" s="19">
        <v>308.06</v>
      </c>
      <c r="O4" s="19">
        <v>149.55000000000001</v>
      </c>
      <c r="P4" s="19">
        <v>0</v>
      </c>
      <c r="Q4" s="19">
        <v>0</v>
      </c>
      <c r="R4" s="15">
        <v>0</v>
      </c>
      <c r="S4" s="15">
        <v>829.32</v>
      </c>
      <c r="T4" s="31">
        <f>'[1]17'!$T$86</f>
        <v>829.32</v>
      </c>
      <c r="U4" t="b">
        <f t="shared" si="0"/>
        <v>1</v>
      </c>
    </row>
    <row r="5" spans="1:21" ht="48" customHeight="1" x14ac:dyDescent="0.2">
      <c r="A5" s="15">
        <v>2024</v>
      </c>
      <c r="B5" s="16">
        <v>382911971</v>
      </c>
      <c r="C5" s="17">
        <v>45419</v>
      </c>
      <c r="D5" s="17">
        <v>45383</v>
      </c>
      <c r="E5" s="17">
        <v>45412</v>
      </c>
      <c r="F5" s="18">
        <v>30</v>
      </c>
      <c r="G5" s="15">
        <v>2189</v>
      </c>
      <c r="H5" s="15" t="str">
        <v>F1
F2
F3</v>
      </c>
      <c r="I5" s="19" t="str">
        <v>436
959
794</v>
      </c>
      <c r="J5" s="19" t="str">
        <v>53
366
77</v>
      </c>
      <c r="K5" s="19">
        <v>0</v>
      </c>
      <c r="L5" s="19">
        <v>0</v>
      </c>
      <c r="M5" s="19">
        <v>320.37</v>
      </c>
      <c r="N5" s="19">
        <v>254.61</v>
      </c>
      <c r="O5" s="19">
        <v>132.51</v>
      </c>
      <c r="P5" s="19">
        <v>0</v>
      </c>
      <c r="Q5" s="19">
        <v>0</v>
      </c>
      <c r="R5" s="15">
        <v>0</v>
      </c>
      <c r="S5" s="15">
        <v>734.85</v>
      </c>
      <c r="T5" s="31">
        <f>'[1]17'!$T$89</f>
        <v>734.85</v>
      </c>
      <c r="U5" t="b">
        <f t="shared" si="0"/>
        <v>1</v>
      </c>
    </row>
    <row r="6" spans="1:21" ht="48" customHeight="1" x14ac:dyDescent="0.2">
      <c r="A6" s="15">
        <v>2024</v>
      </c>
      <c r="B6" s="16">
        <v>382911971</v>
      </c>
      <c r="C6" s="17">
        <v>45449</v>
      </c>
      <c r="D6" s="17">
        <v>45413</v>
      </c>
      <c r="E6" s="17">
        <v>45443</v>
      </c>
      <c r="F6" s="18">
        <v>31</v>
      </c>
      <c r="G6" s="15">
        <v>1001</v>
      </c>
      <c r="H6" s="15" t="str">
        <v>F1
F2
F3</v>
      </c>
      <c r="I6" s="19" t="str">
        <v>267
324
410</v>
      </c>
      <c r="J6" s="19" t="str">
        <v>39
62
30</v>
      </c>
      <c r="K6" s="19">
        <v>0</v>
      </c>
      <c r="L6" s="19">
        <v>0</v>
      </c>
      <c r="M6" s="19">
        <v>211.6</v>
      </c>
      <c r="N6" s="19">
        <v>123.03</v>
      </c>
      <c r="O6" s="19">
        <v>76.37</v>
      </c>
      <c r="P6" s="19">
        <v>0</v>
      </c>
      <c r="Q6" s="19">
        <v>0</v>
      </c>
      <c r="R6" s="15">
        <v>0</v>
      </c>
      <c r="S6" s="15">
        <v>423.51</v>
      </c>
      <c r="T6" s="31">
        <f>'[1]17'!$T$92</f>
        <v>423.51</v>
      </c>
      <c r="U6" t="b">
        <f t="shared" si="0"/>
        <v>1</v>
      </c>
    </row>
    <row r="7" spans="1:21" ht="48" customHeight="1" x14ac:dyDescent="0.2">
      <c r="A7" s="15">
        <v>2024</v>
      </c>
      <c r="B7" s="16">
        <v>382911971</v>
      </c>
      <c r="C7" s="17">
        <v>45478</v>
      </c>
      <c r="D7" s="17">
        <v>45444</v>
      </c>
      <c r="E7" s="17">
        <v>45473</v>
      </c>
      <c r="F7" s="18">
        <v>30</v>
      </c>
      <c r="G7" s="15">
        <v>1016</v>
      </c>
      <c r="H7" s="15" t="str">
        <v>F1
F2
F3</v>
      </c>
      <c r="I7" s="19" t="str">
        <v>238
311
467</v>
      </c>
      <c r="J7" s="19" t="str">
        <v>39
73
99</v>
      </c>
      <c r="K7" s="19">
        <v>0</v>
      </c>
      <c r="L7" s="19">
        <v>0</v>
      </c>
      <c r="M7" s="19">
        <v>107.32999999999998</v>
      </c>
      <c r="N7" s="19">
        <v>136.19999999999999</v>
      </c>
      <c r="O7" s="19">
        <v>56.37</v>
      </c>
      <c r="P7" s="19">
        <v>0</v>
      </c>
      <c r="Q7" s="19">
        <v>0</v>
      </c>
      <c r="R7" s="15">
        <v>0</v>
      </c>
      <c r="S7" s="15">
        <v>312.60000000000002</v>
      </c>
      <c r="T7" s="31">
        <f>'[1]17'!$T$95</f>
        <v>312.60000000000002</v>
      </c>
      <c r="U7" t="b">
        <f t="shared" si="0"/>
        <v>1</v>
      </c>
    </row>
    <row r="8" spans="1:21" ht="48" customHeight="1" x14ac:dyDescent="0.2">
      <c r="A8" s="15">
        <v>2024</v>
      </c>
      <c r="B8" s="16">
        <v>382911971</v>
      </c>
      <c r="C8" s="17">
        <v>45515</v>
      </c>
      <c r="D8" s="17">
        <v>45474</v>
      </c>
      <c r="E8" s="17">
        <v>45504</v>
      </c>
      <c r="F8" s="18">
        <v>31</v>
      </c>
      <c r="G8" s="15">
        <v>1619</v>
      </c>
      <c r="H8" s="15" t="str">
        <v>F1
F2
F3</v>
      </c>
      <c r="I8" s="19" t="str">
        <v>544
438
637</v>
      </c>
      <c r="J8" s="19" t="str">
        <v>262
198
218</v>
      </c>
      <c r="K8" s="19">
        <v>0</v>
      </c>
      <c r="L8" s="19">
        <v>0</v>
      </c>
      <c r="M8" s="19">
        <v>181.82999999999998</v>
      </c>
      <c r="N8" s="19">
        <v>250.32</v>
      </c>
      <c r="O8" s="19">
        <v>99.53</v>
      </c>
      <c r="P8" s="19">
        <v>0</v>
      </c>
      <c r="Q8" s="19">
        <v>0</v>
      </c>
      <c r="R8" s="15">
        <v>0</v>
      </c>
      <c r="S8" s="15">
        <v>551.91999999999996</v>
      </c>
      <c r="T8" s="31">
        <f>'[1]17'!$T$98</f>
        <v>551.91999999999996</v>
      </c>
      <c r="U8" t="b">
        <f t="shared" si="0"/>
        <v>1</v>
      </c>
    </row>
    <row r="9" spans="1:21" ht="48" customHeight="1" x14ac:dyDescent="0.2">
      <c r="A9" s="15">
        <v>2024</v>
      </c>
      <c r="B9" s="16">
        <v>382911971</v>
      </c>
      <c r="C9" s="17">
        <v>45541</v>
      </c>
      <c r="D9" s="17">
        <v>45505</v>
      </c>
      <c r="E9" s="17">
        <v>45535</v>
      </c>
      <c r="F9" s="18">
        <v>31</v>
      </c>
      <c r="G9" s="15">
        <v>2037</v>
      </c>
      <c r="H9" s="15" t="str">
        <v>F1
F2
F3</v>
      </c>
      <c r="I9" s="19" t="str">
        <v>485
884
668</v>
      </c>
      <c r="J9" s="19" t="str">
        <v>275
524
279</v>
      </c>
      <c r="K9" s="19">
        <v>0</v>
      </c>
      <c r="L9" s="19">
        <v>0</v>
      </c>
      <c r="M9" s="19">
        <v>311.86</v>
      </c>
      <c r="N9" s="19">
        <v>333.26</v>
      </c>
      <c r="O9" s="19">
        <v>147.53</v>
      </c>
      <c r="P9" s="19">
        <v>0</v>
      </c>
      <c r="Q9" s="19">
        <v>0</v>
      </c>
      <c r="R9" s="15">
        <v>0</v>
      </c>
      <c r="S9" s="15">
        <v>818.11</v>
      </c>
      <c r="T9" s="31">
        <f>'[1]17'!$T$101</f>
        <v>818.11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382911971</v>
      </c>
      <c r="C10" s="17">
        <v>45571</v>
      </c>
      <c r="D10" s="17">
        <v>45536</v>
      </c>
      <c r="E10" s="17">
        <v>45565</v>
      </c>
      <c r="F10" s="18">
        <v>30</v>
      </c>
      <c r="G10" s="15">
        <v>2041</v>
      </c>
      <c r="H10" s="15" t="str">
        <v>F1
F2
F3</v>
      </c>
      <c r="I10" s="19" t="str">
        <v>486
855
700</v>
      </c>
      <c r="J10" s="19" t="str">
        <v>249
446
296</v>
      </c>
      <c r="K10" s="19">
        <v>0</v>
      </c>
      <c r="L10" s="19">
        <v>0</v>
      </c>
      <c r="M10" s="19">
        <v>308.99</v>
      </c>
      <c r="N10" s="19">
        <v>303.76</v>
      </c>
      <c r="O10" s="19">
        <v>140.41999999999999</v>
      </c>
      <c r="P10" s="19">
        <v>0</v>
      </c>
      <c r="Q10" s="19">
        <v>0</v>
      </c>
      <c r="R10" s="15">
        <v>0</v>
      </c>
      <c r="S10" s="15">
        <v>778.68</v>
      </c>
      <c r="T10" s="31">
        <f>'[1]17'!$T$104</f>
        <v>778.68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382911971</v>
      </c>
      <c r="C11" s="17">
        <v>45604</v>
      </c>
      <c r="D11" s="17">
        <v>45566</v>
      </c>
      <c r="E11" s="17">
        <v>45596</v>
      </c>
      <c r="F11" s="18">
        <v>31</v>
      </c>
      <c r="G11" s="15">
        <v>2089</v>
      </c>
      <c r="H11" s="15" t="str">
        <v>F1
F2
F3</v>
      </c>
      <c r="I11" s="19" t="str">
        <v>489
943
657</v>
      </c>
      <c r="J11" s="19" t="str">
        <v>207
381
241</v>
      </c>
      <c r="K11" s="19">
        <v>0</v>
      </c>
      <c r="L11" s="19">
        <v>0</v>
      </c>
      <c r="M11" s="19">
        <v>310.32</v>
      </c>
      <c r="N11" s="19">
        <v>312.37</v>
      </c>
      <c r="O11" s="19">
        <v>142.74</v>
      </c>
      <c r="P11" s="19">
        <v>0</v>
      </c>
      <c r="Q11" s="19">
        <v>0</v>
      </c>
      <c r="R11" s="15">
        <v>0</v>
      </c>
      <c r="S11" s="15">
        <v>791.54</v>
      </c>
      <c r="T11" s="31">
        <f>'[1]17'!$T$107</f>
        <v>791.54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382911971</v>
      </c>
      <c r="C12" s="17">
        <v>45632</v>
      </c>
      <c r="D12" s="17">
        <v>45597</v>
      </c>
      <c r="E12" s="17">
        <v>45626</v>
      </c>
      <c r="F12" s="18">
        <v>30</v>
      </c>
      <c r="G12" s="15">
        <v>1944</v>
      </c>
      <c r="H12" s="15" t="str">
        <v>F1
F2
F3</v>
      </c>
      <c r="I12" s="19" t="str">
        <v>421
922
601</v>
      </c>
      <c r="J12" s="19" t="str">
        <v>164
410
246</v>
      </c>
      <c r="K12" s="19">
        <v>0</v>
      </c>
      <c r="L12" s="19">
        <v>0</v>
      </c>
      <c r="M12" s="19">
        <v>315.12</v>
      </c>
      <c r="N12" s="19">
        <v>319.82</v>
      </c>
      <c r="O12" s="19">
        <v>145.03</v>
      </c>
      <c r="P12" s="19">
        <v>0</v>
      </c>
      <c r="Q12" s="19">
        <v>0</v>
      </c>
      <c r="R12" s="15">
        <v>0</v>
      </c>
      <c r="S12" s="15">
        <v>804.27</v>
      </c>
      <c r="T12" s="31">
        <f>'[1]17'!$T$110</f>
        <v>804.27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382911971</v>
      </c>
      <c r="C13" s="17">
        <v>45665</v>
      </c>
      <c r="D13" s="17">
        <v>45627</v>
      </c>
      <c r="E13" s="17">
        <v>45657</v>
      </c>
      <c r="F13" s="18">
        <v>31</v>
      </c>
      <c r="G13" s="15">
        <v>2094</v>
      </c>
      <c r="H13" s="15" t="str">
        <v>F1
F2
F3</v>
      </c>
      <c r="I13" s="19" t="str">
        <v>451
841
802</v>
      </c>
      <c r="J13" s="19" t="str">
        <v>172
396
276</v>
      </c>
      <c r="K13" s="19">
        <v>0</v>
      </c>
      <c r="L13" s="19">
        <v>0</v>
      </c>
      <c r="M13" s="19">
        <v>335.78</v>
      </c>
      <c r="N13" s="19">
        <v>364.9</v>
      </c>
      <c r="O13" s="19">
        <v>159.91</v>
      </c>
      <c r="P13" s="19">
        <v>0</v>
      </c>
      <c r="Q13" s="19">
        <v>0</v>
      </c>
      <c r="R13" s="15">
        <v>0</v>
      </c>
      <c r="S13" s="15">
        <v>886.77</v>
      </c>
      <c r="T13" s="31">
        <f>'[1]17'!$T$113</f>
        <v>886.77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11" priority="1" operator="notEqual">
      <formula>TRUE</formula>
    </cfRule>
  </conditionalFormatting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C88BC-8B56-4F4B-B399-BB58A3E400C5}">
  <dimension ref="A1:U13"/>
  <sheetViews>
    <sheetView topLeftCell="B1" workbookViewId="0">
      <selection activeCell="W11" sqref="W11"/>
    </sheetView>
  </sheetViews>
  <sheetFormatPr baseColWidth="10" defaultColWidth="8.83203125" defaultRowHeight="15" x14ac:dyDescent="0.2"/>
  <cols>
    <col min="1" max="1" width="12" customWidth="1"/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_xlfn._xlws.FILTER(Calcolo!V:AN,Calcolo!A:A=Fabbricati!E19)</f>
        <v>2024</v>
      </c>
      <c r="B2" s="16">
        <v>382905555</v>
      </c>
      <c r="C2" s="17">
        <v>45365</v>
      </c>
      <c r="D2" s="17">
        <v>45292</v>
      </c>
      <c r="E2" s="17">
        <v>45322</v>
      </c>
      <c r="F2" s="18">
        <v>31</v>
      </c>
      <c r="G2" s="15">
        <v>3053</v>
      </c>
      <c r="H2" s="15" t="str">
        <v>F1
F2
F3</v>
      </c>
      <c r="I2" s="19" t="str">
        <v>1246
686
1121</v>
      </c>
      <c r="J2" s="19" t="str">
        <v>167
158
199</v>
      </c>
      <c r="K2" s="19">
        <v>0</v>
      </c>
      <c r="L2" s="19">
        <v>0</v>
      </c>
      <c r="M2" s="19">
        <v>243.95</v>
      </c>
      <c r="N2" s="19">
        <v>481.33</v>
      </c>
      <c r="O2" s="19">
        <v>38.159999999999997</v>
      </c>
      <c r="P2" s="19">
        <v>0</v>
      </c>
      <c r="Q2" s="19">
        <v>0</v>
      </c>
      <c r="R2" s="15">
        <v>15.27</v>
      </c>
      <c r="S2" s="15">
        <v>950.03</v>
      </c>
      <c r="T2" s="31">
        <f>'[1]18'!$T$80</f>
        <v>950.03</v>
      </c>
      <c r="U2" t="b">
        <f>S2=T2</f>
        <v>1</v>
      </c>
    </row>
    <row r="3" spans="1:21" ht="48" customHeight="1" x14ac:dyDescent="0.2">
      <c r="A3" s="15">
        <v>2024</v>
      </c>
      <c r="B3" s="16">
        <v>382905555</v>
      </c>
      <c r="C3" s="17">
        <v>45358</v>
      </c>
      <c r="D3" s="17">
        <v>45323</v>
      </c>
      <c r="E3" s="17">
        <v>45351</v>
      </c>
      <c r="F3" s="18">
        <v>29</v>
      </c>
      <c r="G3" s="15">
        <v>3334</v>
      </c>
      <c r="H3" s="15" t="str">
        <v>F1
F2
F3</v>
      </c>
      <c r="I3" s="19" t="str">
        <v>1276
989
1069</v>
      </c>
      <c r="J3" s="19" t="str">
        <v>240
319
192</v>
      </c>
      <c r="K3" s="19">
        <v>0</v>
      </c>
      <c r="L3" s="19">
        <v>0</v>
      </c>
      <c r="M3" s="19">
        <v>264.09000000000003</v>
      </c>
      <c r="N3" s="19">
        <v>404.84</v>
      </c>
      <c r="O3" s="19">
        <v>156.33000000000001</v>
      </c>
      <c r="P3" s="19">
        <v>0</v>
      </c>
      <c r="Q3" s="19">
        <v>0</v>
      </c>
      <c r="R3" s="15">
        <v>0</v>
      </c>
      <c r="S3" s="15">
        <v>866.94</v>
      </c>
      <c r="T3" s="31">
        <f>'[1]18'!$T$83</f>
        <v>866.94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382905555</v>
      </c>
      <c r="C4" s="17">
        <v>45390</v>
      </c>
      <c r="D4" s="17">
        <v>45352</v>
      </c>
      <c r="E4" s="17">
        <v>45382</v>
      </c>
      <c r="F4" s="18">
        <v>31</v>
      </c>
      <c r="G4" s="15">
        <v>2410</v>
      </c>
      <c r="H4" s="15" t="str">
        <v>F1
F2
F3</v>
      </c>
      <c r="I4" s="19" t="str">
        <v>833
767
810</v>
      </c>
      <c r="J4" s="19" t="str">
        <v>2
141
1</v>
      </c>
      <c r="K4" s="19">
        <v>0</v>
      </c>
      <c r="L4" s="19">
        <v>0</v>
      </c>
      <c r="M4" s="19">
        <v>219.6</v>
      </c>
      <c r="N4" s="19">
        <v>282.8</v>
      </c>
      <c r="O4" s="19">
        <v>117.16</v>
      </c>
      <c r="P4" s="19">
        <v>0</v>
      </c>
      <c r="Q4" s="19">
        <v>0</v>
      </c>
      <c r="R4" s="15">
        <v>0</v>
      </c>
      <c r="S4" s="15">
        <v>649.69000000000005</v>
      </c>
      <c r="T4" s="31">
        <f>'[1]18'!$T$86</f>
        <v>649.69000000000005</v>
      </c>
      <c r="U4" t="b">
        <f t="shared" si="0"/>
        <v>1</v>
      </c>
    </row>
    <row r="5" spans="1:21" ht="48" customHeight="1" x14ac:dyDescent="0.2">
      <c r="A5" s="15">
        <v>2024</v>
      </c>
      <c r="B5" s="16">
        <v>382905555</v>
      </c>
      <c r="C5" s="17">
        <v>45419</v>
      </c>
      <c r="D5" s="17">
        <v>45383</v>
      </c>
      <c r="E5" s="17">
        <v>45412</v>
      </c>
      <c r="F5" s="18">
        <v>30</v>
      </c>
      <c r="G5" s="15">
        <v>2296</v>
      </c>
      <c r="H5" s="15" t="str">
        <v>F1
F2
F3</v>
      </c>
      <c r="I5" s="19" t="str">
        <v>852
560
884</v>
      </c>
      <c r="J5" s="19" t="str">
        <v>2
42
35</v>
      </c>
      <c r="K5" s="19">
        <v>0</v>
      </c>
      <c r="L5" s="19">
        <v>0</v>
      </c>
      <c r="M5" s="19">
        <v>206.64</v>
      </c>
      <c r="N5" s="19">
        <v>259.02</v>
      </c>
      <c r="O5" s="19">
        <v>108.76</v>
      </c>
      <c r="P5" s="19">
        <v>0</v>
      </c>
      <c r="Q5" s="19">
        <v>0</v>
      </c>
      <c r="R5" s="15">
        <v>0</v>
      </c>
      <c r="S5" s="15">
        <v>603.12</v>
      </c>
      <c r="T5" s="31">
        <f>'[1]18'!$T$89</f>
        <v>603.12</v>
      </c>
      <c r="U5" t="b">
        <f t="shared" si="0"/>
        <v>1</v>
      </c>
    </row>
    <row r="6" spans="1:21" ht="48" customHeight="1" x14ac:dyDescent="0.2">
      <c r="A6" s="15">
        <v>2024</v>
      </c>
      <c r="B6" s="16">
        <v>382905555</v>
      </c>
      <c r="C6" s="17">
        <v>45449</v>
      </c>
      <c r="D6" s="17">
        <v>45413</v>
      </c>
      <c r="E6" s="17">
        <v>45443</v>
      </c>
      <c r="F6" s="18">
        <v>31</v>
      </c>
      <c r="G6" s="15">
        <v>2119</v>
      </c>
      <c r="H6" s="15" t="str">
        <v>F1
F2
F3</v>
      </c>
      <c r="I6" s="19" t="str">
        <v>876
476
767</v>
      </c>
      <c r="J6" s="19" t="str">
        <v>6
3
3</v>
      </c>
      <c r="K6" s="19">
        <v>0</v>
      </c>
      <c r="L6" s="19">
        <v>0</v>
      </c>
      <c r="M6" s="19">
        <v>198.57999999999998</v>
      </c>
      <c r="N6" s="19">
        <v>257.66000000000003</v>
      </c>
      <c r="O6" s="19">
        <v>106.2</v>
      </c>
      <c r="P6" s="19">
        <v>0</v>
      </c>
      <c r="Q6" s="19">
        <v>0</v>
      </c>
      <c r="R6" s="15">
        <v>0</v>
      </c>
      <c r="S6" s="15">
        <v>588.92999999999995</v>
      </c>
      <c r="T6" s="31">
        <f>'[1]18'!$T$92</f>
        <v>588.92999999999995</v>
      </c>
      <c r="U6" t="b">
        <f t="shared" si="0"/>
        <v>1</v>
      </c>
    </row>
    <row r="7" spans="1:21" ht="48" customHeight="1" x14ac:dyDescent="0.2">
      <c r="A7" s="15">
        <v>2024</v>
      </c>
      <c r="B7" s="16">
        <v>382905555</v>
      </c>
      <c r="C7" s="17">
        <v>45483</v>
      </c>
      <c r="D7" s="17">
        <v>45444</v>
      </c>
      <c r="E7" s="17">
        <v>45473</v>
      </c>
      <c r="F7" s="18">
        <v>30</v>
      </c>
      <c r="G7" s="15">
        <v>3136</v>
      </c>
      <c r="H7" s="15" t="str">
        <v>F1
F2
F3</v>
      </c>
      <c r="I7" s="19" t="str">
        <v>1077
637
1422</v>
      </c>
      <c r="J7" s="19" t="str">
        <v>160
26
306</v>
      </c>
      <c r="K7" s="19">
        <v>0</v>
      </c>
      <c r="L7" s="19">
        <v>0</v>
      </c>
      <c r="M7" s="19">
        <v>332.51</v>
      </c>
      <c r="N7" s="19">
        <v>418.68</v>
      </c>
      <c r="O7" s="19">
        <v>173.89</v>
      </c>
      <c r="P7" s="19">
        <v>0</v>
      </c>
      <c r="Q7" s="19">
        <v>0</v>
      </c>
      <c r="R7" s="15">
        <v>0</v>
      </c>
      <c r="S7" s="15">
        <v>964.28</v>
      </c>
      <c r="T7" s="31">
        <f>'[1]18'!$T$95</f>
        <v>964.28</v>
      </c>
      <c r="U7" t="b">
        <f t="shared" si="0"/>
        <v>1</v>
      </c>
    </row>
    <row r="8" spans="1:21" ht="48" customHeight="1" x14ac:dyDescent="0.2">
      <c r="A8" s="15">
        <v>2024</v>
      </c>
      <c r="B8" s="16">
        <v>382905555</v>
      </c>
      <c r="C8" s="17">
        <v>45511</v>
      </c>
      <c r="D8" s="17">
        <v>45474</v>
      </c>
      <c r="E8" s="17">
        <v>45504</v>
      </c>
      <c r="F8" s="18">
        <v>31</v>
      </c>
      <c r="G8" s="15">
        <v>8127</v>
      </c>
      <c r="H8" s="15" t="str">
        <v>F1
F2
F3</v>
      </c>
      <c r="I8" s="19" t="str">
        <v>3186
1693
3248</v>
      </c>
      <c r="J8" s="19" t="str">
        <v>1581
760
1590</v>
      </c>
      <c r="K8" s="19">
        <v>0</v>
      </c>
      <c r="L8" s="19">
        <v>0</v>
      </c>
      <c r="M8" s="19">
        <v>785.72</v>
      </c>
      <c r="N8" s="19">
        <v>1235.48</v>
      </c>
      <c r="O8" s="19">
        <v>467.01</v>
      </c>
      <c r="P8" s="19">
        <v>0</v>
      </c>
      <c r="Q8" s="19">
        <v>0</v>
      </c>
      <c r="R8" s="15">
        <v>0</v>
      </c>
      <c r="S8" s="15">
        <v>2589.8000000000002</v>
      </c>
      <c r="T8" s="31">
        <f>'[1]18'!$T$98</f>
        <v>2589.8000000000002</v>
      </c>
      <c r="U8" t="b">
        <f t="shared" si="0"/>
        <v>1</v>
      </c>
    </row>
    <row r="9" spans="1:21" ht="48" customHeight="1" x14ac:dyDescent="0.2">
      <c r="A9" s="15">
        <v>2024</v>
      </c>
      <c r="B9" s="16">
        <v>382905555</v>
      </c>
      <c r="C9" s="17">
        <v>45542</v>
      </c>
      <c r="D9" s="17">
        <v>45505</v>
      </c>
      <c r="E9" s="17">
        <v>45535</v>
      </c>
      <c r="F9" s="18">
        <v>31</v>
      </c>
      <c r="G9" s="15">
        <v>4830</v>
      </c>
      <c r="H9" s="15" t="str">
        <v>F1
F2
F3</v>
      </c>
      <c r="I9" s="19" t="str">
        <v>1664
673
2493</v>
      </c>
      <c r="J9" s="19" t="str">
        <v>573
100
1095</v>
      </c>
      <c r="K9" s="19">
        <v>0</v>
      </c>
      <c r="L9" s="19">
        <v>0</v>
      </c>
      <c r="M9" s="19">
        <v>433.04999999999995</v>
      </c>
      <c r="N9" s="19">
        <v>748.27</v>
      </c>
      <c r="O9" s="19">
        <v>273.17</v>
      </c>
      <c r="P9" s="19">
        <v>0</v>
      </c>
      <c r="Q9" s="19">
        <v>0</v>
      </c>
      <c r="R9" s="15">
        <v>0</v>
      </c>
      <c r="S9" s="15">
        <v>1514.87</v>
      </c>
      <c r="T9" s="31">
        <f>'[1]18'!$T$101</f>
        <v>1514.87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382905555</v>
      </c>
      <c r="C10" s="17">
        <v>45571</v>
      </c>
      <c r="D10" s="17">
        <v>45536</v>
      </c>
      <c r="E10" s="17">
        <v>45565</v>
      </c>
      <c r="F10" s="18">
        <v>30</v>
      </c>
      <c r="G10" s="15">
        <v>3075</v>
      </c>
      <c r="H10" s="15" t="str">
        <v>F1
F2
F3</v>
      </c>
      <c r="I10" s="19" t="str">
        <v>1121
538
1416</v>
      </c>
      <c r="J10" s="19" t="str">
        <v>222
39
450</v>
      </c>
      <c r="K10" s="19">
        <v>0</v>
      </c>
      <c r="L10" s="19">
        <v>0</v>
      </c>
      <c r="M10" s="19">
        <v>325.33</v>
      </c>
      <c r="N10" s="19">
        <v>443.14</v>
      </c>
      <c r="O10" s="19">
        <v>177.52</v>
      </c>
      <c r="P10" s="19">
        <v>0</v>
      </c>
      <c r="Q10" s="19">
        <v>0</v>
      </c>
      <c r="R10" s="15">
        <v>0</v>
      </c>
      <c r="S10" s="15">
        <v>984.43</v>
      </c>
      <c r="T10" s="31">
        <f>'[1]18'!$T$104</f>
        <v>984.43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382905555</v>
      </c>
      <c r="C11" s="17">
        <v>45604</v>
      </c>
      <c r="D11" s="17">
        <v>45566</v>
      </c>
      <c r="E11" s="17">
        <v>45596</v>
      </c>
      <c r="F11" s="18">
        <v>31</v>
      </c>
      <c r="G11" s="15">
        <v>2509</v>
      </c>
      <c r="H11" s="15" t="str">
        <v>F1
F2
F3</v>
      </c>
      <c r="I11" s="19" t="str">
        <v>1207
562
740</v>
      </c>
      <c r="J11" s="19" t="str">
        <v>3
4
2</v>
      </c>
      <c r="K11" s="19">
        <v>0</v>
      </c>
      <c r="L11" s="19">
        <v>0</v>
      </c>
      <c r="M11" s="19">
        <v>230.43</v>
      </c>
      <c r="N11" s="19">
        <v>374.4</v>
      </c>
      <c r="O11" s="19">
        <v>139.96</v>
      </c>
      <c r="P11" s="19">
        <v>0</v>
      </c>
      <c r="Q11" s="19">
        <v>0</v>
      </c>
      <c r="R11" s="15">
        <v>0</v>
      </c>
      <c r="S11" s="15">
        <v>776.15</v>
      </c>
      <c r="T11" s="31">
        <f>'[1]18'!$T$107</f>
        <v>776.15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382905555</v>
      </c>
      <c r="C12" s="17">
        <v>45632</v>
      </c>
      <c r="D12" s="17">
        <v>45597</v>
      </c>
      <c r="E12" s="17">
        <v>45626</v>
      </c>
      <c r="F12" s="18">
        <v>30</v>
      </c>
      <c r="G12" s="15">
        <v>3139</v>
      </c>
      <c r="H12" s="15" t="str">
        <v>F1
F2
F3</v>
      </c>
      <c r="I12" s="19" t="str">
        <v>1153
830
1156</v>
      </c>
      <c r="J12" s="19" t="str">
        <v>197
221
335</v>
      </c>
      <c r="K12" s="19">
        <v>0</v>
      </c>
      <c r="L12" s="19">
        <v>0</v>
      </c>
      <c r="M12" s="19">
        <v>286.14999999999998</v>
      </c>
      <c r="N12" s="19">
        <v>516.66999999999996</v>
      </c>
      <c r="O12" s="19">
        <v>185.25</v>
      </c>
      <c r="P12" s="19">
        <v>0</v>
      </c>
      <c r="Q12" s="19">
        <v>0</v>
      </c>
      <c r="R12" s="15">
        <v>0</v>
      </c>
      <c r="S12" s="15">
        <v>1027.31</v>
      </c>
      <c r="T12" s="31">
        <f>'[1]18'!$T$110</f>
        <v>1027.31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382905555</v>
      </c>
      <c r="C13" s="17">
        <v>45665</v>
      </c>
      <c r="D13" s="17">
        <v>45627</v>
      </c>
      <c r="E13" s="17">
        <v>45657</v>
      </c>
      <c r="F13" s="18">
        <v>31</v>
      </c>
      <c r="G13" s="15">
        <v>3051</v>
      </c>
      <c r="H13" s="15" t="str">
        <v>F1
F2
F3</v>
      </c>
      <c r="I13" s="19" t="str">
        <v>1282
722
1047</v>
      </c>
      <c r="J13" s="19" t="str">
        <v>194
133
54</v>
      </c>
      <c r="K13" s="19">
        <v>0</v>
      </c>
      <c r="L13" s="19">
        <v>0</v>
      </c>
      <c r="M13" s="19">
        <v>298.37</v>
      </c>
      <c r="N13" s="19">
        <v>547.6</v>
      </c>
      <c r="O13" s="19">
        <v>194.5</v>
      </c>
      <c r="P13" s="19">
        <v>0</v>
      </c>
      <c r="Q13" s="19">
        <v>0</v>
      </c>
      <c r="R13" s="15">
        <v>0</v>
      </c>
      <c r="S13" s="15">
        <v>1078.6099999999999</v>
      </c>
      <c r="T13" s="31">
        <f>'[1]18'!$T$113</f>
        <v>1078.6099999999999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10" priority="1" operator="notEqual">
      <formula>TRUE</formula>
    </cfRule>
  </conditionalFormatting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93902-D921-3843-8460-AADF5DA024DD}">
  <dimension ref="A1:U13"/>
  <sheetViews>
    <sheetView topLeftCell="B1" workbookViewId="0">
      <selection activeCell="W11" sqref="W11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2">_xlfn._xlws.FILTER(Calcolo!V:AN,Calcolo!A:A=Fabbricati!E20)</f>
        <v>2024</v>
      </c>
      <c r="B2" s="16">
        <v>382919688</v>
      </c>
      <c r="C2" s="17">
        <v>45350</v>
      </c>
      <c r="D2" s="17">
        <v>45292</v>
      </c>
      <c r="E2" s="17">
        <v>45322</v>
      </c>
      <c r="F2" s="18">
        <v>31</v>
      </c>
      <c r="G2" s="15">
        <v>4031</v>
      </c>
      <c r="H2" s="15" t="str">
        <v>F1
F2
F3</v>
      </c>
      <c r="I2" s="19" t="str">
        <v>2739
475
817</v>
      </c>
      <c r="J2" s="19" t="str">
        <v>57
14
33</v>
      </c>
      <c r="K2" s="19">
        <v>0</v>
      </c>
      <c r="L2" s="19">
        <v>0</v>
      </c>
      <c r="M2" s="19">
        <v>296.07</v>
      </c>
      <c r="N2" s="19">
        <v>652.72</v>
      </c>
      <c r="O2" s="19">
        <v>50.39</v>
      </c>
      <c r="P2" s="19">
        <v>0</v>
      </c>
      <c r="Q2" s="19">
        <v>0</v>
      </c>
      <c r="R2" s="15">
        <v>20.16</v>
      </c>
      <c r="S2" s="15">
        <v>1243.5899999999999</v>
      </c>
      <c r="T2" s="31">
        <f>'[1]19'!$T$80</f>
        <v>1243.5899999999999</v>
      </c>
      <c r="U2" t="b">
        <f>S2=T2</f>
        <v>1</v>
      </c>
    </row>
    <row r="3" spans="1:21" ht="48" customHeight="1" x14ac:dyDescent="0.2">
      <c r="A3" s="15">
        <v>2024</v>
      </c>
      <c r="B3" s="16">
        <v>382919688</v>
      </c>
      <c r="C3" s="17">
        <v>45358</v>
      </c>
      <c r="D3" s="17">
        <v>45323</v>
      </c>
      <c r="E3" s="17">
        <v>45351</v>
      </c>
      <c r="F3" s="18">
        <v>29</v>
      </c>
      <c r="G3" s="15">
        <v>3981</v>
      </c>
      <c r="H3" s="15" t="str">
        <v>F1
F2
F3</v>
      </c>
      <c r="I3" s="19" t="str">
        <v>2847
467
667</v>
      </c>
      <c r="J3" s="19" t="str">
        <v>46
18
22</v>
      </c>
      <c r="K3" s="19">
        <v>0</v>
      </c>
      <c r="L3" s="19">
        <v>0</v>
      </c>
      <c r="M3" s="19">
        <v>293.36</v>
      </c>
      <c r="N3" s="19">
        <v>496.33</v>
      </c>
      <c r="O3" s="19">
        <v>184.68</v>
      </c>
      <c r="P3" s="19">
        <v>0</v>
      </c>
      <c r="Q3" s="19">
        <v>0</v>
      </c>
      <c r="R3" s="15">
        <v>0</v>
      </c>
      <c r="S3" s="15">
        <v>1024.1300000000001</v>
      </c>
      <c r="T3" s="31">
        <f>'[1]19'!$T$83</f>
        <v>1024.1300000000001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382919688</v>
      </c>
      <c r="C4" s="17">
        <v>45390</v>
      </c>
      <c r="D4" s="17">
        <v>45352</v>
      </c>
      <c r="E4" s="17">
        <v>45382</v>
      </c>
      <c r="F4" s="18">
        <v>31</v>
      </c>
      <c r="G4" s="15">
        <v>3538</v>
      </c>
      <c r="H4" s="15" t="str">
        <v>F1
F2
F3</v>
      </c>
      <c r="I4" s="19" t="str">
        <v>2504
402
632</v>
      </c>
      <c r="J4" s="19" t="str">
        <v>49
13
12</v>
      </c>
      <c r="K4" s="19">
        <v>0</v>
      </c>
      <c r="L4" s="19">
        <v>0</v>
      </c>
      <c r="M4" s="19">
        <v>269.31</v>
      </c>
      <c r="N4" s="19">
        <v>423.81</v>
      </c>
      <c r="O4" s="19">
        <v>162.22</v>
      </c>
      <c r="P4" s="19">
        <v>0</v>
      </c>
      <c r="Q4" s="19">
        <v>0</v>
      </c>
      <c r="R4" s="15">
        <v>0</v>
      </c>
      <c r="S4" s="15">
        <v>899.57</v>
      </c>
      <c r="T4" s="31">
        <f>'[1]19'!$T$86</f>
        <v>899.57</v>
      </c>
      <c r="U4" t="b">
        <f t="shared" si="0"/>
        <v>1</v>
      </c>
    </row>
    <row r="5" spans="1:21" ht="48" customHeight="1" x14ac:dyDescent="0.2">
      <c r="A5" s="15">
        <v>2024</v>
      </c>
      <c r="B5" s="16">
        <v>382919688</v>
      </c>
      <c r="C5" s="17">
        <v>45419</v>
      </c>
      <c r="D5" s="17">
        <v>45383</v>
      </c>
      <c r="E5" s="17">
        <v>45412</v>
      </c>
      <c r="F5" s="18">
        <v>30</v>
      </c>
      <c r="G5" s="15">
        <v>2656</v>
      </c>
      <c r="H5" s="15" t="str">
        <v>F1
F2
F3</v>
      </c>
      <c r="I5" s="19" t="str">
        <v>1862
277
517</v>
      </c>
      <c r="J5" s="19" t="str">
        <v>63
18
22</v>
      </c>
      <c r="K5" s="19">
        <v>0</v>
      </c>
      <c r="L5" s="19">
        <v>0</v>
      </c>
      <c r="M5" s="19">
        <v>244.92</v>
      </c>
      <c r="N5" s="19">
        <v>296.10000000000002</v>
      </c>
      <c r="O5" s="19">
        <v>126.33</v>
      </c>
      <c r="P5" s="19">
        <v>0</v>
      </c>
      <c r="Q5" s="19">
        <v>0</v>
      </c>
      <c r="R5" s="15">
        <v>0</v>
      </c>
      <c r="S5" s="15">
        <v>700.55</v>
      </c>
      <c r="T5" s="31">
        <f>'[1]19'!$T$89</f>
        <v>700.55</v>
      </c>
      <c r="U5" t="b">
        <f t="shared" si="0"/>
        <v>1</v>
      </c>
    </row>
    <row r="6" spans="1:21" ht="48" customHeight="1" x14ac:dyDescent="0.2">
      <c r="A6" s="15">
        <v>2024</v>
      </c>
      <c r="B6" s="16">
        <v>382919688</v>
      </c>
      <c r="C6" s="17">
        <v>45449</v>
      </c>
      <c r="D6" s="17">
        <v>45413</v>
      </c>
      <c r="E6" s="17">
        <v>45417</v>
      </c>
      <c r="F6" s="18">
        <v>5</v>
      </c>
      <c r="G6" s="15">
        <v>2900</v>
      </c>
      <c r="H6" s="15" t="str">
        <v>F1
F2
F3</v>
      </c>
      <c r="I6" s="19" t="str">
        <v>2272
243
385</v>
      </c>
      <c r="J6" s="19" t="str">
        <v>30
7
4</v>
      </c>
      <c r="K6" s="19">
        <v>0</v>
      </c>
      <c r="L6" s="19">
        <v>0</v>
      </c>
      <c r="M6" s="19">
        <v>259.81</v>
      </c>
      <c r="N6" s="19">
        <v>347.68</v>
      </c>
      <c r="O6" s="19">
        <v>141.62</v>
      </c>
      <c r="P6" s="19">
        <v>0</v>
      </c>
      <c r="Q6" s="19">
        <v>0</v>
      </c>
      <c r="R6" s="15">
        <v>0</v>
      </c>
      <c r="S6" s="15">
        <v>785.36</v>
      </c>
      <c r="T6" s="31">
        <f>'[1]19'!$T$92</f>
        <v>785.36</v>
      </c>
      <c r="U6" t="b">
        <f t="shared" si="0"/>
        <v>1</v>
      </c>
    </row>
    <row r="7" spans="1:21" ht="48" customHeight="1" x14ac:dyDescent="0.2">
      <c r="A7" s="15">
        <v>2024</v>
      </c>
      <c r="B7" s="16">
        <v>382919688</v>
      </c>
      <c r="C7" s="17">
        <v>45478</v>
      </c>
      <c r="D7" s="17">
        <v>45444</v>
      </c>
      <c r="E7" s="17">
        <v>45473</v>
      </c>
      <c r="F7" s="18">
        <v>30</v>
      </c>
      <c r="G7" s="15">
        <v>1020</v>
      </c>
      <c r="H7" s="15" t="str">
        <v>F1
F2
F3</v>
      </c>
      <c r="I7" s="19" t="str">
        <v>569
142
309</v>
      </c>
      <c r="J7" s="19" t="str">
        <v>19
9
13</v>
      </c>
      <c r="K7" s="19">
        <v>0</v>
      </c>
      <c r="L7" s="19">
        <v>0</v>
      </c>
      <c r="M7" s="19">
        <v>145.01999999999998</v>
      </c>
      <c r="N7" s="19">
        <v>135.85</v>
      </c>
      <c r="O7" s="19">
        <v>64.599999999999994</v>
      </c>
      <c r="P7" s="19">
        <v>0</v>
      </c>
      <c r="Q7" s="19">
        <v>0</v>
      </c>
      <c r="R7" s="15">
        <v>0</v>
      </c>
      <c r="S7" s="15">
        <v>358.22</v>
      </c>
      <c r="T7" s="31">
        <f>'[1]19'!$T$95</f>
        <v>358.22</v>
      </c>
      <c r="U7" t="b">
        <f t="shared" si="0"/>
        <v>1</v>
      </c>
    </row>
    <row r="8" spans="1:21" ht="48" customHeight="1" x14ac:dyDescent="0.2">
      <c r="A8" s="15">
        <v>2024</v>
      </c>
      <c r="B8" s="16">
        <v>382919688</v>
      </c>
      <c r="C8" s="17">
        <v>45511</v>
      </c>
      <c r="D8" s="17">
        <v>45474</v>
      </c>
      <c r="E8" s="17">
        <v>45504</v>
      </c>
      <c r="F8" s="18">
        <v>31</v>
      </c>
      <c r="G8" s="15">
        <v>336</v>
      </c>
      <c r="H8" s="15" t="str">
        <v>F1
F2
F3</v>
      </c>
      <c r="I8" s="19" t="str">
        <v>14
93
229</v>
      </c>
      <c r="J8" s="19" t="str">
        <v>4
7
11</v>
      </c>
      <c r="K8" s="19">
        <v>0</v>
      </c>
      <c r="L8" s="19">
        <v>0</v>
      </c>
      <c r="M8" s="19">
        <v>103.27</v>
      </c>
      <c r="N8" s="19">
        <v>51.5</v>
      </c>
      <c r="O8" s="19">
        <v>34.97</v>
      </c>
      <c r="P8" s="19">
        <v>0</v>
      </c>
      <c r="Q8" s="19">
        <v>0</v>
      </c>
      <c r="R8" s="15">
        <v>0</v>
      </c>
      <c r="S8" s="15">
        <v>193.94</v>
      </c>
      <c r="T8" s="31">
        <f>'[1]19'!$T$98</f>
        <v>193.94</v>
      </c>
      <c r="U8" t="b">
        <f t="shared" si="0"/>
        <v>1</v>
      </c>
    </row>
    <row r="9" spans="1:21" ht="48" customHeight="1" x14ac:dyDescent="0.2">
      <c r="A9" s="15">
        <v>2024</v>
      </c>
      <c r="B9" s="16">
        <v>382919688</v>
      </c>
      <c r="C9" s="17">
        <v>45541</v>
      </c>
      <c r="D9" s="17">
        <v>45505</v>
      </c>
      <c r="E9" s="17">
        <v>45535</v>
      </c>
      <c r="F9" s="18">
        <v>31</v>
      </c>
      <c r="G9" s="15">
        <v>4511</v>
      </c>
      <c r="H9" s="15" t="str">
        <v>F1
F2
F3</v>
      </c>
      <c r="I9" s="19" t="str">
        <v>2869
552
1090</v>
      </c>
      <c r="J9" s="19" t="str">
        <v>58
24
29</v>
      </c>
      <c r="K9" s="19">
        <v>0</v>
      </c>
      <c r="L9" s="19">
        <v>0</v>
      </c>
      <c r="M9" s="19">
        <v>98.33</v>
      </c>
      <c r="N9" s="19">
        <v>40.630000000000003</v>
      </c>
      <c r="O9" s="19">
        <v>32.04</v>
      </c>
      <c r="P9" s="19">
        <v>0</v>
      </c>
      <c r="Q9" s="19">
        <v>0</v>
      </c>
      <c r="R9" s="15">
        <v>0</v>
      </c>
      <c r="S9" s="15">
        <v>177.68</v>
      </c>
      <c r="T9" s="31">
        <f>'[1]19'!$T$101</f>
        <v>177.68</v>
      </c>
      <c r="U9" t="b">
        <f t="shared" si="0"/>
        <v>1</v>
      </c>
    </row>
    <row r="10" spans="1:21" ht="48" customHeight="1" x14ac:dyDescent="0.2">
      <c r="A10" s="15">
        <v>2024</v>
      </c>
      <c r="B10" s="16">
        <v>382919688</v>
      </c>
      <c r="C10" s="17">
        <v>45604</v>
      </c>
      <c r="D10" s="17">
        <v>45566</v>
      </c>
      <c r="E10" s="17">
        <v>45596</v>
      </c>
      <c r="F10" s="18">
        <v>31</v>
      </c>
      <c r="G10" s="15">
        <v>4320</v>
      </c>
      <c r="H10" s="15" t="str">
        <v>F1
F2
F3</v>
      </c>
      <c r="I10" s="19" t="str">
        <v>3467
385
468</v>
      </c>
      <c r="J10" s="19" t="str">
        <v>58
22
13</v>
      </c>
      <c r="K10" s="19">
        <v>0</v>
      </c>
      <c r="L10" s="19">
        <v>0</v>
      </c>
      <c r="M10" s="19">
        <v>346.51</v>
      </c>
      <c r="N10" s="19">
        <v>659.33</v>
      </c>
      <c r="O10" s="19">
        <v>233.16</v>
      </c>
      <c r="P10" s="19">
        <v>0</v>
      </c>
      <c r="Q10" s="19">
        <v>0</v>
      </c>
      <c r="R10" s="15">
        <v>0</v>
      </c>
      <c r="S10" s="15">
        <v>1293</v>
      </c>
      <c r="T10" s="31">
        <f>'[1]19'!$T$104</f>
        <v>679.22</v>
      </c>
      <c r="U10" t="b">
        <f t="shared" si="0"/>
        <v>0</v>
      </c>
    </row>
    <row r="11" spans="1:21" ht="48" customHeight="1" x14ac:dyDescent="0.2">
      <c r="A11" s="15">
        <v>2024</v>
      </c>
      <c r="B11" s="16">
        <v>382919688</v>
      </c>
      <c r="C11" s="17">
        <v>45632</v>
      </c>
      <c r="D11" s="17">
        <v>45597</v>
      </c>
      <c r="E11" s="17">
        <v>45626</v>
      </c>
      <c r="F11" s="18">
        <v>30</v>
      </c>
      <c r="G11" s="15">
        <v>4078</v>
      </c>
      <c r="H11" s="15" t="str">
        <v>F1
F2
F3</v>
      </c>
      <c r="I11" s="19" t="str">
        <v>3004
446
628</v>
      </c>
      <c r="J11" s="19" t="str">
        <v>71
29
6</v>
      </c>
      <c r="K11" s="19">
        <v>0</v>
      </c>
      <c r="L11" s="19">
        <v>0</v>
      </c>
      <c r="M11" s="19">
        <v>331.74</v>
      </c>
      <c r="N11" s="19">
        <v>704.29</v>
      </c>
      <c r="O11" s="19">
        <v>239.14</v>
      </c>
      <c r="P11" s="19">
        <v>0</v>
      </c>
      <c r="Q11" s="19">
        <v>0</v>
      </c>
      <c r="R11" s="15">
        <v>0</v>
      </c>
      <c r="S11" s="15">
        <v>1326.15</v>
      </c>
      <c r="T11" s="31">
        <f>'[1]19'!$T$107</f>
        <v>1293</v>
      </c>
      <c r="U11" t="b">
        <f t="shared" si="0"/>
        <v>0</v>
      </c>
    </row>
    <row r="12" spans="1:21" ht="48" customHeight="1" x14ac:dyDescent="0.2">
      <c r="A12" s="15">
        <v>2024</v>
      </c>
      <c r="B12" s="16">
        <v>382919688</v>
      </c>
      <c r="C12" s="17">
        <v>45665</v>
      </c>
      <c r="D12" s="17">
        <v>45627</v>
      </c>
      <c r="E12" s="17">
        <v>45657</v>
      </c>
      <c r="F12" s="18">
        <v>31</v>
      </c>
      <c r="G12" s="15">
        <v>3774</v>
      </c>
      <c r="H12" s="15" t="str">
        <v>F1
F2
F3</v>
      </c>
      <c r="I12" s="19" t="str">
        <v>2494
505
775</v>
      </c>
      <c r="J12" s="19" t="str">
        <v>56
35
14</v>
      </c>
      <c r="K12" s="19">
        <v>0</v>
      </c>
      <c r="L12" s="19">
        <v>0</v>
      </c>
      <c r="M12" s="19">
        <v>313.17</v>
      </c>
      <c r="N12" s="19">
        <v>703.2</v>
      </c>
      <c r="O12" s="19">
        <v>233.98</v>
      </c>
      <c r="P12" s="19">
        <v>0</v>
      </c>
      <c r="Q12" s="19">
        <v>0</v>
      </c>
      <c r="R12" s="15">
        <v>0</v>
      </c>
      <c r="S12" s="15">
        <v>1297.53</v>
      </c>
      <c r="T12" s="31">
        <f>'[1]19'!$T$110</f>
        <v>1326.15</v>
      </c>
      <c r="U12" t="b">
        <f t="shared" si="0"/>
        <v>0</v>
      </c>
    </row>
    <row r="13" spans="1:21" ht="48" customHeight="1" x14ac:dyDescent="0.2">
      <c r="A13" s="15"/>
      <c r="B13" s="16"/>
      <c r="C13" s="17"/>
      <c r="D13" s="17"/>
      <c r="E13" s="17"/>
      <c r="F13" s="18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5"/>
      <c r="S13" s="15"/>
      <c r="T13" s="31">
        <f>'[1]19'!$T$113</f>
        <v>1297.53</v>
      </c>
      <c r="U13" t="b">
        <f t="shared" si="0"/>
        <v>0</v>
      </c>
    </row>
  </sheetData>
  <mergeCells count="2">
    <mergeCell ref="D1:E1"/>
    <mergeCell ref="O1:P1"/>
  </mergeCells>
  <conditionalFormatting sqref="U2:U13">
    <cfRule type="cellIs" dxfId="9" priority="1" operator="notEqual">
      <formula>TRUE</formula>
    </cfRule>
  </conditionalFormatting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6AE42-524B-E04B-B003-A36F2630F47A}">
  <dimension ref="A1:S13"/>
  <sheetViews>
    <sheetView topLeftCell="B1" workbookViewId="0">
      <selection activeCell="V10" sqref="V10"/>
    </sheetView>
  </sheetViews>
  <sheetFormatPr baseColWidth="10" defaultColWidth="8.83203125" defaultRowHeight="15" x14ac:dyDescent="0.2"/>
  <cols>
    <col min="1" max="1" width="14.83203125" customWidth="1"/>
    <col min="2" max="2" width="11.5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19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19" ht="48" customHeight="1" x14ac:dyDescent="0.2">
      <c r="A2" s="15" t="e" cm="1" vm="1">
        <f t="array" ref="A2">_xlfn._xlws.FILTER(Calcolo!V:AN,Calcolo!A:A=Fabbricati!E21)</f>
        <v>#VALUE!</v>
      </c>
      <c r="B2" s="16"/>
      <c r="C2" s="17"/>
      <c r="D2" s="17"/>
      <c r="E2" s="17"/>
      <c r="F2" s="18"/>
      <c r="G2" s="15"/>
      <c r="H2" s="15"/>
      <c r="I2" s="19"/>
      <c r="J2" s="19"/>
      <c r="K2" s="19"/>
      <c r="L2" s="19"/>
      <c r="M2" s="19"/>
      <c r="N2" s="19"/>
      <c r="O2" s="19"/>
      <c r="P2" s="19"/>
      <c r="Q2" s="19"/>
      <c r="R2" s="15"/>
      <c r="S2" s="15"/>
    </row>
    <row r="3" spans="1:19" ht="48" customHeight="1" x14ac:dyDescent="0.2">
      <c r="A3" s="15"/>
      <c r="B3" s="16"/>
      <c r="C3" s="17"/>
      <c r="D3" s="17"/>
      <c r="E3" s="17"/>
      <c r="F3" s="18"/>
      <c r="G3" s="15"/>
      <c r="H3" s="15"/>
      <c r="I3" s="19"/>
      <c r="J3" s="19"/>
      <c r="K3" s="19"/>
      <c r="L3" s="19"/>
      <c r="M3" s="19"/>
      <c r="N3" s="19"/>
      <c r="O3" s="19"/>
      <c r="P3" s="19"/>
      <c r="Q3" s="19"/>
      <c r="R3" s="15"/>
      <c r="S3" s="15"/>
    </row>
    <row r="4" spans="1:19" ht="48" customHeight="1" x14ac:dyDescent="0.2">
      <c r="A4" s="15"/>
      <c r="B4" s="16"/>
      <c r="C4" s="17"/>
      <c r="D4" s="17"/>
      <c r="E4" s="17"/>
      <c r="F4" s="18"/>
      <c r="G4" s="15"/>
      <c r="H4" s="15"/>
      <c r="I4" s="19"/>
      <c r="J4" s="19"/>
      <c r="K4" s="19"/>
      <c r="L4" s="19"/>
      <c r="M4" s="19"/>
      <c r="N4" s="19"/>
      <c r="O4" s="19"/>
      <c r="P4" s="19"/>
      <c r="Q4" s="19"/>
      <c r="R4" s="15"/>
      <c r="S4" s="15"/>
    </row>
    <row r="5" spans="1:19" ht="48" customHeight="1" x14ac:dyDescent="0.2">
      <c r="A5" s="15"/>
      <c r="B5" s="16"/>
      <c r="C5" s="17"/>
      <c r="D5" s="17"/>
      <c r="E5" s="17"/>
      <c r="F5" s="18"/>
      <c r="G5" s="15"/>
      <c r="H5" s="15"/>
      <c r="I5" s="19"/>
      <c r="J5" s="19"/>
      <c r="K5" s="19"/>
      <c r="L5" s="19"/>
      <c r="M5" s="19"/>
      <c r="N5" s="19"/>
      <c r="O5" s="19"/>
      <c r="P5" s="19"/>
      <c r="Q5" s="19"/>
      <c r="R5" s="15"/>
      <c r="S5" s="15"/>
    </row>
    <row r="6" spans="1:19" ht="48" customHeight="1" x14ac:dyDescent="0.2">
      <c r="A6" s="15"/>
      <c r="B6" s="16"/>
      <c r="C6" s="17"/>
      <c r="D6" s="17"/>
      <c r="E6" s="17"/>
      <c r="F6" s="18"/>
      <c r="G6" s="15"/>
      <c r="H6" s="15"/>
      <c r="I6" s="19"/>
      <c r="J6" s="19"/>
      <c r="K6" s="19"/>
      <c r="L6" s="19"/>
      <c r="M6" s="19"/>
      <c r="N6" s="19"/>
      <c r="O6" s="19"/>
      <c r="P6" s="19"/>
      <c r="Q6" s="19"/>
      <c r="R6" s="15"/>
      <c r="S6" s="15"/>
    </row>
    <row r="7" spans="1:19" ht="48" customHeight="1" x14ac:dyDescent="0.2">
      <c r="A7" s="15"/>
      <c r="B7" s="16"/>
      <c r="C7" s="17"/>
      <c r="D7" s="17"/>
      <c r="E7" s="17"/>
      <c r="F7" s="18"/>
      <c r="G7" s="15"/>
      <c r="H7" s="15"/>
      <c r="I7" s="19"/>
      <c r="J7" s="19"/>
      <c r="K7" s="19"/>
      <c r="L7" s="19"/>
      <c r="M7" s="19"/>
      <c r="N7" s="19"/>
      <c r="O7" s="19"/>
      <c r="P7" s="19"/>
      <c r="Q7" s="19"/>
      <c r="R7" s="15"/>
      <c r="S7" s="15"/>
    </row>
    <row r="8" spans="1:19" ht="48" customHeight="1" x14ac:dyDescent="0.2">
      <c r="A8" s="15"/>
      <c r="B8" s="16"/>
      <c r="C8" s="17"/>
      <c r="D8" s="17"/>
      <c r="E8" s="17"/>
      <c r="F8" s="18"/>
      <c r="G8" s="15"/>
      <c r="H8" s="15"/>
      <c r="I8" s="19"/>
      <c r="J8" s="19"/>
      <c r="K8" s="19"/>
      <c r="L8" s="19"/>
      <c r="M8" s="19"/>
      <c r="N8" s="19"/>
      <c r="O8" s="19"/>
      <c r="P8" s="19"/>
      <c r="Q8" s="19"/>
      <c r="R8" s="15"/>
      <c r="S8" s="15"/>
    </row>
    <row r="9" spans="1:19" ht="48" customHeight="1" x14ac:dyDescent="0.2">
      <c r="A9" s="15"/>
      <c r="B9" s="16"/>
      <c r="C9" s="17"/>
      <c r="D9" s="17"/>
      <c r="E9" s="17"/>
      <c r="F9" s="18"/>
      <c r="G9" s="15"/>
      <c r="H9" s="15"/>
      <c r="I9" s="19"/>
      <c r="J9" s="19"/>
      <c r="K9" s="19"/>
      <c r="L9" s="19"/>
      <c r="M9" s="19"/>
      <c r="N9" s="19"/>
      <c r="O9" s="19"/>
      <c r="P9" s="19"/>
      <c r="Q9" s="19"/>
      <c r="R9" s="15"/>
      <c r="S9" s="15"/>
    </row>
    <row r="10" spans="1:19" ht="48" customHeight="1" x14ac:dyDescent="0.2">
      <c r="A10" s="15"/>
      <c r="B10" s="16"/>
      <c r="C10" s="17"/>
      <c r="D10" s="17"/>
      <c r="E10" s="17"/>
      <c r="F10" s="18"/>
      <c r="G10" s="15"/>
      <c r="H10" s="15"/>
      <c r="I10" s="19"/>
      <c r="J10" s="19"/>
      <c r="K10" s="19"/>
      <c r="L10" s="19"/>
      <c r="M10" s="19"/>
      <c r="N10" s="19"/>
      <c r="O10" s="19"/>
      <c r="P10" s="19"/>
      <c r="Q10" s="19"/>
      <c r="R10" s="15"/>
      <c r="S10" s="15"/>
    </row>
    <row r="11" spans="1:19" ht="48" customHeight="1" x14ac:dyDescent="0.2">
      <c r="A11" s="15"/>
      <c r="B11" s="16"/>
      <c r="C11" s="17"/>
      <c r="D11" s="17"/>
      <c r="E11" s="17"/>
      <c r="F11" s="18"/>
      <c r="G11" s="15"/>
      <c r="H11" s="15"/>
      <c r="I11" s="19"/>
      <c r="J11" s="19"/>
      <c r="K11" s="19"/>
      <c r="L11" s="19"/>
      <c r="M11" s="19"/>
      <c r="N11" s="19"/>
      <c r="O11" s="19"/>
      <c r="P11" s="19"/>
      <c r="Q11" s="19"/>
      <c r="R11" s="15"/>
      <c r="S11" s="15"/>
    </row>
    <row r="12" spans="1:19" ht="48" customHeight="1" x14ac:dyDescent="0.2">
      <c r="A12" s="15"/>
      <c r="B12" s="16"/>
      <c r="C12" s="17"/>
      <c r="D12" s="17"/>
      <c r="E12" s="17"/>
      <c r="F12" s="18"/>
      <c r="G12" s="15"/>
      <c r="H12" s="15"/>
      <c r="I12" s="19"/>
      <c r="J12" s="19"/>
      <c r="K12" s="19"/>
      <c r="L12" s="19"/>
      <c r="M12" s="19"/>
      <c r="N12" s="19"/>
      <c r="O12" s="19"/>
      <c r="P12" s="19"/>
      <c r="Q12" s="19"/>
      <c r="R12" s="15"/>
      <c r="S12" s="15"/>
    </row>
    <row r="13" spans="1:19" ht="48" customHeight="1" x14ac:dyDescent="0.2">
      <c r="A13" s="15"/>
      <c r="B13" s="16"/>
      <c r="C13" s="17"/>
      <c r="D13" s="17"/>
      <c r="E13" s="17"/>
      <c r="F13" s="18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5"/>
      <c r="S13" s="15"/>
    </row>
  </sheetData>
  <mergeCells count="2">
    <mergeCell ref="D1:E1"/>
    <mergeCell ref="O1:P1"/>
  </mergeCells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BB384-2A0E-FA4B-922B-311C0E427FAF}">
  <dimension ref="A1:U13"/>
  <sheetViews>
    <sheetView topLeftCell="C1" workbookViewId="0">
      <selection activeCell="V11" sqref="V11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_xlfn._xlws.FILTER(Calcolo!V:AN,Calcolo!A:A=Fabbricati!E22)</f>
        <v>2024</v>
      </c>
      <c r="B2" s="16">
        <v>300469116</v>
      </c>
      <c r="C2" s="17">
        <v>45350</v>
      </c>
      <c r="D2" s="17">
        <v>45292</v>
      </c>
      <c r="E2" s="17">
        <v>45322</v>
      </c>
      <c r="F2" s="18">
        <v>31</v>
      </c>
      <c r="G2" s="15">
        <v>15</v>
      </c>
      <c r="H2" s="15" t="str">
        <v>F1
F2
F3</v>
      </c>
      <c r="I2" s="19" t="str">
        <v>5
3
7</v>
      </c>
      <c r="J2" s="19" t="str">
        <v>3
2
5</v>
      </c>
      <c r="K2" s="19">
        <v>0</v>
      </c>
      <c r="L2" s="19">
        <v>0</v>
      </c>
      <c r="M2" s="19">
        <v>78.05</v>
      </c>
      <c r="N2" s="19">
        <v>2.35</v>
      </c>
      <c r="O2" s="19">
        <v>0.19</v>
      </c>
      <c r="P2" s="19">
        <v>0</v>
      </c>
      <c r="Q2" s="19">
        <v>0</v>
      </c>
      <c r="R2" s="15">
        <v>0.08</v>
      </c>
      <c r="S2" s="15">
        <v>98.42</v>
      </c>
      <c r="T2" s="31">
        <f>'[1]21'!$T$80</f>
        <v>98.42</v>
      </c>
      <c r="U2" t="b">
        <f>S2=T2</f>
        <v>1</v>
      </c>
    </row>
    <row r="3" spans="1:21" ht="48" customHeight="1" x14ac:dyDescent="0.2">
      <c r="A3" s="15">
        <v>2024</v>
      </c>
      <c r="B3" s="16">
        <v>300469116</v>
      </c>
      <c r="C3" s="17">
        <v>45358</v>
      </c>
      <c r="D3" s="17">
        <v>45323</v>
      </c>
      <c r="E3" s="17">
        <v>45351</v>
      </c>
      <c r="F3" s="18">
        <v>29</v>
      </c>
      <c r="G3" s="15">
        <v>5</v>
      </c>
      <c r="H3" s="15" t="str">
        <v>F1
F2
F3</v>
      </c>
      <c r="I3" s="19" t="str">
        <v>2
1
2</v>
      </c>
      <c r="J3" s="19" t="str">
        <v>1
2
2</v>
      </c>
      <c r="K3" s="19">
        <v>0</v>
      </c>
      <c r="L3" s="19">
        <v>0</v>
      </c>
      <c r="M3" s="19">
        <v>77.489999999999995</v>
      </c>
      <c r="N3" s="19">
        <v>0.54</v>
      </c>
      <c r="O3" s="19">
        <v>17.18</v>
      </c>
      <c r="P3" s="19">
        <v>0</v>
      </c>
      <c r="Q3" s="19">
        <v>0</v>
      </c>
      <c r="R3" s="15">
        <v>0</v>
      </c>
      <c r="S3" s="15">
        <v>95.27</v>
      </c>
      <c r="T3" s="31">
        <f>'[1]21'!$T$83</f>
        <v>95.27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300469116</v>
      </c>
      <c r="C4" s="17">
        <v>45390</v>
      </c>
      <c r="D4" s="17">
        <v>45352</v>
      </c>
      <c r="E4" s="17">
        <v>45382</v>
      </c>
      <c r="F4" s="18">
        <v>31</v>
      </c>
      <c r="G4" s="15">
        <v>5</v>
      </c>
      <c r="H4" s="15" t="str">
        <v>F1
F2
F3</v>
      </c>
      <c r="I4" s="19" t="str">
        <v>1
2
2</v>
      </c>
      <c r="J4" s="19" t="str">
        <v>3
1
3</v>
      </c>
      <c r="K4" s="19">
        <v>0</v>
      </c>
      <c r="L4" s="19">
        <v>0</v>
      </c>
      <c r="M4" s="19">
        <v>77.489999999999995</v>
      </c>
      <c r="N4" s="19">
        <v>0.53</v>
      </c>
      <c r="O4" s="19">
        <v>17.18</v>
      </c>
      <c r="P4" s="19">
        <v>0</v>
      </c>
      <c r="Q4" s="19">
        <v>0</v>
      </c>
      <c r="R4" s="15">
        <v>0</v>
      </c>
      <c r="S4" s="15">
        <v>95.26</v>
      </c>
      <c r="T4" s="31">
        <f>'[1]21'!$T$86</f>
        <v>95.26</v>
      </c>
      <c r="U4" t="b">
        <f t="shared" si="0"/>
        <v>1</v>
      </c>
    </row>
    <row r="5" spans="1:21" ht="48" customHeight="1" x14ac:dyDescent="0.2">
      <c r="A5" s="15">
        <v>2024</v>
      </c>
      <c r="B5" s="16">
        <v>300469116</v>
      </c>
      <c r="C5" s="17">
        <v>45419</v>
      </c>
      <c r="D5" s="17">
        <v>45383</v>
      </c>
      <c r="E5" s="17">
        <v>45412</v>
      </c>
      <c r="F5" s="18">
        <v>30</v>
      </c>
      <c r="G5" s="15">
        <v>89</v>
      </c>
      <c r="H5" s="15" t="str">
        <v>F1
F2
F3</v>
      </c>
      <c r="I5" s="19" t="str">
        <v>35
20
34</v>
      </c>
      <c r="J5" s="19" t="str">
        <v>9
7
13</v>
      </c>
      <c r="K5" s="19">
        <v>0</v>
      </c>
      <c r="L5" s="19">
        <v>0</v>
      </c>
      <c r="M5" s="19">
        <v>88.2</v>
      </c>
      <c r="N5" s="19">
        <v>10.02</v>
      </c>
      <c r="O5" s="19">
        <v>21.85</v>
      </c>
      <c r="P5" s="19">
        <v>0</v>
      </c>
      <c r="Q5" s="19">
        <v>0</v>
      </c>
      <c r="R5" s="15">
        <v>0</v>
      </c>
      <c r="S5" s="15">
        <v>121.18</v>
      </c>
      <c r="T5" s="31">
        <f>'[1]21'!$T$89</f>
        <v>121.18</v>
      </c>
      <c r="U5" t="b">
        <f t="shared" si="0"/>
        <v>1</v>
      </c>
    </row>
    <row r="6" spans="1:21" ht="48" customHeight="1" x14ac:dyDescent="0.2">
      <c r="A6" s="15">
        <v>2024</v>
      </c>
      <c r="B6" s="16">
        <v>300469116</v>
      </c>
      <c r="C6" s="17">
        <v>45449</v>
      </c>
      <c r="D6" s="17">
        <v>45413</v>
      </c>
      <c r="E6" s="17">
        <v>45417</v>
      </c>
      <c r="F6" s="18">
        <v>5</v>
      </c>
      <c r="G6" s="15">
        <v>137</v>
      </c>
      <c r="H6" s="15" t="str">
        <v>F1
F2
F3</v>
      </c>
      <c r="I6" s="19" t="str">
        <v>42
43
52</v>
      </c>
      <c r="J6" s="19" t="str">
        <v>18
21
21</v>
      </c>
      <c r="K6" s="19">
        <v>0</v>
      </c>
      <c r="L6" s="19">
        <v>0</v>
      </c>
      <c r="M6" s="19">
        <v>91.13</v>
      </c>
      <c r="N6" s="19">
        <v>16.61</v>
      </c>
      <c r="O6" s="19">
        <v>24.08</v>
      </c>
      <c r="P6" s="19">
        <v>0</v>
      </c>
      <c r="Q6" s="19">
        <v>0</v>
      </c>
      <c r="R6" s="15">
        <v>0</v>
      </c>
      <c r="S6" s="15">
        <v>133.54</v>
      </c>
      <c r="T6" s="31">
        <f>'[1]21'!$T$92</f>
        <v>133.54</v>
      </c>
      <c r="U6" t="b">
        <f t="shared" si="0"/>
        <v>1</v>
      </c>
    </row>
    <row r="7" spans="1:21" ht="48" customHeight="1" x14ac:dyDescent="0.2">
      <c r="A7" s="15">
        <v>2024</v>
      </c>
      <c r="B7" s="16">
        <v>300469116</v>
      </c>
      <c r="C7" s="17">
        <v>45478</v>
      </c>
      <c r="D7" s="17">
        <v>45444</v>
      </c>
      <c r="E7" s="17">
        <v>45473</v>
      </c>
      <c r="F7" s="18">
        <v>30</v>
      </c>
      <c r="G7" s="15">
        <v>166</v>
      </c>
      <c r="H7" s="15" t="str">
        <v>F1
F2
F3</v>
      </c>
      <c r="I7" s="19" t="str">
        <v>44
64
58</v>
      </c>
      <c r="J7" s="19" t="str">
        <v>21
32
27</v>
      </c>
      <c r="K7" s="19">
        <v>0</v>
      </c>
      <c r="L7" s="19">
        <v>0</v>
      </c>
      <c r="M7" s="19">
        <v>92.89</v>
      </c>
      <c r="N7" s="19">
        <v>22.52</v>
      </c>
      <c r="O7" s="19">
        <v>25.85</v>
      </c>
      <c r="P7" s="19">
        <v>0</v>
      </c>
      <c r="Q7" s="19">
        <v>0</v>
      </c>
      <c r="R7" s="15">
        <v>0</v>
      </c>
      <c r="S7" s="15">
        <v>143.34</v>
      </c>
      <c r="T7" s="31">
        <f>'[1]21'!$T$95</f>
        <v>143.34</v>
      </c>
      <c r="U7" t="b">
        <f t="shared" si="0"/>
        <v>1</v>
      </c>
    </row>
    <row r="8" spans="1:21" ht="48" customHeight="1" x14ac:dyDescent="0.2">
      <c r="A8" s="15">
        <v>2024</v>
      </c>
      <c r="B8" s="16">
        <v>300469116</v>
      </c>
      <c r="C8" s="17">
        <v>45513</v>
      </c>
      <c r="D8" s="17">
        <v>45474</v>
      </c>
      <c r="E8" s="17">
        <v>45504</v>
      </c>
      <c r="F8" s="18">
        <v>31</v>
      </c>
      <c r="G8" s="15">
        <v>204</v>
      </c>
      <c r="H8" s="15" t="str">
        <v>F1
F2
F3</v>
      </c>
      <c r="I8" s="19" t="str">
        <v>58
92
54</v>
      </c>
      <c r="J8" s="19" t="str">
        <v>37
53
32</v>
      </c>
      <c r="K8" s="19">
        <v>0</v>
      </c>
      <c r="L8" s="19">
        <v>0</v>
      </c>
      <c r="M8" s="19">
        <v>95.22</v>
      </c>
      <c r="N8" s="19">
        <v>32.479999999999997</v>
      </c>
      <c r="O8" s="19">
        <v>28.66</v>
      </c>
      <c r="P8" s="19">
        <v>0</v>
      </c>
      <c r="Q8" s="19">
        <v>0</v>
      </c>
      <c r="R8" s="15">
        <v>0</v>
      </c>
      <c r="S8" s="15">
        <v>158.91</v>
      </c>
      <c r="T8" s="31">
        <f>'[1]21'!$T$98</f>
        <v>158.91</v>
      </c>
      <c r="U8" t="b">
        <f t="shared" si="0"/>
        <v>1</v>
      </c>
    </row>
    <row r="9" spans="1:21" ht="48" customHeight="1" x14ac:dyDescent="0.2">
      <c r="A9" s="15">
        <v>2024</v>
      </c>
      <c r="B9" s="16">
        <v>300469116</v>
      </c>
      <c r="C9" s="17">
        <v>45541</v>
      </c>
      <c r="D9" s="17">
        <v>45505</v>
      </c>
      <c r="E9" s="17">
        <v>45535</v>
      </c>
      <c r="F9" s="18">
        <v>31</v>
      </c>
      <c r="G9" s="15">
        <v>745</v>
      </c>
      <c r="H9" s="15" t="str">
        <v>F1
F2
F3</v>
      </c>
      <c r="I9" s="19" t="str">
        <v>201
323
221</v>
      </c>
      <c r="J9" s="19" t="str">
        <v>113
191
117</v>
      </c>
      <c r="K9" s="19">
        <v>0</v>
      </c>
      <c r="L9" s="19">
        <v>0</v>
      </c>
      <c r="M9" s="19">
        <v>97.3</v>
      </c>
      <c r="N9" s="19">
        <v>39.54</v>
      </c>
      <c r="O9" s="19">
        <v>30.8</v>
      </c>
      <c r="P9" s="19">
        <v>0</v>
      </c>
      <c r="Q9" s="19">
        <v>0</v>
      </c>
      <c r="R9" s="15">
        <v>0</v>
      </c>
      <c r="S9" s="15">
        <v>170.78</v>
      </c>
      <c r="T9" s="31">
        <f>'[1]21'!$T$101</f>
        <v>170.78</v>
      </c>
      <c r="U9" t="b">
        <f t="shared" si="0"/>
        <v>1</v>
      </c>
    </row>
    <row r="10" spans="1:21" ht="48" customHeight="1" x14ac:dyDescent="0.2">
      <c r="A10" s="15">
        <v>2024</v>
      </c>
      <c r="B10" s="16">
        <v>300469116</v>
      </c>
      <c r="C10" s="17">
        <v>45571</v>
      </c>
      <c r="D10" s="17">
        <v>45536</v>
      </c>
      <c r="E10" s="17">
        <v>45565</v>
      </c>
      <c r="F10" s="18">
        <v>30</v>
      </c>
      <c r="G10" s="15">
        <v>159</v>
      </c>
      <c r="H10" s="15" t="str">
        <v>F1
F2
F3</v>
      </c>
      <c r="I10" s="19" t="str">
        <v>48
56
55</v>
      </c>
      <c r="J10" s="19" t="str">
        <v>24
29
25</v>
      </c>
      <c r="K10" s="19">
        <v>0</v>
      </c>
      <c r="L10" s="19">
        <v>0</v>
      </c>
      <c r="M10" s="19">
        <v>92.47</v>
      </c>
      <c r="N10" s="19">
        <v>23.66</v>
      </c>
      <c r="O10" s="19">
        <v>25.99</v>
      </c>
      <c r="P10" s="19">
        <v>0</v>
      </c>
      <c r="Q10" s="19">
        <v>0</v>
      </c>
      <c r="R10" s="15">
        <v>0</v>
      </c>
      <c r="S10" s="15">
        <v>144.11000000000001</v>
      </c>
      <c r="T10" s="31">
        <f>'[1]21'!$T$104</f>
        <v>144.11000000000001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300469116</v>
      </c>
      <c r="C11" s="17">
        <v>45604</v>
      </c>
      <c r="D11" s="17">
        <v>45566</v>
      </c>
      <c r="E11" s="17">
        <v>45596</v>
      </c>
      <c r="F11" s="18">
        <v>31</v>
      </c>
      <c r="G11" s="15">
        <v>214</v>
      </c>
      <c r="H11" s="15" t="str">
        <v>F1
F2
F3</v>
      </c>
      <c r="I11" s="19" t="str">
        <v>82
68
64</v>
      </c>
      <c r="J11" s="19" t="str">
        <v>36
30
20</v>
      </c>
      <c r="K11" s="19">
        <v>0</v>
      </c>
      <c r="L11" s="19">
        <v>0</v>
      </c>
      <c r="M11" s="19">
        <v>95.82</v>
      </c>
      <c r="N11" s="19">
        <v>31.92</v>
      </c>
      <c r="O11" s="19">
        <v>28.69</v>
      </c>
      <c r="P11" s="19">
        <v>0</v>
      </c>
      <c r="Q11" s="19">
        <v>0</v>
      </c>
      <c r="R11" s="15">
        <v>0</v>
      </c>
      <c r="S11" s="15">
        <v>159.11000000000001</v>
      </c>
      <c r="T11" s="31">
        <f>'[1]21'!$T$107</f>
        <v>159.11000000000001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300469116</v>
      </c>
      <c r="C12" s="17">
        <v>45632</v>
      </c>
      <c r="D12" s="17">
        <v>45597</v>
      </c>
      <c r="E12" s="17">
        <v>45626</v>
      </c>
      <c r="F12" s="18">
        <v>30</v>
      </c>
      <c r="G12" s="15">
        <v>138</v>
      </c>
      <c r="H12" s="15" t="str">
        <v>F1
F2
F3</v>
      </c>
      <c r="I12" s="19" t="str">
        <v>49
37
52</v>
      </c>
      <c r="J12" s="19" t="str">
        <v>19
9
15</v>
      </c>
      <c r="K12" s="19">
        <v>0</v>
      </c>
      <c r="L12" s="19">
        <v>0</v>
      </c>
      <c r="M12" s="19">
        <v>91.18</v>
      </c>
      <c r="N12" s="19">
        <v>22.71</v>
      </c>
      <c r="O12" s="19">
        <v>25.44</v>
      </c>
      <c r="P12" s="19">
        <v>0</v>
      </c>
      <c r="Q12" s="19">
        <v>0</v>
      </c>
      <c r="R12" s="15">
        <v>0</v>
      </c>
      <c r="S12" s="15">
        <v>141.06</v>
      </c>
      <c r="T12" s="31">
        <f>'[1]21'!$T$110</f>
        <v>141.06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300469116</v>
      </c>
      <c r="C13" s="17">
        <v>45665</v>
      </c>
      <c r="D13" s="17">
        <v>45627</v>
      </c>
      <c r="E13" s="17">
        <v>45657</v>
      </c>
      <c r="F13" s="18">
        <v>31</v>
      </c>
      <c r="G13" s="15">
        <v>4</v>
      </c>
      <c r="H13" s="15" t="str">
        <v>F1
F2
F3</v>
      </c>
      <c r="I13" s="19" t="str">
        <v>1
1
2</v>
      </c>
      <c r="J13" s="19" t="str">
        <v>1
1
3</v>
      </c>
      <c r="K13" s="19">
        <v>0</v>
      </c>
      <c r="L13" s="19">
        <v>0</v>
      </c>
      <c r="M13" s="19">
        <v>83</v>
      </c>
      <c r="N13" s="19">
        <v>0.62</v>
      </c>
      <c r="O13" s="19">
        <v>18.41</v>
      </c>
      <c r="P13" s="19">
        <v>0</v>
      </c>
      <c r="Q13" s="19">
        <v>0</v>
      </c>
      <c r="R13" s="15">
        <v>0</v>
      </c>
      <c r="S13" s="15">
        <v>102.08</v>
      </c>
      <c r="T13" s="31">
        <f>'[1]21'!$T$113</f>
        <v>102.08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8" priority="1" operator="notEqual">
      <formula>TRUE</formula>
    </cfRule>
  </conditionalFormatting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C2337-B378-B14C-A5CC-D52F82EF9FFE}">
  <dimension ref="A1:X13"/>
  <sheetViews>
    <sheetView workbookViewId="0">
      <selection activeCell="S9" sqref="S9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4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4" ht="48" customHeight="1" x14ac:dyDescent="0.2">
      <c r="A2" s="15" cm="1">
        <f t="array" ref="A2:S13">_xlfn._xlws.FILTER(Calcolo!V:AN,Calcolo!A:A=Fabbricati!E23)</f>
        <v>2024</v>
      </c>
      <c r="B2" s="16">
        <v>382917065</v>
      </c>
      <c r="C2" s="17">
        <v>45350</v>
      </c>
      <c r="D2" s="17">
        <v>45292</v>
      </c>
      <c r="E2" s="17">
        <v>45322</v>
      </c>
      <c r="F2" s="18">
        <v>31</v>
      </c>
      <c r="G2" s="15">
        <v>2368</v>
      </c>
      <c r="H2" s="15" t="str">
        <v>F1
F2
F3</v>
      </c>
      <c r="I2" s="19" t="str">
        <v>1255
444
669</v>
      </c>
      <c r="J2" s="19" t="str">
        <v>4
4
7</v>
      </c>
      <c r="K2" s="19">
        <v>0</v>
      </c>
      <c r="L2" s="19">
        <v>0</v>
      </c>
      <c r="M2" s="19">
        <v>223.32999999999998</v>
      </c>
      <c r="N2" s="19">
        <v>378.33</v>
      </c>
      <c r="O2" s="19">
        <v>29.6</v>
      </c>
      <c r="P2" s="19">
        <v>0</v>
      </c>
      <c r="Q2" s="19">
        <v>0</v>
      </c>
      <c r="R2" s="15">
        <v>11.84</v>
      </c>
      <c r="S2" s="15">
        <v>784.58</v>
      </c>
      <c r="T2" s="31">
        <f>'[1]22'!$T$80</f>
        <v>784.58</v>
      </c>
      <c r="U2" t="b">
        <f>S2=T2</f>
        <v>1</v>
      </c>
    </row>
    <row r="3" spans="1:24" ht="48" customHeight="1" x14ac:dyDescent="0.2">
      <c r="A3" s="15">
        <v>2024</v>
      </c>
      <c r="B3" s="16">
        <v>382917065</v>
      </c>
      <c r="C3" s="17">
        <v>45358</v>
      </c>
      <c r="D3" s="17">
        <v>45323</v>
      </c>
      <c r="E3" s="17">
        <v>45351</v>
      </c>
      <c r="F3" s="18">
        <v>29</v>
      </c>
      <c r="G3" s="15">
        <v>2331</v>
      </c>
      <c r="H3" s="15" t="str">
        <v>F1
F2
F3</v>
      </c>
      <c r="I3" s="19" t="str">
        <v>1211
477
643</v>
      </c>
      <c r="J3" s="19" t="str">
        <v>1
0
0</v>
      </c>
      <c r="K3" s="19">
        <v>0</v>
      </c>
      <c r="L3" s="19">
        <v>0</v>
      </c>
      <c r="M3" s="19">
        <v>221.36</v>
      </c>
      <c r="N3" s="19">
        <v>284.93</v>
      </c>
      <c r="O3" s="19">
        <v>117.79</v>
      </c>
      <c r="P3" s="19">
        <v>0</v>
      </c>
      <c r="Q3" s="19">
        <v>0</v>
      </c>
      <c r="R3" s="15">
        <v>0</v>
      </c>
      <c r="S3" s="15">
        <v>653.22</v>
      </c>
      <c r="T3" s="31">
        <f>'[1]22'!$T$83</f>
        <v>653.22</v>
      </c>
      <c r="U3" t="b">
        <f t="shared" ref="U3:U13" si="0">S3=T3</f>
        <v>1</v>
      </c>
    </row>
    <row r="4" spans="1:24" ht="48" customHeight="1" x14ac:dyDescent="0.2">
      <c r="A4" s="15">
        <v>2024</v>
      </c>
      <c r="B4" s="16">
        <v>382917065</v>
      </c>
      <c r="C4" s="17">
        <v>45394</v>
      </c>
      <c r="D4" s="17">
        <v>45352</v>
      </c>
      <c r="E4" s="17">
        <v>45382</v>
      </c>
      <c r="F4" s="18">
        <v>31</v>
      </c>
      <c r="G4" s="15">
        <v>2254</v>
      </c>
      <c r="H4" s="15" t="str">
        <v>F1
F2
F3</v>
      </c>
      <c r="I4" s="19" t="str">
        <v>1206
419
629</v>
      </c>
      <c r="J4" s="19" t="str">
        <v>0
0
0</v>
      </c>
      <c r="K4" s="19">
        <v>0</v>
      </c>
      <c r="L4" s="19">
        <v>0</v>
      </c>
      <c r="M4" s="19">
        <v>217.20999999999998</v>
      </c>
      <c r="N4" s="19">
        <v>266.67</v>
      </c>
      <c r="O4" s="19">
        <v>112.65</v>
      </c>
      <c r="P4" s="19">
        <v>0</v>
      </c>
      <c r="Q4" s="19">
        <v>0</v>
      </c>
      <c r="R4" s="15">
        <v>0</v>
      </c>
      <c r="S4" s="15">
        <v>624.71</v>
      </c>
      <c r="T4" s="31">
        <f>'[1]22'!$T$86</f>
        <v>624.71</v>
      </c>
      <c r="U4" t="b">
        <f t="shared" si="0"/>
        <v>1</v>
      </c>
    </row>
    <row r="5" spans="1:24" ht="48" customHeight="1" x14ac:dyDescent="0.2">
      <c r="A5" s="15">
        <v>2024</v>
      </c>
      <c r="B5" s="16">
        <v>382917065</v>
      </c>
      <c r="C5" s="17">
        <v>45419</v>
      </c>
      <c r="D5" s="17">
        <v>45383</v>
      </c>
      <c r="E5" s="17">
        <v>45412</v>
      </c>
      <c r="F5" s="18">
        <v>30</v>
      </c>
      <c r="G5" s="15">
        <v>1788</v>
      </c>
      <c r="H5" s="15" t="str">
        <v>F1
F2
F3</v>
      </c>
      <c r="I5" s="19" t="str">
        <v>1022
283
483</v>
      </c>
      <c r="J5" s="19" t="str">
        <v>0
0
0</v>
      </c>
      <c r="K5" s="19">
        <v>0</v>
      </c>
      <c r="L5" s="19">
        <v>0</v>
      </c>
      <c r="M5" s="19">
        <v>211.10000000000002</v>
      </c>
      <c r="N5" s="19">
        <v>200.15</v>
      </c>
      <c r="O5" s="19">
        <v>95.39</v>
      </c>
      <c r="P5" s="19">
        <v>0</v>
      </c>
      <c r="Q5" s="19">
        <v>0</v>
      </c>
      <c r="R5" s="15">
        <v>0</v>
      </c>
      <c r="S5" s="15">
        <v>528.99</v>
      </c>
      <c r="T5" s="31">
        <f>'[1]22'!$T$89</f>
        <v>528.99</v>
      </c>
      <c r="U5" t="b">
        <f t="shared" si="0"/>
        <v>1</v>
      </c>
    </row>
    <row r="6" spans="1:24" ht="48" customHeight="1" x14ac:dyDescent="0.2">
      <c r="A6" s="15">
        <v>2024</v>
      </c>
      <c r="B6" s="16">
        <v>382917065</v>
      </c>
      <c r="C6" s="17">
        <v>45449</v>
      </c>
      <c r="D6" s="17">
        <v>45413</v>
      </c>
      <c r="E6" s="17">
        <v>45417</v>
      </c>
      <c r="F6" s="18">
        <v>5</v>
      </c>
      <c r="G6" s="15">
        <v>1706</v>
      </c>
      <c r="H6" s="15" t="str">
        <v>F1
F2
F3</v>
      </c>
      <c r="I6" s="19" t="str">
        <v>1153
223
330</v>
      </c>
      <c r="J6" s="19" t="str">
        <v>0
2
0</v>
      </c>
      <c r="K6" s="19">
        <v>0</v>
      </c>
      <c r="L6" s="19">
        <v>0</v>
      </c>
      <c r="M6" s="19">
        <v>206.17000000000002</v>
      </c>
      <c r="N6" s="19">
        <v>204.67</v>
      </c>
      <c r="O6" s="19">
        <v>95.08</v>
      </c>
      <c r="P6" s="19">
        <v>0</v>
      </c>
      <c r="Q6" s="19">
        <v>0</v>
      </c>
      <c r="R6" s="15">
        <v>0</v>
      </c>
      <c r="S6" s="15">
        <v>527.25</v>
      </c>
      <c r="T6" s="31">
        <f>'[1]22'!$T$92</f>
        <v>527.25</v>
      </c>
      <c r="U6" t="b">
        <f t="shared" si="0"/>
        <v>1</v>
      </c>
    </row>
    <row r="7" spans="1:24" ht="48" customHeight="1" x14ac:dyDescent="0.2">
      <c r="A7" s="15">
        <v>2024</v>
      </c>
      <c r="B7" s="16">
        <v>382917065</v>
      </c>
      <c r="C7" s="17">
        <v>45478</v>
      </c>
      <c r="D7" s="17">
        <v>45444</v>
      </c>
      <c r="E7" s="17">
        <v>45473</v>
      </c>
      <c r="F7" s="18">
        <v>30</v>
      </c>
      <c r="G7" s="15">
        <v>1197</v>
      </c>
      <c r="H7" s="15" t="str">
        <v>F1
F2
F3</v>
      </c>
      <c r="I7" s="19" t="str">
        <v>610
206
381</v>
      </c>
      <c r="J7" s="19" t="str">
        <v>0
0
0</v>
      </c>
      <c r="K7" s="19">
        <v>0</v>
      </c>
      <c r="L7" s="19">
        <v>0</v>
      </c>
      <c r="M7" s="19">
        <v>175.43</v>
      </c>
      <c r="N7" s="19">
        <v>159.83000000000001</v>
      </c>
      <c r="O7" s="19">
        <v>77.05</v>
      </c>
      <c r="P7" s="19">
        <v>0</v>
      </c>
      <c r="Q7" s="19">
        <v>0</v>
      </c>
      <c r="R7" s="15">
        <v>0</v>
      </c>
      <c r="S7" s="15">
        <v>427.27</v>
      </c>
      <c r="T7" s="31">
        <f>'[1]22'!$T$95</f>
        <v>444.93</v>
      </c>
      <c r="U7" t="b">
        <f t="shared" si="0"/>
        <v>0</v>
      </c>
    </row>
    <row r="8" spans="1:24" ht="48" customHeight="1" x14ac:dyDescent="0.2">
      <c r="A8" s="15">
        <v>2024</v>
      </c>
      <c r="B8" s="16">
        <v>382917065</v>
      </c>
      <c r="C8" s="17">
        <v>45511</v>
      </c>
      <c r="D8" s="17">
        <v>45474</v>
      </c>
      <c r="E8" s="17">
        <v>45504</v>
      </c>
      <c r="F8" s="18">
        <v>31</v>
      </c>
      <c r="G8" s="15">
        <v>690</v>
      </c>
      <c r="H8" s="15" t="str">
        <v>F1
F2
F3</v>
      </c>
      <c r="I8" s="19" t="str">
        <v>235
142
313</v>
      </c>
      <c r="J8" s="19" t="str">
        <v>0
0
0</v>
      </c>
      <c r="K8" s="19">
        <v>0</v>
      </c>
      <c r="L8" s="19">
        <v>0</v>
      </c>
      <c r="M8" s="19">
        <v>150.99</v>
      </c>
      <c r="N8" s="19">
        <v>105.42</v>
      </c>
      <c r="O8" s="19">
        <v>58.31</v>
      </c>
      <c r="P8" s="19">
        <v>0</v>
      </c>
      <c r="Q8" s="19">
        <v>0</v>
      </c>
      <c r="R8" s="15">
        <v>0</v>
      </c>
      <c r="S8" s="15">
        <v>323.35000000000002</v>
      </c>
      <c r="T8" s="31">
        <f>'[1]22'!$T$98</f>
        <v>323.35000000000002</v>
      </c>
      <c r="U8" t="b">
        <f t="shared" si="0"/>
        <v>1</v>
      </c>
      <c r="X8" t="s">
        <v>922</v>
      </c>
    </row>
    <row r="9" spans="1:24" ht="48" customHeight="1" x14ac:dyDescent="0.2">
      <c r="A9" s="15">
        <v>2024</v>
      </c>
      <c r="B9" s="16">
        <v>382917065</v>
      </c>
      <c r="C9" s="17">
        <v>45541</v>
      </c>
      <c r="D9" s="17">
        <v>45505</v>
      </c>
      <c r="E9" s="17">
        <v>45535</v>
      </c>
      <c r="F9" s="18">
        <v>31</v>
      </c>
      <c r="G9" s="15">
        <v>651</v>
      </c>
      <c r="H9" s="15" t="str">
        <v>F1
F2
F3</v>
      </c>
      <c r="I9" s="19" t="str">
        <v>168
150
333</v>
      </c>
      <c r="J9" s="19" t="str">
        <v>0
0
0</v>
      </c>
      <c r="K9" s="19">
        <v>0</v>
      </c>
      <c r="L9" s="19">
        <v>0</v>
      </c>
      <c r="M9" s="19">
        <v>148.99</v>
      </c>
      <c r="N9" s="19">
        <v>102.71</v>
      </c>
      <c r="O9" s="19">
        <v>57.16</v>
      </c>
      <c r="P9" s="19">
        <v>0</v>
      </c>
      <c r="Q9" s="19">
        <v>0</v>
      </c>
      <c r="R9" s="15">
        <v>0</v>
      </c>
      <c r="S9" s="15">
        <v>317</v>
      </c>
      <c r="T9" s="31">
        <f>'[1]22'!$T$101</f>
        <v>317</v>
      </c>
      <c r="U9" t="b">
        <f t="shared" si="0"/>
        <v>1</v>
      </c>
    </row>
    <row r="10" spans="1:24" ht="48" customHeight="1" x14ac:dyDescent="0.2">
      <c r="A10" s="15">
        <v>2024</v>
      </c>
      <c r="B10" s="16">
        <v>382917065</v>
      </c>
      <c r="C10" s="17">
        <v>45571</v>
      </c>
      <c r="D10" s="17">
        <v>45536</v>
      </c>
      <c r="E10" s="17">
        <v>45565</v>
      </c>
      <c r="F10" s="18">
        <v>30</v>
      </c>
      <c r="G10" s="15">
        <v>1449</v>
      </c>
      <c r="H10" s="15" t="str">
        <v>F1
F2
F3</v>
      </c>
      <c r="I10" s="19" t="str">
        <v>850
228
371</v>
      </c>
      <c r="J10" s="19" t="str">
        <v>0
0
0</v>
      </c>
      <c r="K10" s="19">
        <v>0</v>
      </c>
      <c r="L10" s="19">
        <v>0</v>
      </c>
      <c r="M10" s="19">
        <v>197.49</v>
      </c>
      <c r="N10" s="19">
        <v>213.98</v>
      </c>
      <c r="O10" s="19">
        <v>94.51</v>
      </c>
      <c r="P10" s="19">
        <v>0</v>
      </c>
      <c r="Q10" s="19">
        <v>0</v>
      </c>
      <c r="R10" s="15">
        <v>0</v>
      </c>
      <c r="S10" s="15">
        <v>524.09</v>
      </c>
      <c r="T10" s="31">
        <f>'[1]22'!$T$104</f>
        <v>524.09</v>
      </c>
      <c r="U10" t="b">
        <f t="shared" si="0"/>
        <v>1</v>
      </c>
    </row>
    <row r="11" spans="1:24" ht="48" customHeight="1" x14ac:dyDescent="0.2">
      <c r="A11" s="15">
        <v>2024</v>
      </c>
      <c r="B11" s="16">
        <v>382917065</v>
      </c>
      <c r="C11" s="17">
        <v>45604</v>
      </c>
      <c r="D11" s="17">
        <v>45566</v>
      </c>
      <c r="E11" s="17">
        <v>45596</v>
      </c>
      <c r="F11" s="18">
        <v>31</v>
      </c>
      <c r="G11" s="15">
        <v>2270</v>
      </c>
      <c r="H11" s="15" t="str">
        <v>F1
F2
F3</v>
      </c>
      <c r="I11" s="19" t="str">
        <v>1475
338
457</v>
      </c>
      <c r="J11" s="19" t="str">
        <v>0
1
0</v>
      </c>
      <c r="K11" s="19">
        <v>0</v>
      </c>
      <c r="L11" s="19">
        <v>0</v>
      </c>
      <c r="M11" s="19">
        <v>244.54</v>
      </c>
      <c r="N11" s="19">
        <v>342.63</v>
      </c>
      <c r="O11" s="19">
        <v>135.41999999999999</v>
      </c>
      <c r="P11" s="19">
        <v>0</v>
      </c>
      <c r="Q11" s="19">
        <v>0</v>
      </c>
      <c r="R11" s="15">
        <v>0</v>
      </c>
      <c r="S11" s="15">
        <v>750.97</v>
      </c>
      <c r="T11" s="31">
        <f>'[1]22'!$T$107</f>
        <v>750.97</v>
      </c>
      <c r="U11" t="b">
        <f t="shared" si="0"/>
        <v>1</v>
      </c>
    </row>
    <row r="12" spans="1:24" ht="48" customHeight="1" x14ac:dyDescent="0.2">
      <c r="A12" s="15">
        <v>2024</v>
      </c>
      <c r="B12" s="16">
        <v>382917065</v>
      </c>
      <c r="C12" s="17">
        <v>45632</v>
      </c>
      <c r="D12" s="17">
        <v>45597</v>
      </c>
      <c r="E12" s="17">
        <v>45626</v>
      </c>
      <c r="F12" s="18">
        <v>30</v>
      </c>
      <c r="G12" s="15">
        <v>1940</v>
      </c>
      <c r="H12" s="15" t="str">
        <v>F1
F2
F3</v>
      </c>
      <c r="I12" s="19" t="str">
        <v>1144
308
488</v>
      </c>
      <c r="J12" s="19" t="str">
        <v>3
2
1</v>
      </c>
      <c r="K12" s="19">
        <v>0</v>
      </c>
      <c r="L12" s="19">
        <v>0</v>
      </c>
      <c r="M12" s="19">
        <v>224.01999999999998</v>
      </c>
      <c r="N12" s="19">
        <v>328.25</v>
      </c>
      <c r="O12" s="19">
        <v>126.83</v>
      </c>
      <c r="P12" s="19">
        <v>0</v>
      </c>
      <c r="Q12" s="19">
        <v>0</v>
      </c>
      <c r="R12" s="15">
        <v>0</v>
      </c>
      <c r="S12" s="15">
        <v>703.35</v>
      </c>
      <c r="T12" s="31">
        <f>'[1]22'!$T$110</f>
        <v>703.35</v>
      </c>
      <c r="U12" t="b">
        <f t="shared" si="0"/>
        <v>1</v>
      </c>
    </row>
    <row r="13" spans="1:24" ht="48" customHeight="1" x14ac:dyDescent="0.2">
      <c r="A13" s="15">
        <v>2024</v>
      </c>
      <c r="B13" s="16">
        <v>382917065</v>
      </c>
      <c r="C13" s="17">
        <v>45665</v>
      </c>
      <c r="D13" s="17">
        <v>45627</v>
      </c>
      <c r="E13" s="17">
        <v>45657</v>
      </c>
      <c r="F13" s="18">
        <v>31</v>
      </c>
      <c r="G13" s="15">
        <v>1986</v>
      </c>
      <c r="H13" s="15" t="str">
        <v>F1
F2
F3</v>
      </c>
      <c r="I13" s="19" t="str">
        <v>1145
327
514</v>
      </c>
      <c r="J13" s="19" t="str">
        <v>0
0
0</v>
      </c>
      <c r="K13" s="19">
        <v>0</v>
      </c>
      <c r="L13" s="19">
        <v>0</v>
      </c>
      <c r="M13" s="19">
        <v>228.12</v>
      </c>
      <c r="N13" s="19">
        <v>364.27</v>
      </c>
      <c r="O13" s="19">
        <v>135.79</v>
      </c>
      <c r="P13" s="19">
        <v>0</v>
      </c>
      <c r="Q13" s="19">
        <v>0</v>
      </c>
      <c r="R13" s="15">
        <v>0</v>
      </c>
      <c r="S13" s="15">
        <v>753.01</v>
      </c>
      <c r="T13" s="31">
        <f>'[1]22'!$T$113</f>
        <v>753.01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7" priority="1" operator="notEqual">
      <formula>TRUE</formula>
    </cfRule>
  </conditionalFormatting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7424B-DDD9-E14B-B2C3-FC6E50E3E8CA}">
  <dimension ref="A1:W13"/>
  <sheetViews>
    <sheetView workbookViewId="0">
      <selection activeCell="T4" sqref="T4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3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3" ht="48" customHeight="1" x14ac:dyDescent="0.2">
      <c r="A2" s="15" cm="1">
        <f t="array" ref="A2:S13">_xlfn._xlws.FILTER(Calcolo!V:AN,Calcolo!A:A=Fabbricati!E24)</f>
        <v>2024</v>
      </c>
      <c r="B2" s="16">
        <v>382917332</v>
      </c>
      <c r="C2" s="17">
        <v>45365</v>
      </c>
      <c r="D2" s="17">
        <v>45292</v>
      </c>
      <c r="E2" s="17">
        <v>45322</v>
      </c>
      <c r="F2" s="18">
        <v>31</v>
      </c>
      <c r="G2" s="15">
        <v>3622</v>
      </c>
      <c r="H2" s="15" t="str">
        <v>F1
F2
F3</v>
      </c>
      <c r="I2" s="19" t="str">
        <v>1553
1044
1025</v>
      </c>
      <c r="J2" s="19" t="str">
        <v>733
326
468</v>
      </c>
      <c r="K2" s="19">
        <v>0</v>
      </c>
      <c r="L2" s="19">
        <v>0</v>
      </c>
      <c r="M2" s="19">
        <v>520.84</v>
      </c>
      <c r="N2" s="19">
        <v>576.78</v>
      </c>
      <c r="O2" s="19">
        <v>45.28</v>
      </c>
      <c r="P2" s="19">
        <v>0</v>
      </c>
      <c r="Q2" s="19">
        <v>0</v>
      </c>
      <c r="R2" s="15">
        <v>18.11</v>
      </c>
      <c r="S2" s="15">
        <v>1416.43</v>
      </c>
      <c r="T2" s="31">
        <f>'[1]23'!$T$80</f>
        <v>1416.43</v>
      </c>
      <c r="U2" t="b">
        <f t="shared" ref="U2:U13" si="0">S2=T2</f>
        <v>1</v>
      </c>
    </row>
    <row r="3" spans="1:23" ht="48" customHeight="1" x14ac:dyDescent="0.2">
      <c r="A3" s="15">
        <v>2024</v>
      </c>
      <c r="B3" s="16">
        <v>382917332</v>
      </c>
      <c r="C3" s="17">
        <v>45360</v>
      </c>
      <c r="D3" s="17">
        <v>45323</v>
      </c>
      <c r="E3" s="17">
        <v>45351</v>
      </c>
      <c r="F3" s="18">
        <v>29</v>
      </c>
      <c r="G3" s="15">
        <v>2977</v>
      </c>
      <c r="H3" s="15" t="str">
        <v>F1
F2
F3</v>
      </c>
      <c r="I3" s="19" t="str">
        <v>1181
1036
760</v>
      </c>
      <c r="J3" s="19" t="str">
        <v>488
256
317</v>
      </c>
      <c r="K3" s="19">
        <v>0</v>
      </c>
      <c r="L3" s="19">
        <v>0</v>
      </c>
      <c r="M3" s="19">
        <v>480.51</v>
      </c>
      <c r="N3" s="19">
        <v>363.33</v>
      </c>
      <c r="O3" s="19">
        <v>193.83</v>
      </c>
      <c r="P3" s="19">
        <v>0</v>
      </c>
      <c r="Q3" s="19">
        <v>0</v>
      </c>
      <c r="R3" s="15">
        <v>0</v>
      </c>
      <c r="S3" s="15">
        <v>1074.8800000000001</v>
      </c>
      <c r="T3" s="31">
        <f>'[1]23'!$T$83</f>
        <v>1074.8800000000001</v>
      </c>
      <c r="U3" t="b">
        <f t="shared" si="0"/>
        <v>1</v>
      </c>
    </row>
    <row r="4" spans="1:23" ht="48" customHeight="1" x14ac:dyDescent="0.2">
      <c r="A4" s="15">
        <v>2024</v>
      </c>
      <c r="B4" s="16">
        <v>382917332</v>
      </c>
      <c r="C4" s="17">
        <v>45390</v>
      </c>
      <c r="D4" s="17">
        <v>45352</v>
      </c>
      <c r="E4" s="17">
        <v>45382</v>
      </c>
      <c r="F4" s="18">
        <v>31</v>
      </c>
      <c r="G4" s="15">
        <v>2881</v>
      </c>
      <c r="H4" s="15" t="str">
        <v>F1
F2
F3</v>
      </c>
      <c r="I4" s="19" t="str">
        <v>944
1187
750</v>
      </c>
      <c r="J4" s="19" t="str">
        <v>357
239
287</v>
      </c>
      <c r="K4" s="19">
        <v>0</v>
      </c>
      <c r="L4" s="19">
        <v>0</v>
      </c>
      <c r="M4" s="19">
        <v>488.26</v>
      </c>
      <c r="N4" s="19">
        <v>340.22</v>
      </c>
      <c r="O4" s="19">
        <v>190.19</v>
      </c>
      <c r="P4" s="19">
        <v>0</v>
      </c>
      <c r="Q4" s="19">
        <v>0</v>
      </c>
      <c r="R4" s="15">
        <v>0</v>
      </c>
      <c r="S4" s="15">
        <v>1054.68</v>
      </c>
      <c r="T4" s="31">
        <f>'[1]23'!$T$86</f>
        <v>1054.68</v>
      </c>
      <c r="U4" t="b">
        <f t="shared" si="0"/>
        <v>1</v>
      </c>
    </row>
    <row r="5" spans="1:23" ht="48" customHeight="1" x14ac:dyDescent="0.2">
      <c r="A5" s="15">
        <v>2024</v>
      </c>
      <c r="B5" s="16">
        <v>382917332</v>
      </c>
      <c r="C5" s="17">
        <v>45419</v>
      </c>
      <c r="D5" s="17">
        <v>45383</v>
      </c>
      <c r="E5" s="17">
        <v>45412</v>
      </c>
      <c r="F5" s="18">
        <v>30</v>
      </c>
      <c r="G5" s="15">
        <v>1861</v>
      </c>
      <c r="H5" s="15" t="str">
        <v>F1
F2
F3</v>
      </c>
      <c r="I5" s="19" t="str">
        <v>619
638
604</v>
      </c>
      <c r="J5" s="19" t="str">
        <v>77
61
108</v>
      </c>
      <c r="K5" s="19">
        <v>0</v>
      </c>
      <c r="L5" s="19">
        <v>0</v>
      </c>
      <c r="M5" s="19">
        <v>468.99</v>
      </c>
      <c r="N5" s="19">
        <v>213.76</v>
      </c>
      <c r="O5" s="19">
        <v>155.32</v>
      </c>
      <c r="P5" s="19">
        <v>0</v>
      </c>
      <c r="Q5" s="19">
        <v>0</v>
      </c>
      <c r="R5" s="15">
        <v>0</v>
      </c>
      <c r="S5" s="15">
        <v>861.33</v>
      </c>
      <c r="T5" s="31">
        <f>'[1]23'!$T$89</f>
        <v>861.33</v>
      </c>
      <c r="U5" t="b">
        <f t="shared" si="0"/>
        <v>1</v>
      </c>
    </row>
    <row r="6" spans="1:23" ht="48" customHeight="1" x14ac:dyDescent="0.2">
      <c r="A6" s="15">
        <v>2024</v>
      </c>
      <c r="B6" s="16">
        <v>382917332</v>
      </c>
      <c r="C6" s="17">
        <v>45449</v>
      </c>
      <c r="D6" s="17">
        <v>45413</v>
      </c>
      <c r="E6" s="17">
        <v>45443</v>
      </c>
      <c r="F6" s="18">
        <v>31</v>
      </c>
      <c r="G6" s="15">
        <v>2127</v>
      </c>
      <c r="H6" s="15" t="str">
        <v>F1
F2
F3</v>
      </c>
      <c r="I6" s="19" t="str">
        <v>725
875
527</v>
      </c>
      <c r="J6" s="19" t="str">
        <v>28
66
27</v>
      </c>
      <c r="K6" s="19">
        <v>0</v>
      </c>
      <c r="L6" s="19">
        <v>0</v>
      </c>
      <c r="M6" s="19">
        <v>462.52</v>
      </c>
      <c r="N6" s="19">
        <v>268.25</v>
      </c>
      <c r="O6" s="19">
        <v>166.62</v>
      </c>
      <c r="P6" s="19">
        <v>0</v>
      </c>
      <c r="Q6" s="19">
        <v>0</v>
      </c>
      <c r="R6" s="15">
        <v>0</v>
      </c>
      <c r="S6" s="15">
        <v>923.98</v>
      </c>
      <c r="T6" s="31">
        <f>'[1]23'!$T$92</f>
        <v>923.98</v>
      </c>
      <c r="U6" t="b">
        <f t="shared" si="0"/>
        <v>1</v>
      </c>
    </row>
    <row r="7" spans="1:23" ht="48" customHeight="1" x14ac:dyDescent="0.2">
      <c r="A7" s="15">
        <v>2024</v>
      </c>
      <c r="B7" s="16">
        <v>382917332</v>
      </c>
      <c r="C7" s="17">
        <v>45483</v>
      </c>
      <c r="D7" s="17">
        <v>45444</v>
      </c>
      <c r="E7" s="17">
        <v>45473</v>
      </c>
      <c r="F7" s="18">
        <v>30</v>
      </c>
      <c r="G7" s="15">
        <v>2075</v>
      </c>
      <c r="H7" s="15" t="str">
        <v>F1
F2
F3</v>
      </c>
      <c r="I7" s="19" t="str">
        <v>1109
453
513</v>
      </c>
      <c r="J7" s="19" t="str">
        <v>25
21
34</v>
      </c>
      <c r="K7" s="19">
        <v>0</v>
      </c>
      <c r="L7" s="19">
        <v>0</v>
      </c>
      <c r="M7" s="19">
        <v>174.76999999999998</v>
      </c>
      <c r="N7" s="19">
        <v>284.10000000000002</v>
      </c>
      <c r="O7" s="19">
        <v>106.66</v>
      </c>
      <c r="P7" s="19">
        <v>0</v>
      </c>
      <c r="Q7" s="19">
        <v>0</v>
      </c>
      <c r="R7" s="15">
        <v>0</v>
      </c>
      <c r="S7" s="15">
        <v>591.47</v>
      </c>
      <c r="T7" s="31">
        <f>'[1]23'!$T$95</f>
        <v>591.47</v>
      </c>
      <c r="U7" t="b">
        <f t="shared" si="0"/>
        <v>1</v>
      </c>
    </row>
    <row r="8" spans="1:23" ht="48" customHeight="1" x14ac:dyDescent="0.2">
      <c r="A8" s="15">
        <v>2024</v>
      </c>
      <c r="B8" s="16">
        <v>382917332</v>
      </c>
      <c r="C8" s="17">
        <v>45511</v>
      </c>
      <c r="D8" s="17">
        <v>45474</v>
      </c>
      <c r="E8" s="17">
        <v>45504</v>
      </c>
      <c r="F8" s="18">
        <v>31</v>
      </c>
      <c r="G8" s="15">
        <v>2807</v>
      </c>
      <c r="H8" s="15" t="str">
        <v>F1
F2
F3</v>
      </c>
      <c r="I8" s="19" t="str">
        <v>642
1222
943</v>
      </c>
      <c r="J8" s="19" t="str">
        <v>82
181
129</v>
      </c>
      <c r="K8" s="19">
        <v>0</v>
      </c>
      <c r="L8" s="19">
        <v>0</v>
      </c>
      <c r="M8" s="19">
        <v>523.32999999999993</v>
      </c>
      <c r="N8" s="19">
        <v>430.93</v>
      </c>
      <c r="O8" s="19">
        <v>217.66</v>
      </c>
      <c r="P8" s="19">
        <v>0</v>
      </c>
      <c r="Q8" s="19">
        <v>0</v>
      </c>
      <c r="R8" s="15">
        <v>0</v>
      </c>
      <c r="S8" s="15">
        <v>1207.01</v>
      </c>
      <c r="T8" s="31">
        <f>'[1]23'!$T$98</f>
        <v>1207.01</v>
      </c>
      <c r="U8" t="b">
        <f t="shared" si="0"/>
        <v>1</v>
      </c>
    </row>
    <row r="9" spans="1:23" ht="48" customHeight="1" x14ac:dyDescent="0.2">
      <c r="A9" s="15">
        <v>2024</v>
      </c>
      <c r="B9" s="16">
        <v>382917332</v>
      </c>
      <c r="C9" s="17">
        <v>45546</v>
      </c>
      <c r="D9" s="17">
        <v>45505</v>
      </c>
      <c r="E9" s="17">
        <v>45535</v>
      </c>
      <c r="F9" s="18">
        <v>31</v>
      </c>
      <c r="G9" s="15">
        <v>1804</v>
      </c>
      <c r="H9" s="15" t="str">
        <v>F1
F2
F3</v>
      </c>
      <c r="I9" s="19" t="str">
        <v>477
438
889</v>
      </c>
      <c r="J9" s="19" t="str">
        <v>118
141
342</v>
      </c>
      <c r="K9" s="19">
        <v>0</v>
      </c>
      <c r="L9" s="19">
        <v>0</v>
      </c>
      <c r="M9" s="19">
        <v>171.74</v>
      </c>
      <c r="N9" s="19">
        <v>284.7</v>
      </c>
      <c r="O9" s="19">
        <v>105.38</v>
      </c>
      <c r="P9" s="19">
        <v>0</v>
      </c>
      <c r="Q9" s="19">
        <v>0</v>
      </c>
      <c r="R9" s="15">
        <v>0</v>
      </c>
      <c r="S9" s="15">
        <v>584.37</v>
      </c>
      <c r="T9" s="31">
        <f>'[1]23'!$T$101</f>
        <v>584.37</v>
      </c>
      <c r="U9" t="b">
        <f t="shared" si="0"/>
        <v>1</v>
      </c>
    </row>
    <row r="10" spans="1:23" ht="48" customHeight="1" x14ac:dyDescent="0.2">
      <c r="A10" s="15">
        <v>2024</v>
      </c>
      <c r="B10" s="16">
        <v>382917332</v>
      </c>
      <c r="C10" s="17">
        <v>45571</v>
      </c>
      <c r="D10" s="17">
        <v>45536</v>
      </c>
      <c r="E10" s="17">
        <v>45565</v>
      </c>
      <c r="F10" s="18">
        <v>30</v>
      </c>
      <c r="G10" s="15">
        <v>1820</v>
      </c>
      <c r="H10" s="15" t="str">
        <v>F1
F2
F3</v>
      </c>
      <c r="I10" s="19" t="str">
        <v>709
314
797</v>
      </c>
      <c r="J10" s="19" t="str">
        <v>208
84
310</v>
      </c>
      <c r="K10" s="19">
        <v>0</v>
      </c>
      <c r="L10" s="19">
        <v>0</v>
      </c>
      <c r="M10" s="19">
        <v>189.16</v>
      </c>
      <c r="N10" s="19">
        <v>262.93</v>
      </c>
      <c r="O10" s="19">
        <v>104.46</v>
      </c>
      <c r="P10" s="19">
        <v>0</v>
      </c>
      <c r="Q10" s="19">
        <v>0</v>
      </c>
      <c r="R10" s="15">
        <v>0</v>
      </c>
      <c r="S10" s="15">
        <v>579.29999999999995</v>
      </c>
      <c r="T10" s="31">
        <f>'[1]23'!$T$104</f>
        <v>579.29999999999995</v>
      </c>
      <c r="U10" t="b">
        <f t="shared" si="0"/>
        <v>1</v>
      </c>
    </row>
    <row r="11" spans="1:23" ht="48" customHeight="1" x14ac:dyDescent="0.2">
      <c r="A11" s="15">
        <v>2024</v>
      </c>
      <c r="B11" s="16">
        <v>382917332</v>
      </c>
      <c r="C11" s="17">
        <v>45604</v>
      </c>
      <c r="D11" s="17">
        <v>45566</v>
      </c>
      <c r="E11" s="17">
        <v>45596</v>
      </c>
      <c r="F11" s="18">
        <v>31</v>
      </c>
      <c r="G11" s="15">
        <v>2349</v>
      </c>
      <c r="H11" s="15" t="str">
        <v>F1
F2
F3</v>
      </c>
      <c r="I11" s="19" t="str">
        <v>920
718
711</v>
      </c>
      <c r="J11" s="19" t="str">
        <v>94
66
72</v>
      </c>
      <c r="K11" s="19">
        <v>0</v>
      </c>
      <c r="L11" s="19">
        <v>0</v>
      </c>
      <c r="M11" s="19">
        <v>506.89</v>
      </c>
      <c r="N11" s="19">
        <v>350.75</v>
      </c>
      <c r="O11" s="19">
        <v>195.14</v>
      </c>
      <c r="P11" s="19">
        <v>0</v>
      </c>
      <c r="Q11" s="19">
        <v>0</v>
      </c>
      <c r="R11" s="15">
        <v>0</v>
      </c>
      <c r="S11" s="15">
        <v>1082.1400000000001</v>
      </c>
      <c r="T11" s="31">
        <f>'[1]23'!$T$107</f>
        <v>1082.1400000000001</v>
      </c>
      <c r="U11" t="b">
        <f t="shared" si="0"/>
        <v>1</v>
      </c>
    </row>
    <row r="12" spans="1:23" ht="48" customHeight="1" x14ac:dyDescent="0.2">
      <c r="A12" s="15">
        <v>2024</v>
      </c>
      <c r="B12" s="16">
        <v>382917332</v>
      </c>
      <c r="C12" s="17">
        <v>45632</v>
      </c>
      <c r="D12" s="17">
        <v>45597</v>
      </c>
      <c r="E12" s="17">
        <v>45626</v>
      </c>
      <c r="F12" s="18">
        <v>30</v>
      </c>
      <c r="G12" s="15">
        <v>3001</v>
      </c>
      <c r="H12" s="15" t="str">
        <v>F1
F2
F3</v>
      </c>
      <c r="I12" s="19" t="str">
        <v>1124
1006
871</v>
      </c>
      <c r="J12" s="19" t="str">
        <v>312
181
169</v>
      </c>
      <c r="K12" s="19">
        <v>0</v>
      </c>
      <c r="L12" s="19">
        <v>0</v>
      </c>
      <c r="M12" s="19">
        <v>562.24</v>
      </c>
      <c r="N12" s="19">
        <v>499.35</v>
      </c>
      <c r="O12" s="19">
        <v>241.8</v>
      </c>
      <c r="P12" s="19">
        <v>0</v>
      </c>
      <c r="Q12" s="19">
        <v>0</v>
      </c>
      <c r="R12" s="15">
        <v>0</v>
      </c>
      <c r="S12" s="15">
        <v>1340.9</v>
      </c>
      <c r="T12" s="31">
        <f>'[1]23'!$T$110</f>
        <v>1340.9</v>
      </c>
      <c r="U12" t="b">
        <f t="shared" si="0"/>
        <v>1</v>
      </c>
      <c r="W12" t="s">
        <v>923</v>
      </c>
    </row>
    <row r="13" spans="1:23" ht="48" customHeight="1" x14ac:dyDescent="0.2">
      <c r="A13" s="15">
        <v>2024</v>
      </c>
      <c r="B13" s="16">
        <v>382917332</v>
      </c>
      <c r="C13" s="17">
        <v>45665</v>
      </c>
      <c r="D13" s="17">
        <v>45627</v>
      </c>
      <c r="E13" s="17">
        <v>45657</v>
      </c>
      <c r="F13" s="18">
        <v>31</v>
      </c>
      <c r="G13" s="15">
        <v>4270</v>
      </c>
      <c r="H13" s="15" t="str">
        <v>F1
F2
F3</v>
      </c>
      <c r="I13" s="19" t="str">
        <v>1484
1421
1365</v>
      </c>
      <c r="J13" s="19" t="str">
        <v>708
429
371</v>
      </c>
      <c r="K13" s="19">
        <v>0</v>
      </c>
      <c r="L13" s="19">
        <v>0</v>
      </c>
      <c r="M13" s="19">
        <v>644.27</v>
      </c>
      <c r="N13" s="19">
        <v>760.64</v>
      </c>
      <c r="O13" s="19">
        <v>320.82</v>
      </c>
      <c r="P13" s="19">
        <v>0</v>
      </c>
      <c r="Q13" s="19">
        <v>0</v>
      </c>
      <c r="R13" s="15">
        <v>0</v>
      </c>
      <c r="S13" s="15">
        <v>1779.11</v>
      </c>
      <c r="T13" s="31">
        <f>'[1]23'!$T$113</f>
        <v>1779.11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6" priority="1" operator="notEqual">
      <formula>TRUE</formula>
    </cfRule>
  </conditionalFormatting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8882C4-51E0-834B-918E-A38F34ADF63D}">
  <dimension ref="A1:S13"/>
  <sheetViews>
    <sheetView workbookViewId="0"/>
  </sheetViews>
  <sheetFormatPr baseColWidth="10" defaultColWidth="8.83203125" defaultRowHeight="15" x14ac:dyDescent="0.2"/>
  <cols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19" ht="56" customHeight="1" x14ac:dyDescent="0.2">
      <c r="A1" s="13" t="s">
        <v>924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19" ht="48" customHeight="1" x14ac:dyDescent="0.2">
      <c r="A2" s="15" t="e" cm="1" vm="1">
        <f t="array" ref="A2">_xlfn._xlws.FILTER(Calcolo!V:AN,Calcolo!A:A=Fabbricati!E25)</f>
        <v>#VALUE!</v>
      </c>
      <c r="B2" s="16"/>
      <c r="C2" s="17"/>
      <c r="D2" s="17"/>
      <c r="E2" s="17"/>
      <c r="F2" s="18"/>
      <c r="G2" s="15"/>
      <c r="H2" s="15"/>
      <c r="I2" s="19"/>
      <c r="J2" s="19"/>
      <c r="K2" s="19"/>
      <c r="L2" s="19"/>
      <c r="M2" s="19"/>
      <c r="N2" s="19"/>
      <c r="O2" s="19"/>
      <c r="P2" s="19"/>
      <c r="Q2" s="19"/>
      <c r="R2" s="15"/>
      <c r="S2" s="15"/>
    </row>
    <row r="3" spans="1:19" ht="48" customHeight="1" x14ac:dyDescent="0.2">
      <c r="A3" s="15"/>
      <c r="B3" s="16"/>
      <c r="C3" s="17"/>
      <c r="D3" s="17"/>
      <c r="E3" s="17"/>
      <c r="F3" s="18"/>
      <c r="G3" s="15"/>
      <c r="H3" s="15"/>
      <c r="I3" s="19"/>
      <c r="J3" s="19"/>
      <c r="K3" s="19"/>
      <c r="L3" s="19"/>
      <c r="M3" s="19"/>
      <c r="N3" s="19"/>
      <c r="O3" s="19"/>
      <c r="P3" s="19"/>
      <c r="Q3" s="19"/>
      <c r="R3" s="15"/>
      <c r="S3" s="15"/>
    </row>
    <row r="4" spans="1:19" ht="48" customHeight="1" x14ac:dyDescent="0.2">
      <c r="A4" s="15"/>
      <c r="B4" s="16"/>
      <c r="C4" s="17"/>
      <c r="D4" s="17"/>
      <c r="E4" s="17"/>
      <c r="F4" s="18"/>
      <c r="G4" s="15"/>
      <c r="H4" s="15"/>
      <c r="I4" s="19"/>
      <c r="J4" s="19"/>
      <c r="K4" s="19"/>
      <c r="L4" s="19"/>
      <c r="M4" s="19"/>
      <c r="N4" s="19"/>
      <c r="O4" s="19"/>
      <c r="P4" s="19"/>
      <c r="Q4" s="19"/>
      <c r="R4" s="15"/>
      <c r="S4" s="15"/>
    </row>
    <row r="5" spans="1:19" ht="48" customHeight="1" x14ac:dyDescent="0.2">
      <c r="A5" s="15"/>
      <c r="B5" s="16"/>
      <c r="C5" s="17"/>
      <c r="D5" s="17"/>
      <c r="E5" s="17"/>
      <c r="F5" s="18"/>
      <c r="G5" s="15"/>
      <c r="H5" s="15"/>
      <c r="I5" s="19"/>
      <c r="J5" s="19"/>
      <c r="K5" s="19"/>
      <c r="L5" s="19"/>
      <c r="M5" s="19"/>
      <c r="N5" s="19"/>
      <c r="O5" s="19"/>
      <c r="P5" s="19"/>
      <c r="Q5" s="19"/>
      <c r="R5" s="15"/>
      <c r="S5" s="15"/>
    </row>
    <row r="6" spans="1:19" ht="48" customHeight="1" x14ac:dyDescent="0.2">
      <c r="A6" s="15"/>
      <c r="B6" s="16"/>
      <c r="C6" s="17"/>
      <c r="D6" s="17"/>
      <c r="E6" s="17"/>
      <c r="F6" s="18"/>
      <c r="G6" s="15"/>
      <c r="H6" s="15"/>
      <c r="I6" s="19"/>
      <c r="J6" s="19"/>
      <c r="K6" s="19"/>
      <c r="L6" s="19"/>
      <c r="M6" s="19"/>
      <c r="N6" s="19"/>
      <c r="O6" s="19"/>
      <c r="P6" s="19"/>
      <c r="Q6" s="19"/>
      <c r="R6" s="15"/>
      <c r="S6" s="15"/>
    </row>
    <row r="7" spans="1:19" ht="48" customHeight="1" x14ac:dyDescent="0.2">
      <c r="A7" s="15"/>
      <c r="B7" s="16"/>
      <c r="C7" s="17"/>
      <c r="D7" s="17"/>
      <c r="E7" s="17"/>
      <c r="F7" s="18"/>
      <c r="G7" s="15"/>
      <c r="H7" s="15"/>
      <c r="I7" s="19"/>
      <c r="J7" s="19"/>
      <c r="K7" s="19"/>
      <c r="L7" s="19"/>
      <c r="M7" s="19"/>
      <c r="N7" s="19"/>
      <c r="O7" s="19"/>
      <c r="P7" s="19"/>
      <c r="Q7" s="19"/>
      <c r="R7" s="15"/>
      <c r="S7" s="15"/>
    </row>
    <row r="8" spans="1:19" ht="48" customHeight="1" x14ac:dyDescent="0.2">
      <c r="A8" s="15"/>
      <c r="B8" s="16"/>
      <c r="C8" s="17"/>
      <c r="D8" s="17"/>
      <c r="E8" s="17"/>
      <c r="F8" s="18"/>
      <c r="G8" s="15"/>
      <c r="H8" s="15"/>
      <c r="I8" s="19"/>
      <c r="J8" s="19"/>
      <c r="K8" s="19"/>
      <c r="L8" s="19"/>
      <c r="M8" s="19"/>
      <c r="N8" s="19"/>
      <c r="O8" s="19"/>
      <c r="P8" s="19"/>
      <c r="Q8" s="19"/>
      <c r="R8" s="15"/>
      <c r="S8" s="15"/>
    </row>
    <row r="9" spans="1:19" ht="48" customHeight="1" x14ac:dyDescent="0.2">
      <c r="A9" s="15"/>
      <c r="B9" s="16"/>
      <c r="C9" s="17"/>
      <c r="D9" s="17"/>
      <c r="E9" s="17"/>
      <c r="F9" s="18"/>
      <c r="G9" s="15"/>
      <c r="H9" s="15"/>
      <c r="I9" s="19"/>
      <c r="J9" s="19"/>
      <c r="K9" s="19"/>
      <c r="L9" s="19"/>
      <c r="M9" s="19"/>
      <c r="N9" s="19"/>
      <c r="O9" s="19"/>
      <c r="P9" s="19"/>
      <c r="Q9" s="19"/>
      <c r="R9" s="15"/>
      <c r="S9" s="15"/>
    </row>
    <row r="10" spans="1:19" ht="48" customHeight="1" x14ac:dyDescent="0.2">
      <c r="A10" s="15"/>
      <c r="B10" s="16"/>
      <c r="C10" s="17"/>
      <c r="D10" s="17"/>
      <c r="E10" s="17"/>
      <c r="F10" s="18"/>
      <c r="G10" s="15"/>
      <c r="H10" s="15"/>
      <c r="I10" s="19"/>
      <c r="J10" s="19"/>
      <c r="K10" s="19"/>
      <c r="L10" s="19"/>
      <c r="M10" s="19"/>
      <c r="N10" s="19"/>
      <c r="O10" s="19"/>
      <c r="P10" s="19"/>
      <c r="Q10" s="19"/>
      <c r="R10" s="15"/>
      <c r="S10" s="15"/>
    </row>
    <row r="11" spans="1:19" ht="48" customHeight="1" x14ac:dyDescent="0.2">
      <c r="A11" s="15"/>
      <c r="B11" s="16"/>
      <c r="C11" s="17"/>
      <c r="D11" s="17"/>
      <c r="E11" s="17"/>
      <c r="F11" s="18"/>
      <c r="G11" s="15"/>
      <c r="H11" s="15"/>
      <c r="I11" s="19"/>
      <c r="J11" s="19"/>
      <c r="K11" s="19"/>
      <c r="L11" s="19"/>
      <c r="M11" s="19"/>
      <c r="N11" s="19"/>
      <c r="O11" s="19"/>
      <c r="P11" s="19"/>
      <c r="Q11" s="19"/>
      <c r="R11" s="15"/>
      <c r="S11" s="15"/>
    </row>
    <row r="12" spans="1:19" ht="48" customHeight="1" x14ac:dyDescent="0.2">
      <c r="A12" s="15"/>
      <c r="B12" s="16"/>
      <c r="C12" s="17"/>
      <c r="D12" s="17"/>
      <c r="E12" s="17"/>
      <c r="F12" s="18"/>
      <c r="G12" s="15"/>
      <c r="H12" s="15"/>
      <c r="I12" s="19"/>
      <c r="J12" s="19"/>
      <c r="K12" s="19"/>
      <c r="L12" s="19"/>
      <c r="M12" s="19"/>
      <c r="N12" s="19"/>
      <c r="O12" s="19"/>
      <c r="P12" s="19"/>
      <c r="Q12" s="19"/>
      <c r="R12" s="15"/>
      <c r="S12" s="15"/>
    </row>
    <row r="13" spans="1:19" ht="48" customHeight="1" x14ac:dyDescent="0.2">
      <c r="A13" s="15"/>
      <c r="B13" s="16"/>
      <c r="C13" s="17"/>
      <c r="D13" s="17"/>
      <c r="E13" s="17"/>
      <c r="F13" s="18"/>
      <c r="G13" s="15"/>
      <c r="H13" s="15"/>
      <c r="I13" s="19"/>
      <c r="J13" s="19"/>
      <c r="K13" s="19"/>
      <c r="L13" s="19"/>
      <c r="M13" s="19"/>
      <c r="N13" s="19"/>
      <c r="O13" s="19"/>
      <c r="P13" s="19"/>
      <c r="Q13" s="19"/>
      <c r="R13" s="15"/>
      <c r="S13" s="15"/>
    </row>
  </sheetData>
  <mergeCells count="2">
    <mergeCell ref="D1:E1"/>
    <mergeCell ref="O1:P1"/>
  </mergeCells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86F88-0F7C-FB48-BC59-A2B4DADCE947}">
  <dimension ref="A1:V13"/>
  <sheetViews>
    <sheetView topLeftCell="A3" workbookViewId="0">
      <selection activeCell="O4" sqref="O4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2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2" ht="48" customHeight="1" x14ac:dyDescent="0.2">
      <c r="A2" s="15" cm="1">
        <f t="array" ref="A2:S13">_xlfn._xlws.FILTER(Calcolo!V:AN,Calcolo!A:A=Fabbricati!E26)</f>
        <v>2024</v>
      </c>
      <c r="B2" s="16">
        <v>382908180</v>
      </c>
      <c r="C2" s="17">
        <v>45350</v>
      </c>
      <c r="D2" s="17">
        <v>45292</v>
      </c>
      <c r="E2" s="17">
        <v>45322</v>
      </c>
      <c r="F2" s="18">
        <v>31</v>
      </c>
      <c r="G2" s="15">
        <v>5674</v>
      </c>
      <c r="H2" s="15" t="str">
        <v>F1
F2
F3</v>
      </c>
      <c r="I2" s="19" t="str">
        <v>1585
2114
1975</v>
      </c>
      <c r="J2" s="19" t="str">
        <v>258
293
45</v>
      </c>
      <c r="K2" s="19">
        <v>0</v>
      </c>
      <c r="L2" s="19">
        <v>0</v>
      </c>
      <c r="M2" s="19">
        <v>521.16999999999996</v>
      </c>
      <c r="N2" s="19">
        <v>892.78</v>
      </c>
      <c r="O2" s="19">
        <v>70.930000000000007</v>
      </c>
      <c r="P2" s="19">
        <v>0</v>
      </c>
      <c r="Q2" s="19">
        <v>0</v>
      </c>
      <c r="R2" s="15">
        <v>28.37</v>
      </c>
      <c r="S2" s="15">
        <v>1846.17</v>
      </c>
      <c r="T2" s="31">
        <f>'[1]25'!$T$80</f>
        <v>1846.17</v>
      </c>
      <c r="U2" t="b">
        <f>S2=T2</f>
        <v>1</v>
      </c>
    </row>
    <row r="3" spans="1:22" ht="48" customHeight="1" x14ac:dyDescent="0.2">
      <c r="A3" s="15">
        <v>2024</v>
      </c>
      <c r="B3" s="16">
        <v>382908180</v>
      </c>
      <c r="C3" s="17">
        <v>45358</v>
      </c>
      <c r="D3" s="17">
        <v>45323</v>
      </c>
      <c r="E3" s="17">
        <v>45351</v>
      </c>
      <c r="F3" s="18">
        <v>29</v>
      </c>
      <c r="G3" s="15">
        <v>4932</v>
      </c>
      <c r="H3" s="15" t="str">
        <v>F1
F2
F3</v>
      </c>
      <c r="I3" s="19" t="str">
        <v>1418
1991
1523</v>
      </c>
      <c r="J3" s="19" t="str">
        <v>294
382
36</v>
      </c>
      <c r="K3" s="19">
        <v>0</v>
      </c>
      <c r="L3" s="19">
        <v>0</v>
      </c>
      <c r="M3" s="19">
        <v>466.67</v>
      </c>
      <c r="N3" s="19">
        <v>598.05999999999995</v>
      </c>
      <c r="O3" s="19">
        <v>247.8</v>
      </c>
      <c r="P3" s="19">
        <v>0</v>
      </c>
      <c r="Q3" s="19">
        <v>0</v>
      </c>
      <c r="R3" s="15">
        <v>0</v>
      </c>
      <c r="S3" s="15">
        <v>1374.18</v>
      </c>
      <c r="T3" s="31">
        <f>'[1]25'!$T$83</f>
        <v>1374.18</v>
      </c>
      <c r="U3" t="b">
        <f t="shared" ref="U3:U13" si="0">S3=T3</f>
        <v>1</v>
      </c>
    </row>
    <row r="4" spans="1:22" ht="48" customHeight="1" x14ac:dyDescent="0.2">
      <c r="A4" s="15">
        <v>2024</v>
      </c>
      <c r="B4" s="16">
        <v>382908180</v>
      </c>
      <c r="C4" s="17">
        <v>45390</v>
      </c>
      <c r="D4" s="17">
        <v>45352</v>
      </c>
      <c r="E4" s="17">
        <v>45382</v>
      </c>
      <c r="F4" s="18">
        <v>31</v>
      </c>
      <c r="G4" s="15">
        <v>4049</v>
      </c>
      <c r="H4" s="15" t="str">
        <v>F1
F2
F3</v>
      </c>
      <c r="I4" s="19" t="str">
        <v>953
1740
1356</v>
      </c>
      <c r="J4" s="19" t="str">
        <v>216
365
59</v>
      </c>
      <c r="K4" s="19">
        <v>0</v>
      </c>
      <c r="L4" s="19">
        <v>0</v>
      </c>
      <c r="M4" s="19">
        <v>416.51</v>
      </c>
      <c r="N4" s="19">
        <v>475.23</v>
      </c>
      <c r="O4" s="19">
        <v>207.32</v>
      </c>
      <c r="P4" s="19">
        <v>0</v>
      </c>
      <c r="Q4" s="19">
        <v>0</v>
      </c>
      <c r="R4" s="15">
        <v>0</v>
      </c>
      <c r="S4" s="15">
        <v>1149.67</v>
      </c>
      <c r="T4" s="31">
        <f>'[1]25'!$T$86</f>
        <v>1149.6500000000001</v>
      </c>
      <c r="U4" t="b">
        <f t="shared" si="0"/>
        <v>0</v>
      </c>
    </row>
    <row r="5" spans="1:22" ht="48" customHeight="1" x14ac:dyDescent="0.2">
      <c r="A5" s="15">
        <v>2024</v>
      </c>
      <c r="B5" s="16">
        <v>382908180</v>
      </c>
      <c r="C5" s="17">
        <v>45419</v>
      </c>
      <c r="D5" s="17">
        <v>45383</v>
      </c>
      <c r="E5" s="17">
        <v>45412</v>
      </c>
      <c r="F5" s="18">
        <v>30</v>
      </c>
      <c r="G5" s="15">
        <v>2216</v>
      </c>
      <c r="H5" s="15" t="str">
        <v>F1
F2
F3</v>
      </c>
      <c r="I5" s="19" t="str">
        <v>334
1023
859</v>
      </c>
      <c r="J5" s="19" t="str">
        <v>136
253
67</v>
      </c>
      <c r="K5" s="19">
        <v>0</v>
      </c>
      <c r="L5" s="19">
        <v>0</v>
      </c>
      <c r="M5" s="19">
        <v>346.6</v>
      </c>
      <c r="N5" s="19">
        <v>258.29000000000002</v>
      </c>
      <c r="O5" s="19">
        <v>139.16999999999999</v>
      </c>
      <c r="P5" s="19">
        <v>0</v>
      </c>
      <c r="Q5" s="19">
        <v>0</v>
      </c>
      <c r="R5" s="15">
        <v>0</v>
      </c>
      <c r="S5" s="15">
        <v>771.76</v>
      </c>
      <c r="T5" s="31">
        <f>'[1]25'!$T$89</f>
        <v>771.76</v>
      </c>
      <c r="U5" t="b">
        <f t="shared" si="0"/>
        <v>1</v>
      </c>
    </row>
    <row r="6" spans="1:22" ht="48" customHeight="1" x14ac:dyDescent="0.2">
      <c r="A6" s="15">
        <v>2024</v>
      </c>
      <c r="B6" s="16">
        <v>382908180</v>
      </c>
      <c r="C6" s="17">
        <v>45449</v>
      </c>
      <c r="D6" s="17">
        <v>45413</v>
      </c>
      <c r="E6" s="17">
        <v>45443</v>
      </c>
      <c r="F6" s="18">
        <v>31</v>
      </c>
      <c r="G6" s="15">
        <v>1439</v>
      </c>
      <c r="H6" s="15" t="str">
        <v>F1
F2
F3</v>
      </c>
      <c r="I6" s="19" t="str">
        <v>274
497
668</v>
      </c>
      <c r="J6" s="19" t="str">
        <v>175
147
90</v>
      </c>
      <c r="K6" s="19">
        <v>0</v>
      </c>
      <c r="L6" s="19">
        <v>0</v>
      </c>
      <c r="M6" s="19">
        <v>240.51</v>
      </c>
      <c r="N6" s="19">
        <v>176.76</v>
      </c>
      <c r="O6" s="19">
        <v>95.76</v>
      </c>
      <c r="P6" s="19">
        <v>0</v>
      </c>
      <c r="Q6" s="19">
        <v>0</v>
      </c>
      <c r="R6" s="15">
        <v>0</v>
      </c>
      <c r="S6" s="15">
        <v>531.02</v>
      </c>
      <c r="T6" s="31">
        <f>'[1]25'!$T$92</f>
        <v>531.02</v>
      </c>
      <c r="U6" t="b">
        <f t="shared" si="0"/>
        <v>1</v>
      </c>
    </row>
    <row r="7" spans="1:22" ht="48" customHeight="1" x14ac:dyDescent="0.2">
      <c r="A7" s="15">
        <v>2024</v>
      </c>
      <c r="B7" s="16">
        <v>382908180</v>
      </c>
      <c r="C7" s="17">
        <v>45478</v>
      </c>
      <c r="D7" s="17">
        <v>45444</v>
      </c>
      <c r="E7" s="17">
        <v>45473</v>
      </c>
      <c r="F7" s="18">
        <v>30</v>
      </c>
      <c r="G7" s="15">
        <v>1267</v>
      </c>
      <c r="H7" s="15" t="str">
        <v>F1
F2
F3</v>
      </c>
      <c r="I7" s="19" t="str">
        <v>279
332
656</v>
      </c>
      <c r="J7" s="19" t="str">
        <v>213
134
117</v>
      </c>
      <c r="K7" s="19">
        <v>0</v>
      </c>
      <c r="L7" s="19">
        <v>0</v>
      </c>
      <c r="M7" s="19">
        <v>128.92000000000002</v>
      </c>
      <c r="N7" s="19">
        <v>168.38</v>
      </c>
      <c r="O7" s="19">
        <v>68.89</v>
      </c>
      <c r="P7" s="19">
        <v>0</v>
      </c>
      <c r="Q7" s="19">
        <v>0</v>
      </c>
      <c r="R7" s="15">
        <v>0</v>
      </c>
      <c r="S7" s="15">
        <v>382.03</v>
      </c>
      <c r="T7" s="31">
        <f>'[1]25'!$T$95</f>
        <v>382.03</v>
      </c>
      <c r="U7" t="b">
        <f t="shared" si="0"/>
        <v>1</v>
      </c>
    </row>
    <row r="8" spans="1:22" ht="48" customHeight="1" x14ac:dyDescent="0.2">
      <c r="A8" s="15">
        <v>2024</v>
      </c>
      <c r="B8" s="16">
        <v>382908180</v>
      </c>
      <c r="C8" s="17">
        <v>45511</v>
      </c>
      <c r="D8" s="17">
        <v>45474</v>
      </c>
      <c r="E8" s="17">
        <v>45504</v>
      </c>
      <c r="F8" s="18">
        <v>31</v>
      </c>
      <c r="G8" s="15">
        <v>2109</v>
      </c>
      <c r="H8" s="15" t="str">
        <v>F1
F2
F3</v>
      </c>
      <c r="I8" s="19" t="str">
        <v>467
594
1048</v>
      </c>
      <c r="J8" s="19" t="str">
        <v>365
309
352</v>
      </c>
      <c r="K8" s="19">
        <v>0</v>
      </c>
      <c r="L8" s="19">
        <v>0</v>
      </c>
      <c r="M8" s="19">
        <v>216.45999999999998</v>
      </c>
      <c r="N8" s="19">
        <v>325.69</v>
      </c>
      <c r="O8" s="19">
        <v>125.07</v>
      </c>
      <c r="P8" s="19">
        <v>0</v>
      </c>
      <c r="Q8" s="19">
        <v>0</v>
      </c>
      <c r="R8" s="15">
        <v>0</v>
      </c>
      <c r="S8" s="15">
        <v>693.58</v>
      </c>
      <c r="T8" s="31">
        <f>'[1]25'!$T$98</f>
        <v>693.58</v>
      </c>
      <c r="U8" t="b">
        <f t="shared" si="0"/>
        <v>1</v>
      </c>
    </row>
    <row r="9" spans="1:22" ht="48" customHeight="1" x14ac:dyDescent="0.2">
      <c r="A9" s="15">
        <v>2024</v>
      </c>
      <c r="B9" s="16">
        <v>382908180</v>
      </c>
      <c r="C9" s="17">
        <v>45541</v>
      </c>
      <c r="D9" s="17">
        <v>45505</v>
      </c>
      <c r="E9" s="17">
        <v>45535</v>
      </c>
      <c r="F9" s="18">
        <v>31</v>
      </c>
      <c r="G9" s="15">
        <v>2328</v>
      </c>
      <c r="H9" s="15" t="str">
        <v>F1
F2
F3</v>
      </c>
      <c r="I9" s="19" t="str">
        <v>409
748
1171</v>
      </c>
      <c r="J9" s="19" t="str">
        <v>289
313
362</v>
      </c>
      <c r="K9" s="19">
        <v>0</v>
      </c>
      <c r="L9" s="19">
        <v>0</v>
      </c>
      <c r="M9" s="19">
        <v>343.25</v>
      </c>
      <c r="N9" s="19">
        <v>373.52</v>
      </c>
      <c r="O9" s="19">
        <v>164.09</v>
      </c>
      <c r="P9" s="19">
        <v>0</v>
      </c>
      <c r="Q9" s="19">
        <v>0</v>
      </c>
      <c r="R9" s="15">
        <v>0</v>
      </c>
      <c r="S9" s="15">
        <v>909.96</v>
      </c>
      <c r="T9" s="31">
        <f>'[1]25'!$T$101</f>
        <v>909.96</v>
      </c>
      <c r="U9" t="b">
        <f t="shared" si="0"/>
        <v>1</v>
      </c>
      <c r="V9" t="s">
        <v>924</v>
      </c>
    </row>
    <row r="10" spans="1:22" ht="48" customHeight="1" x14ac:dyDescent="0.2">
      <c r="A10" s="15">
        <v>2024</v>
      </c>
      <c r="B10" s="16">
        <v>382908180</v>
      </c>
      <c r="C10" s="17">
        <v>45571</v>
      </c>
      <c r="D10" s="17">
        <v>45536</v>
      </c>
      <c r="E10" s="17">
        <v>45565</v>
      </c>
      <c r="F10" s="18">
        <v>30</v>
      </c>
      <c r="G10" s="15">
        <v>2317</v>
      </c>
      <c r="H10" s="15" t="str">
        <v>F1
F2
F3</v>
      </c>
      <c r="I10" s="19" t="str">
        <v>387
1038
892</v>
      </c>
      <c r="J10" s="19" t="str">
        <v>251
329
211</v>
      </c>
      <c r="K10" s="19">
        <v>0</v>
      </c>
      <c r="L10" s="19">
        <v>0</v>
      </c>
      <c r="M10" s="19">
        <v>346.90999999999997</v>
      </c>
      <c r="N10" s="19">
        <v>343.66</v>
      </c>
      <c r="O10" s="19">
        <v>158.30000000000001</v>
      </c>
      <c r="P10" s="19">
        <v>0</v>
      </c>
      <c r="Q10" s="19">
        <v>0</v>
      </c>
      <c r="R10" s="15">
        <v>0</v>
      </c>
      <c r="S10" s="15">
        <v>877.83</v>
      </c>
      <c r="T10" s="31">
        <f>'[1]25'!$T$104</f>
        <v>877.83</v>
      </c>
      <c r="U10" t="b">
        <f t="shared" si="0"/>
        <v>1</v>
      </c>
    </row>
    <row r="11" spans="1:22" ht="48" customHeight="1" x14ac:dyDescent="0.2">
      <c r="A11" s="15">
        <v>2024</v>
      </c>
      <c r="B11" s="16">
        <v>382908180</v>
      </c>
      <c r="C11" s="17">
        <v>45604</v>
      </c>
      <c r="D11" s="17">
        <v>45566</v>
      </c>
      <c r="E11" s="17">
        <v>45596</v>
      </c>
      <c r="F11" s="18">
        <v>31</v>
      </c>
      <c r="G11" s="15">
        <v>2769</v>
      </c>
      <c r="H11" s="15" t="str">
        <v>F1
F2
F3</v>
      </c>
      <c r="I11" s="19" t="str">
        <v>767
1297
705</v>
      </c>
      <c r="J11" s="19" t="str">
        <v>326
330
86</v>
      </c>
      <c r="K11" s="19">
        <v>0</v>
      </c>
      <c r="L11" s="19">
        <v>0</v>
      </c>
      <c r="M11" s="19">
        <v>371.12</v>
      </c>
      <c r="N11" s="19">
        <v>417.69</v>
      </c>
      <c r="O11" s="19">
        <v>181.15</v>
      </c>
      <c r="P11" s="19">
        <v>0</v>
      </c>
      <c r="Q11" s="19">
        <v>0</v>
      </c>
      <c r="R11" s="15">
        <v>0</v>
      </c>
      <c r="S11" s="15">
        <v>1004.57</v>
      </c>
      <c r="T11" s="31">
        <f>'[1]25'!$T$107</f>
        <v>1004.57</v>
      </c>
      <c r="U11" t="b">
        <f t="shared" si="0"/>
        <v>1</v>
      </c>
    </row>
    <row r="12" spans="1:22" ht="48" customHeight="1" x14ac:dyDescent="0.2">
      <c r="A12" s="15">
        <v>2024</v>
      </c>
      <c r="B12" s="16">
        <v>382908180</v>
      </c>
      <c r="C12" s="17">
        <v>45632</v>
      </c>
      <c r="D12" s="17">
        <v>45597</v>
      </c>
      <c r="E12" s="17">
        <v>45626</v>
      </c>
      <c r="F12" s="18">
        <v>30</v>
      </c>
      <c r="G12" s="15">
        <v>4044</v>
      </c>
      <c r="H12" s="15" t="str">
        <v>F1
F2
F3</v>
      </c>
      <c r="I12" s="19" t="str">
        <v>1625
1395
1024</v>
      </c>
      <c r="J12" s="19" t="str">
        <v>511
365
268</v>
      </c>
      <c r="K12" s="19">
        <v>0</v>
      </c>
      <c r="L12" s="19">
        <v>0</v>
      </c>
      <c r="M12" s="19">
        <v>452.16999999999996</v>
      </c>
      <c r="N12" s="19">
        <v>677.34</v>
      </c>
      <c r="O12" s="19">
        <v>259.61</v>
      </c>
      <c r="P12" s="19">
        <v>0</v>
      </c>
      <c r="Q12" s="19">
        <v>0</v>
      </c>
      <c r="R12" s="15">
        <v>0</v>
      </c>
      <c r="S12" s="15">
        <v>1439.67</v>
      </c>
      <c r="T12" s="31">
        <f>'[1]25'!$T$110</f>
        <v>1439.67</v>
      </c>
      <c r="U12" t="b">
        <f t="shared" si="0"/>
        <v>1</v>
      </c>
    </row>
    <row r="13" spans="1:22" ht="48" customHeight="1" x14ac:dyDescent="0.2">
      <c r="A13" s="15">
        <v>2024</v>
      </c>
      <c r="B13" s="16">
        <v>382908180</v>
      </c>
      <c r="C13" s="17">
        <v>45665</v>
      </c>
      <c r="D13" s="17">
        <v>45627</v>
      </c>
      <c r="E13" s="17">
        <v>45657</v>
      </c>
      <c r="F13" s="18">
        <v>31</v>
      </c>
      <c r="G13" s="15">
        <v>4449</v>
      </c>
      <c r="H13" s="15" t="str">
        <v>F1
F2
F3</v>
      </c>
      <c r="I13" s="19" t="str">
        <v>1700
1227
1522</v>
      </c>
      <c r="J13" s="19" t="str">
        <v>392
258
232</v>
      </c>
      <c r="K13" s="19">
        <v>0</v>
      </c>
      <c r="L13" s="19">
        <v>0</v>
      </c>
      <c r="M13" s="19">
        <v>487.53000000000003</v>
      </c>
      <c r="N13" s="19">
        <v>791.64</v>
      </c>
      <c r="O13" s="19">
        <v>293.64999999999998</v>
      </c>
      <c r="P13" s="19">
        <v>0</v>
      </c>
      <c r="Q13" s="19">
        <v>0</v>
      </c>
      <c r="R13" s="15">
        <v>0</v>
      </c>
      <c r="S13" s="15">
        <v>1628.43</v>
      </c>
      <c r="T13" s="31">
        <f>'[1]25'!$T$113</f>
        <v>1628.43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5" priority="1" operator="notEqual">
      <formula>TRUE</formula>
    </cfRule>
  </conditionalFormatting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721E-218C-314B-89EE-F11B00870C45}">
  <dimension ref="A1:U13"/>
  <sheetViews>
    <sheetView workbookViewId="0">
      <selection activeCell="U12" sqref="U12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_xlfn._xlws.FILTER(Calcolo!V:AN,Calcolo!A:A=Fabbricati!E27)</f>
        <v>2024</v>
      </c>
      <c r="B2" s="16">
        <v>343500343</v>
      </c>
      <c r="C2" s="17">
        <v>45349</v>
      </c>
      <c r="D2" s="17">
        <v>45292</v>
      </c>
      <c r="E2" s="17">
        <v>45322</v>
      </c>
      <c r="F2" s="18">
        <v>31</v>
      </c>
      <c r="G2" s="15">
        <v>197</v>
      </c>
      <c r="H2" s="15" t="str">
        <v>F1
F2
F3</v>
      </c>
      <c r="I2" s="19" t="str">
        <v>51
43
103</v>
      </c>
      <c r="J2" s="19" t="str">
        <v>25
55
129</v>
      </c>
      <c r="K2" s="19">
        <v>0</v>
      </c>
      <c r="L2" s="19">
        <v>0</v>
      </c>
      <c r="M2" s="19">
        <v>27.810000000000002</v>
      </c>
      <c r="N2" s="19">
        <v>30.39</v>
      </c>
      <c r="O2" s="19">
        <v>2.46</v>
      </c>
      <c r="P2" s="19">
        <v>0</v>
      </c>
      <c r="Q2" s="19">
        <v>0</v>
      </c>
      <c r="R2" s="15">
        <v>0.99</v>
      </c>
      <c r="S2" s="15">
        <v>75.209999999999994</v>
      </c>
      <c r="T2" s="31">
        <f>'[1]26'!$T$80</f>
        <v>75.209999999999994</v>
      </c>
      <c r="U2" t="b">
        <f>S2=T2</f>
        <v>1</v>
      </c>
    </row>
    <row r="3" spans="1:21" ht="48" customHeight="1" x14ac:dyDescent="0.2">
      <c r="A3" s="15">
        <v>2024</v>
      </c>
      <c r="B3" s="16">
        <v>343500343</v>
      </c>
      <c r="C3" s="17">
        <v>45358</v>
      </c>
      <c r="D3" s="17">
        <v>45323</v>
      </c>
      <c r="E3" s="17">
        <v>45351</v>
      </c>
      <c r="F3" s="18">
        <v>29</v>
      </c>
      <c r="G3" s="15">
        <v>190</v>
      </c>
      <c r="H3" s="15" t="str">
        <v>F1
F2
F3</v>
      </c>
      <c r="I3" s="19" t="str">
        <v>67
38
85</v>
      </c>
      <c r="J3" s="19" t="str">
        <v>18
51
116</v>
      </c>
      <c r="K3" s="19">
        <v>0</v>
      </c>
      <c r="L3" s="19">
        <v>0</v>
      </c>
      <c r="M3" s="19">
        <v>27.439999999999998</v>
      </c>
      <c r="N3" s="19">
        <v>22.61</v>
      </c>
      <c r="O3" s="19">
        <v>11.53</v>
      </c>
      <c r="P3" s="19">
        <v>0</v>
      </c>
      <c r="Q3" s="19">
        <v>0</v>
      </c>
      <c r="R3" s="15">
        <v>0</v>
      </c>
      <c r="S3" s="15">
        <v>63.96</v>
      </c>
      <c r="T3" s="31">
        <f>'[1]26'!$T$83</f>
        <v>63.96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343500343</v>
      </c>
      <c r="C4" s="17">
        <v>45395</v>
      </c>
      <c r="D4" s="17">
        <v>45352</v>
      </c>
      <c r="E4" s="17">
        <v>45382</v>
      </c>
      <c r="F4" s="18">
        <v>31</v>
      </c>
      <c r="G4" s="15">
        <v>244</v>
      </c>
      <c r="H4" s="15" t="str">
        <v>F1
F2
F3</v>
      </c>
      <c r="I4" s="19" t="str">
        <v>108
44
92</v>
      </c>
      <c r="J4" s="19" t="str">
        <v>14
50
114</v>
      </c>
      <c r="K4" s="19">
        <v>0</v>
      </c>
      <c r="L4" s="19">
        <v>0</v>
      </c>
      <c r="M4" s="19">
        <v>30.369999999999997</v>
      </c>
      <c r="N4" s="19">
        <v>28.45</v>
      </c>
      <c r="O4" s="19">
        <v>13.61</v>
      </c>
      <c r="P4" s="19">
        <v>0</v>
      </c>
      <c r="Q4" s="19">
        <v>0</v>
      </c>
      <c r="R4" s="15">
        <v>0</v>
      </c>
      <c r="S4" s="15">
        <v>75.48</v>
      </c>
      <c r="T4" s="31">
        <f>'[1]26'!$T$86</f>
        <v>75.48</v>
      </c>
      <c r="U4" t="b">
        <f t="shared" si="0"/>
        <v>1</v>
      </c>
    </row>
    <row r="5" spans="1:21" ht="48" customHeight="1" x14ac:dyDescent="0.2">
      <c r="A5" s="15">
        <v>2024</v>
      </c>
      <c r="B5" s="16">
        <v>343500343</v>
      </c>
      <c r="C5" s="17">
        <v>45419</v>
      </c>
      <c r="D5" s="17">
        <v>45383</v>
      </c>
      <c r="E5" s="17">
        <v>45391</v>
      </c>
      <c r="F5" s="18">
        <v>9</v>
      </c>
      <c r="G5" s="15">
        <v>212</v>
      </c>
      <c r="H5" s="15" t="str">
        <v>F1
F2
F3</v>
      </c>
      <c r="I5" s="19" t="str">
        <v>90
32
90</v>
      </c>
      <c r="J5" s="19" t="str">
        <v>2
33
99</v>
      </c>
      <c r="K5" s="19">
        <v>0</v>
      </c>
      <c r="L5" s="19">
        <v>0</v>
      </c>
      <c r="M5" s="19">
        <v>31.32</v>
      </c>
      <c r="N5" s="19">
        <v>23.76</v>
      </c>
      <c r="O5" s="19">
        <v>12.7</v>
      </c>
      <c r="P5" s="19">
        <v>0</v>
      </c>
      <c r="Q5" s="19">
        <v>0</v>
      </c>
      <c r="R5" s="15">
        <v>0</v>
      </c>
      <c r="S5" s="15">
        <v>70.430000000000007</v>
      </c>
      <c r="T5" s="31">
        <f>'[1]26'!$T$89</f>
        <v>70.430000000000007</v>
      </c>
      <c r="U5" t="b">
        <f t="shared" si="0"/>
        <v>1</v>
      </c>
    </row>
    <row r="6" spans="1:21" ht="48" customHeight="1" x14ac:dyDescent="0.2">
      <c r="A6" s="15">
        <v>2024</v>
      </c>
      <c r="B6" s="16">
        <v>343500343</v>
      </c>
      <c r="C6" s="17">
        <v>45449</v>
      </c>
      <c r="D6" s="17">
        <v>45413</v>
      </c>
      <c r="E6" s="17">
        <v>45443</v>
      </c>
      <c r="F6" s="18">
        <v>31</v>
      </c>
      <c r="G6" s="15">
        <v>140</v>
      </c>
      <c r="H6" s="15" t="str">
        <v>F1
F2
F3</v>
      </c>
      <c r="I6" s="19" t="str">
        <v>53
29
58</v>
      </c>
      <c r="J6" s="19" t="str">
        <v>2
17
20</v>
      </c>
      <c r="K6" s="19">
        <v>0</v>
      </c>
      <c r="L6" s="19">
        <v>0</v>
      </c>
      <c r="M6" s="19">
        <v>26.89</v>
      </c>
      <c r="N6" s="19">
        <v>16.899999999999999</v>
      </c>
      <c r="O6" s="19">
        <v>10.02</v>
      </c>
      <c r="P6" s="19">
        <v>0</v>
      </c>
      <c r="Q6" s="19">
        <v>0</v>
      </c>
      <c r="R6" s="15">
        <v>0</v>
      </c>
      <c r="S6" s="15">
        <v>55.56</v>
      </c>
      <c r="T6" s="31">
        <f>'[1]26'!$T$92</f>
        <v>55.56</v>
      </c>
      <c r="U6" t="b">
        <f t="shared" si="0"/>
        <v>1</v>
      </c>
    </row>
    <row r="7" spans="1:21" ht="48" customHeight="1" x14ac:dyDescent="0.2">
      <c r="A7" s="15">
        <v>2024</v>
      </c>
      <c r="B7" s="16">
        <v>343500343</v>
      </c>
      <c r="C7" s="17">
        <v>45478</v>
      </c>
      <c r="D7" s="17">
        <v>45444</v>
      </c>
      <c r="E7" s="17">
        <v>45473</v>
      </c>
      <c r="F7" s="18">
        <v>30</v>
      </c>
      <c r="G7" s="15">
        <v>186</v>
      </c>
      <c r="H7" s="15" t="str">
        <v>F1
F2
F3</v>
      </c>
      <c r="I7" s="19" t="str">
        <v>37
51
98</v>
      </c>
      <c r="J7" s="19" t="str">
        <v>36
58
101</v>
      </c>
      <c r="K7" s="19">
        <v>0</v>
      </c>
      <c r="L7" s="19">
        <v>0</v>
      </c>
      <c r="M7" s="19">
        <v>29.699999999999996</v>
      </c>
      <c r="N7" s="19">
        <v>24.78</v>
      </c>
      <c r="O7" s="19">
        <v>12.5</v>
      </c>
      <c r="P7" s="19">
        <v>0</v>
      </c>
      <c r="Q7" s="19">
        <v>0</v>
      </c>
      <c r="R7" s="15">
        <v>0</v>
      </c>
      <c r="S7" s="15">
        <v>69.31</v>
      </c>
      <c r="T7" s="31">
        <f>'[1]26'!$T$95</f>
        <v>69.31</v>
      </c>
      <c r="U7" t="b">
        <f t="shared" si="0"/>
        <v>1</v>
      </c>
    </row>
    <row r="8" spans="1:21" ht="48" customHeight="1" x14ac:dyDescent="0.2">
      <c r="A8" s="15">
        <v>2024</v>
      </c>
      <c r="B8" s="16">
        <v>343500343</v>
      </c>
      <c r="C8" s="17">
        <v>45511</v>
      </c>
      <c r="D8" s="17">
        <v>45474</v>
      </c>
      <c r="E8" s="17">
        <v>45504</v>
      </c>
      <c r="F8" s="18">
        <v>31</v>
      </c>
      <c r="G8" s="15">
        <v>324</v>
      </c>
      <c r="H8" s="15" t="str">
        <v>F1
F2
F3</v>
      </c>
      <c r="I8" s="19" t="str">
        <v>95
79
150</v>
      </c>
      <c r="J8" s="19" t="str">
        <v>102
85
157</v>
      </c>
      <c r="K8" s="19">
        <v>0</v>
      </c>
      <c r="L8" s="19">
        <v>0</v>
      </c>
      <c r="M8" s="19">
        <v>38.130000000000003</v>
      </c>
      <c r="N8" s="19">
        <v>49.86</v>
      </c>
      <c r="O8" s="19">
        <v>20.25</v>
      </c>
      <c r="P8" s="19">
        <v>0</v>
      </c>
      <c r="Q8" s="19">
        <v>0</v>
      </c>
      <c r="R8" s="15">
        <v>0</v>
      </c>
      <c r="S8" s="15">
        <v>112.29</v>
      </c>
      <c r="T8" s="31">
        <f>'[1]26'!$T$98</f>
        <v>112.29</v>
      </c>
      <c r="U8" t="b">
        <f t="shared" si="0"/>
        <v>1</v>
      </c>
    </row>
    <row r="9" spans="1:21" ht="48" customHeight="1" x14ac:dyDescent="0.2">
      <c r="A9" s="15">
        <v>2024</v>
      </c>
      <c r="B9" s="16">
        <v>343500343</v>
      </c>
      <c r="C9" s="17">
        <v>45541</v>
      </c>
      <c r="D9" s="17">
        <v>45505</v>
      </c>
      <c r="E9" s="17">
        <v>45535</v>
      </c>
      <c r="F9" s="18">
        <v>31</v>
      </c>
      <c r="G9" s="15">
        <v>1187</v>
      </c>
      <c r="H9" s="15" t="str">
        <v>F1
F2
F3</v>
      </c>
      <c r="I9" s="19" t="str">
        <v>361
265
561</v>
      </c>
      <c r="J9" s="19" t="str">
        <v>242
275
559</v>
      </c>
      <c r="K9" s="19">
        <v>0</v>
      </c>
      <c r="L9" s="19">
        <v>0</v>
      </c>
      <c r="M9" s="19">
        <v>38.19</v>
      </c>
      <c r="N9" s="19">
        <v>51.3</v>
      </c>
      <c r="O9" s="19">
        <v>20.53</v>
      </c>
      <c r="P9" s="19">
        <v>0</v>
      </c>
      <c r="Q9" s="19">
        <v>0</v>
      </c>
      <c r="R9" s="15">
        <v>0</v>
      </c>
      <c r="S9" s="15">
        <v>113.83</v>
      </c>
      <c r="T9" s="31">
        <f>'[1]26'!$T$101</f>
        <v>113.83</v>
      </c>
      <c r="U9" t="b">
        <f t="shared" si="0"/>
        <v>1</v>
      </c>
    </row>
    <row r="10" spans="1:21" ht="48" customHeight="1" x14ac:dyDescent="0.2">
      <c r="A10" s="15">
        <v>2024</v>
      </c>
      <c r="B10" s="16">
        <v>343500343</v>
      </c>
      <c r="C10" s="17">
        <v>45571</v>
      </c>
      <c r="D10" s="17">
        <v>45536</v>
      </c>
      <c r="E10" s="17">
        <v>45565</v>
      </c>
      <c r="F10" s="18">
        <v>30</v>
      </c>
      <c r="G10" s="15">
        <v>164</v>
      </c>
      <c r="H10" s="15" t="str">
        <v>F1
F2
F3</v>
      </c>
      <c r="I10" s="19" t="str">
        <v>46
38
80</v>
      </c>
      <c r="J10" s="19" t="str">
        <v>5
25
44</v>
      </c>
      <c r="K10" s="19">
        <v>0</v>
      </c>
      <c r="L10" s="19">
        <v>0</v>
      </c>
      <c r="M10" s="19">
        <v>28.35</v>
      </c>
      <c r="N10" s="19">
        <v>23.72</v>
      </c>
      <c r="O10" s="19">
        <v>11.91</v>
      </c>
      <c r="P10" s="19">
        <v>0</v>
      </c>
      <c r="Q10" s="19">
        <v>0</v>
      </c>
      <c r="R10" s="15">
        <v>0</v>
      </c>
      <c r="S10" s="15">
        <v>66.03</v>
      </c>
      <c r="T10" s="31">
        <f>'[1]26'!$T$104</f>
        <v>66.03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343500343</v>
      </c>
      <c r="C11" s="17">
        <v>45604</v>
      </c>
      <c r="D11" s="17">
        <v>45566</v>
      </c>
      <c r="E11" s="17">
        <v>45596</v>
      </c>
      <c r="F11" s="18">
        <v>31</v>
      </c>
      <c r="G11" s="15">
        <v>178</v>
      </c>
      <c r="H11" s="15" t="str">
        <v>F1
F2
F3</v>
      </c>
      <c r="I11" s="19" t="str">
        <v>70
34
74</v>
      </c>
      <c r="J11" s="19" t="str">
        <v>10
18
35</v>
      </c>
      <c r="K11" s="19">
        <v>0</v>
      </c>
      <c r="L11" s="19">
        <v>0</v>
      </c>
      <c r="M11" s="19">
        <v>29.21</v>
      </c>
      <c r="N11" s="19">
        <v>26.01</v>
      </c>
      <c r="O11" s="19">
        <v>12.64</v>
      </c>
      <c r="P11" s="19">
        <v>0</v>
      </c>
      <c r="Q11" s="19">
        <v>0</v>
      </c>
      <c r="R11" s="15">
        <v>0</v>
      </c>
      <c r="S11" s="15">
        <v>70.09</v>
      </c>
      <c r="T11" s="31">
        <f>'[1]26'!$T$107</f>
        <v>70.09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343500343</v>
      </c>
      <c r="C12" s="17">
        <v>45632</v>
      </c>
      <c r="D12" s="17">
        <v>45597</v>
      </c>
      <c r="E12" s="17">
        <v>45626</v>
      </c>
      <c r="F12" s="18">
        <v>30</v>
      </c>
      <c r="G12" s="15">
        <v>186</v>
      </c>
      <c r="H12" s="15" t="str">
        <v>F1
F2
F3</v>
      </c>
      <c r="I12" s="19" t="str">
        <v>65
39
82</v>
      </c>
      <c r="J12" s="19" t="str">
        <v>20
37
87</v>
      </c>
      <c r="K12" s="19">
        <v>0</v>
      </c>
      <c r="L12" s="19">
        <v>0</v>
      </c>
      <c r="M12" s="19">
        <v>29.699999999999996</v>
      </c>
      <c r="N12" s="19">
        <v>30.35</v>
      </c>
      <c r="O12" s="19">
        <v>13.72</v>
      </c>
      <c r="P12" s="19">
        <v>0</v>
      </c>
      <c r="Q12" s="19">
        <v>0</v>
      </c>
      <c r="R12" s="15">
        <v>0</v>
      </c>
      <c r="S12" s="15">
        <v>76.099999999999994</v>
      </c>
      <c r="T12" s="31">
        <f>'[1]26'!$T$110</f>
        <v>76.099999999999994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343500343</v>
      </c>
      <c r="C13" s="17">
        <v>45665</v>
      </c>
      <c r="D13" s="17">
        <v>45627</v>
      </c>
      <c r="E13" s="17">
        <v>45657</v>
      </c>
      <c r="F13" s="18">
        <v>31</v>
      </c>
      <c r="G13" s="15">
        <v>141</v>
      </c>
      <c r="H13" s="15" t="str">
        <v>F1
F2
F3</v>
      </c>
      <c r="I13" s="19" t="str">
        <v>37
31
73</v>
      </c>
      <c r="J13" s="19" t="str">
        <v>17
34
85</v>
      </c>
      <c r="K13" s="19">
        <v>0</v>
      </c>
      <c r="L13" s="19">
        <v>0</v>
      </c>
      <c r="M13" s="19">
        <v>26.95</v>
      </c>
      <c r="N13" s="19">
        <v>24.03</v>
      </c>
      <c r="O13" s="19">
        <v>11.6</v>
      </c>
      <c r="P13" s="19">
        <v>0</v>
      </c>
      <c r="Q13" s="19">
        <v>0</v>
      </c>
      <c r="R13" s="15">
        <v>0</v>
      </c>
      <c r="S13" s="15">
        <v>64.34</v>
      </c>
      <c r="T13" s="31">
        <f>'[1]26'!$T$113</f>
        <v>64.34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4" priority="1" operator="notEqual">
      <formula>TRUE</formula>
    </cfRule>
  </conditionalFormatting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B9939C-DDFD-124F-A745-B213945D06B0}">
  <dimension ref="A1:U13"/>
  <sheetViews>
    <sheetView topLeftCell="C1" workbookViewId="0">
      <selection activeCell="B7" sqref="B7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_xlfn._xlws.FILTER(Calcolo!V:AN,Calcolo!A:A=Fabbricati!E28)</f>
        <v>2024</v>
      </c>
      <c r="B2" s="16">
        <v>341747473</v>
      </c>
      <c r="C2" s="17">
        <v>45350</v>
      </c>
      <c r="D2" s="17">
        <v>45292</v>
      </c>
      <c r="E2" s="17">
        <v>45322</v>
      </c>
      <c r="F2" s="18">
        <v>31</v>
      </c>
      <c r="G2" s="15">
        <v>28</v>
      </c>
      <c r="H2" s="15" t="str">
        <v>F1
F2
F3</v>
      </c>
      <c r="I2" s="19" t="str">
        <v>9
6
13</v>
      </c>
      <c r="J2" s="19" t="str">
        <v>130
85
186</v>
      </c>
      <c r="K2" s="19">
        <v>0</v>
      </c>
      <c r="L2" s="19">
        <v>0</v>
      </c>
      <c r="M2" s="19">
        <v>18.64</v>
      </c>
      <c r="N2" s="19">
        <v>4.3600000000000003</v>
      </c>
      <c r="O2" s="19">
        <v>0.35</v>
      </c>
      <c r="P2" s="19">
        <v>0</v>
      </c>
      <c r="Q2" s="19">
        <v>0</v>
      </c>
      <c r="R2" s="15">
        <v>0.14000000000000001</v>
      </c>
      <c r="S2" s="15">
        <v>28.66</v>
      </c>
      <c r="T2" s="31">
        <f>'[1]27'!$T$80</f>
        <v>28.66</v>
      </c>
      <c r="U2" t="b">
        <f>S2=T2</f>
        <v>1</v>
      </c>
    </row>
    <row r="3" spans="1:21" ht="48" customHeight="1" x14ac:dyDescent="0.2">
      <c r="A3" s="15">
        <v>2024</v>
      </c>
      <c r="B3" s="16">
        <v>341747473</v>
      </c>
      <c r="C3" s="17">
        <v>45358</v>
      </c>
      <c r="D3" s="17">
        <v>45323</v>
      </c>
      <c r="E3" s="17">
        <v>45351</v>
      </c>
      <c r="F3" s="18">
        <v>29</v>
      </c>
      <c r="G3" s="15">
        <v>26</v>
      </c>
      <c r="H3" s="15" t="str">
        <v>F1
F2
F3</v>
      </c>
      <c r="I3" s="19" t="str">
        <v>8
6
12</v>
      </c>
      <c r="J3" s="19" t="str">
        <v>121
89
159</v>
      </c>
      <c r="K3" s="19">
        <v>0</v>
      </c>
      <c r="L3" s="19">
        <v>0</v>
      </c>
      <c r="M3" s="19">
        <v>18.520000000000003</v>
      </c>
      <c r="N3" s="19">
        <v>3.11</v>
      </c>
      <c r="O3" s="19">
        <v>4.83</v>
      </c>
      <c r="P3" s="19">
        <v>0</v>
      </c>
      <c r="Q3" s="19">
        <v>0</v>
      </c>
      <c r="R3" s="15">
        <v>0</v>
      </c>
      <c r="S3" s="15">
        <v>26.79</v>
      </c>
      <c r="T3" s="31">
        <f>'[1]27'!$T$83</f>
        <v>26.79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341747473</v>
      </c>
      <c r="C4" s="17">
        <v>45390</v>
      </c>
      <c r="D4" s="17">
        <v>45352</v>
      </c>
      <c r="E4" s="17">
        <v>45382</v>
      </c>
      <c r="F4" s="18">
        <v>31</v>
      </c>
      <c r="G4" s="15">
        <v>28</v>
      </c>
      <c r="H4" s="15" t="str">
        <v>F1
F2
F3</v>
      </c>
      <c r="I4" s="19" t="str">
        <v>9
7
12</v>
      </c>
      <c r="J4" s="19" t="str">
        <v>119
93
165</v>
      </c>
      <c r="K4" s="19">
        <v>0</v>
      </c>
      <c r="L4" s="19">
        <v>0</v>
      </c>
      <c r="M4" s="19">
        <v>18.64</v>
      </c>
      <c r="N4" s="19">
        <v>3.27</v>
      </c>
      <c r="O4" s="19">
        <v>4.9000000000000004</v>
      </c>
      <c r="P4" s="19">
        <v>0</v>
      </c>
      <c r="Q4" s="19">
        <v>0</v>
      </c>
      <c r="R4" s="15">
        <v>0</v>
      </c>
      <c r="S4" s="15">
        <v>27.16</v>
      </c>
      <c r="T4" s="31">
        <f>'[1]27'!$T$86</f>
        <v>27.16</v>
      </c>
      <c r="U4" t="b">
        <f t="shared" si="0"/>
        <v>1</v>
      </c>
    </row>
    <row r="5" spans="1:21" ht="48" customHeight="1" x14ac:dyDescent="0.2">
      <c r="A5" s="15">
        <v>2024</v>
      </c>
      <c r="B5" s="16">
        <v>341747473</v>
      </c>
      <c r="C5" s="17">
        <v>45419</v>
      </c>
      <c r="D5" s="17">
        <v>45383</v>
      </c>
      <c r="E5" s="17">
        <v>45391</v>
      </c>
      <c r="F5" s="18">
        <v>9</v>
      </c>
      <c r="G5" s="15">
        <v>26</v>
      </c>
      <c r="H5" s="15" t="str">
        <v>F1
F2
F3</v>
      </c>
      <c r="I5" s="19" t="str">
        <v>7
6
13</v>
      </c>
      <c r="J5" s="19" t="str">
        <v>37
25
58</v>
      </c>
      <c r="K5" s="19">
        <v>0</v>
      </c>
      <c r="L5" s="19">
        <v>0</v>
      </c>
      <c r="M5" s="19">
        <v>19.93</v>
      </c>
      <c r="N5" s="19">
        <v>2.96</v>
      </c>
      <c r="O5" s="19">
        <v>5.1100000000000003</v>
      </c>
      <c r="P5" s="19">
        <v>0</v>
      </c>
      <c r="Q5" s="19">
        <v>0</v>
      </c>
      <c r="R5" s="15">
        <v>0</v>
      </c>
      <c r="S5" s="15">
        <v>28.32</v>
      </c>
      <c r="T5" s="31">
        <f>'[1]27'!$T$89</f>
        <v>28.32</v>
      </c>
      <c r="U5" t="b">
        <f t="shared" si="0"/>
        <v>1</v>
      </c>
    </row>
    <row r="6" spans="1:21" ht="48" customHeight="1" x14ac:dyDescent="0.2">
      <c r="A6" s="15">
        <v>2024</v>
      </c>
      <c r="B6" s="16">
        <v>341747473</v>
      </c>
      <c r="C6" s="17">
        <v>45449</v>
      </c>
      <c r="D6" s="17">
        <v>45413</v>
      </c>
      <c r="E6" s="17">
        <v>45443</v>
      </c>
      <c r="F6" s="18">
        <v>31</v>
      </c>
      <c r="G6" s="15">
        <v>23</v>
      </c>
      <c r="H6" s="15" t="str">
        <v>F1
F2
F3</v>
      </c>
      <c r="I6" s="19" t="str">
        <v>7
5
11</v>
      </c>
      <c r="J6" s="19" t="str">
        <v>5
3
4</v>
      </c>
      <c r="K6" s="19">
        <v>0</v>
      </c>
      <c r="L6" s="19">
        <v>0</v>
      </c>
      <c r="M6" s="19">
        <v>19.75</v>
      </c>
      <c r="N6" s="19">
        <v>2.84</v>
      </c>
      <c r="O6" s="19">
        <v>5.03</v>
      </c>
      <c r="P6" s="19">
        <v>0</v>
      </c>
      <c r="Q6" s="19">
        <v>0</v>
      </c>
      <c r="R6" s="15">
        <v>0</v>
      </c>
      <c r="S6" s="15">
        <v>27.91</v>
      </c>
      <c r="T6" s="31">
        <f>'[1]27'!$T$92</f>
        <v>27.91</v>
      </c>
      <c r="U6" t="b">
        <f t="shared" si="0"/>
        <v>1</v>
      </c>
    </row>
    <row r="7" spans="1:21" ht="48" customHeight="1" x14ac:dyDescent="0.2">
      <c r="A7" s="15">
        <v>2024</v>
      </c>
      <c r="B7" s="16">
        <v>341747473</v>
      </c>
      <c r="C7" s="17">
        <v>45478</v>
      </c>
      <c r="D7" s="17">
        <v>45444</v>
      </c>
      <c r="E7" s="17">
        <v>45473</v>
      </c>
      <c r="F7" s="18">
        <v>30</v>
      </c>
      <c r="G7" s="15">
        <v>20</v>
      </c>
      <c r="H7" s="15" t="str">
        <v>F1
F2
F3</v>
      </c>
      <c r="I7" s="19" t="str">
        <v>5
5
10</v>
      </c>
      <c r="J7" s="19" t="str">
        <v>10
7
6</v>
      </c>
      <c r="K7" s="19">
        <v>0</v>
      </c>
      <c r="L7" s="19">
        <v>0</v>
      </c>
      <c r="M7" s="19">
        <v>19.55</v>
      </c>
      <c r="N7" s="19">
        <v>2.78</v>
      </c>
      <c r="O7" s="19">
        <v>4.97</v>
      </c>
      <c r="P7" s="19">
        <v>0</v>
      </c>
      <c r="Q7" s="19">
        <v>0</v>
      </c>
      <c r="R7" s="15">
        <v>0</v>
      </c>
      <c r="S7" s="15">
        <v>27.55</v>
      </c>
      <c r="T7" s="31">
        <f>'[1]27'!$T$95</f>
        <v>27.55</v>
      </c>
      <c r="U7" t="b">
        <f t="shared" si="0"/>
        <v>1</v>
      </c>
    </row>
    <row r="8" spans="1:21" ht="48" customHeight="1" x14ac:dyDescent="0.2">
      <c r="A8" s="15">
        <v>2024</v>
      </c>
      <c r="B8" s="16">
        <v>341747473</v>
      </c>
      <c r="C8" s="17">
        <v>45513</v>
      </c>
      <c r="D8" s="17">
        <v>45474</v>
      </c>
      <c r="E8" s="17">
        <v>45504</v>
      </c>
      <c r="F8" s="18">
        <v>31</v>
      </c>
      <c r="G8" s="15">
        <v>19</v>
      </c>
      <c r="H8" s="15" t="str">
        <v>F1
F2
F3</v>
      </c>
      <c r="I8" s="19" t="str">
        <v>5
4
10</v>
      </c>
      <c r="J8" s="19" t="str">
        <v>12
6
5</v>
      </c>
      <c r="K8" s="19">
        <v>0</v>
      </c>
      <c r="L8" s="19">
        <v>0</v>
      </c>
      <c r="M8" s="19">
        <v>19.5</v>
      </c>
      <c r="N8" s="19">
        <v>2.89</v>
      </c>
      <c r="O8" s="19">
        <v>4.9800000000000004</v>
      </c>
      <c r="P8" s="19">
        <v>0</v>
      </c>
      <c r="Q8" s="19">
        <v>0</v>
      </c>
      <c r="R8" s="15">
        <v>0</v>
      </c>
      <c r="S8" s="15">
        <v>27.61</v>
      </c>
      <c r="T8" s="31">
        <f>'[1]27'!$T$98</f>
        <v>27.61</v>
      </c>
      <c r="U8" t="b">
        <f t="shared" si="0"/>
        <v>1</v>
      </c>
    </row>
    <row r="9" spans="1:21" ht="48" customHeight="1" x14ac:dyDescent="0.2">
      <c r="A9" s="15">
        <v>2024</v>
      </c>
      <c r="B9" s="16">
        <v>341747473</v>
      </c>
      <c r="C9" s="17">
        <v>45541</v>
      </c>
      <c r="D9" s="17">
        <v>45505</v>
      </c>
      <c r="E9" s="17">
        <v>45535</v>
      </c>
      <c r="F9" s="18">
        <v>31</v>
      </c>
      <c r="G9" s="15">
        <v>98</v>
      </c>
      <c r="H9" s="15" t="str">
        <v>F1
F2
F3</v>
      </c>
      <c r="I9" s="19" t="str">
        <v>28
22
48</v>
      </c>
      <c r="J9" s="19" t="str">
        <v>66
42
74</v>
      </c>
      <c r="K9" s="19">
        <v>0</v>
      </c>
      <c r="L9" s="19">
        <v>0</v>
      </c>
      <c r="M9" s="19">
        <v>18.96</v>
      </c>
      <c r="N9" s="19">
        <v>1.44</v>
      </c>
      <c r="O9" s="19">
        <v>4.51</v>
      </c>
      <c r="P9" s="19">
        <v>0</v>
      </c>
      <c r="Q9" s="19">
        <v>0</v>
      </c>
      <c r="R9" s="15">
        <v>0</v>
      </c>
      <c r="S9" s="15">
        <v>25.03</v>
      </c>
      <c r="T9" s="31">
        <f>'[1]27'!$T$101</f>
        <v>25.03</v>
      </c>
      <c r="U9" t="b">
        <f t="shared" si="0"/>
        <v>1</v>
      </c>
    </row>
    <row r="10" spans="1:21" ht="48" customHeight="1" x14ac:dyDescent="0.2">
      <c r="A10" s="15">
        <v>2024</v>
      </c>
      <c r="B10" s="16">
        <v>341747473</v>
      </c>
      <c r="C10" s="17">
        <v>45571</v>
      </c>
      <c r="D10" s="17">
        <v>45536</v>
      </c>
      <c r="E10" s="17">
        <v>45565</v>
      </c>
      <c r="F10" s="18">
        <v>30</v>
      </c>
      <c r="G10" s="15">
        <v>20</v>
      </c>
      <c r="H10" s="15" t="str">
        <v>F1
F2
F3</v>
      </c>
      <c r="I10" s="19" t="str">
        <v>5
5
10</v>
      </c>
      <c r="J10" s="19" t="str">
        <v>11
5
4</v>
      </c>
      <c r="K10" s="19">
        <v>0</v>
      </c>
      <c r="L10" s="19">
        <v>0</v>
      </c>
      <c r="M10" s="19">
        <v>19.55</v>
      </c>
      <c r="N10" s="19">
        <v>3.02</v>
      </c>
      <c r="O10" s="19">
        <v>5.0199999999999996</v>
      </c>
      <c r="P10" s="19">
        <v>0</v>
      </c>
      <c r="Q10" s="19">
        <v>0</v>
      </c>
      <c r="R10" s="15">
        <v>0</v>
      </c>
      <c r="S10" s="15">
        <v>27.84</v>
      </c>
      <c r="T10" s="31">
        <f>'[1]27'!$T$104</f>
        <v>27.84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341747473</v>
      </c>
      <c r="C11" s="17">
        <v>45604</v>
      </c>
      <c r="D11" s="17">
        <v>45566</v>
      </c>
      <c r="E11" s="17">
        <v>45596</v>
      </c>
      <c r="F11" s="18">
        <v>31</v>
      </c>
      <c r="G11" s="15">
        <v>22</v>
      </c>
      <c r="H11" s="15" t="str">
        <v>F1
F2
F3</v>
      </c>
      <c r="I11" s="19" t="str">
        <v>5
6
11</v>
      </c>
      <c r="J11" s="19" t="str">
        <v>11
3
2</v>
      </c>
      <c r="K11" s="19">
        <v>0</v>
      </c>
      <c r="L11" s="19">
        <v>0</v>
      </c>
      <c r="M11" s="19">
        <v>19.689999999999998</v>
      </c>
      <c r="N11" s="19">
        <v>3.3</v>
      </c>
      <c r="O11" s="19">
        <v>5.12</v>
      </c>
      <c r="P11" s="19">
        <v>0</v>
      </c>
      <c r="Q11" s="19">
        <v>0</v>
      </c>
      <c r="R11" s="15">
        <v>0</v>
      </c>
      <c r="S11" s="15">
        <v>28.39</v>
      </c>
      <c r="T11" s="31">
        <f>'[1]27'!$T$107</f>
        <v>28.39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341747473</v>
      </c>
      <c r="C12" s="17">
        <v>45632</v>
      </c>
      <c r="D12" s="17">
        <v>45597</v>
      </c>
      <c r="E12" s="17">
        <v>45626</v>
      </c>
      <c r="F12" s="18">
        <v>30</v>
      </c>
      <c r="G12" s="15">
        <v>20</v>
      </c>
      <c r="H12" s="15" t="str">
        <v>F1
F2
F3</v>
      </c>
      <c r="I12" s="19" t="str">
        <v>5
5
10</v>
      </c>
      <c r="J12" s="19" t="str">
        <v>8
3
3</v>
      </c>
      <c r="K12" s="19">
        <v>0</v>
      </c>
      <c r="L12" s="19">
        <v>0</v>
      </c>
      <c r="M12" s="19">
        <v>19.55</v>
      </c>
      <c r="N12" s="19">
        <v>3.36</v>
      </c>
      <c r="O12" s="19">
        <v>5.0999999999999996</v>
      </c>
      <c r="P12" s="19">
        <v>0</v>
      </c>
      <c r="Q12" s="19">
        <v>0</v>
      </c>
      <c r="R12" s="15">
        <v>0</v>
      </c>
      <c r="S12" s="15">
        <v>28.26</v>
      </c>
      <c r="T12" s="31">
        <f>'[1]27'!$T$110</f>
        <v>28.26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341747473</v>
      </c>
      <c r="C13" s="17">
        <v>45665</v>
      </c>
      <c r="D13" s="17">
        <v>45627</v>
      </c>
      <c r="E13" s="17">
        <v>45657</v>
      </c>
      <c r="F13" s="18">
        <v>31</v>
      </c>
      <c r="G13" s="15">
        <v>23</v>
      </c>
      <c r="H13" s="15" t="str">
        <v>F1
F2
F3</v>
      </c>
      <c r="I13" s="19" t="str">
        <v>5
5
13</v>
      </c>
      <c r="J13" s="19" t="str">
        <v>8
2
3</v>
      </c>
      <c r="K13" s="19">
        <v>0</v>
      </c>
      <c r="L13" s="19">
        <v>0</v>
      </c>
      <c r="M13" s="19">
        <v>19.75</v>
      </c>
      <c r="N13" s="19">
        <v>3.99</v>
      </c>
      <c r="O13" s="19">
        <v>5.29</v>
      </c>
      <c r="P13" s="19">
        <v>0</v>
      </c>
      <c r="Q13" s="19">
        <v>0</v>
      </c>
      <c r="R13" s="15">
        <v>0</v>
      </c>
      <c r="S13" s="15">
        <v>29.32</v>
      </c>
      <c r="T13" s="31">
        <f>'[1]27'!$T$113</f>
        <v>29.32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3" priority="1" operator="notEqual">
      <formula>TRUE</formula>
    </cfRule>
  </conditionalFormatting>
  <pageMargins left="0.75" right="0.75" top="1" bottom="1" header="0.5" footer="0.5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BECD0B-4719-FC4C-8807-EEE340CE95B4}">
  <dimension ref="A1:U13"/>
  <sheetViews>
    <sheetView topLeftCell="D1" workbookViewId="0">
      <selection activeCell="Y11" sqref="Y11"/>
    </sheetView>
  </sheetViews>
  <sheetFormatPr baseColWidth="10" defaultColWidth="8.83203125" defaultRowHeight="15" x14ac:dyDescent="0.2"/>
  <cols>
    <col min="2" max="2" width="11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_xlfn._xlws.FILTER(Calcolo!V:AN,Calcolo!A:A=Fabbricati!E29)</f>
        <v>2024</v>
      </c>
      <c r="B2" s="16">
        <v>1000016205</v>
      </c>
      <c r="C2" s="17">
        <v>45350</v>
      </c>
      <c r="D2" s="17">
        <v>45292</v>
      </c>
      <c r="E2" s="17">
        <v>45322</v>
      </c>
      <c r="F2" s="18">
        <v>31</v>
      </c>
      <c r="G2" s="15">
        <v>223</v>
      </c>
      <c r="H2" s="15" t="str">
        <v>F1
F2
F3</v>
      </c>
      <c r="I2" s="19" t="str">
        <v>55
62
106</v>
      </c>
      <c r="J2" s="19" t="str">
        <v>36
30
60</v>
      </c>
      <c r="K2" s="19">
        <v>0</v>
      </c>
      <c r="L2" s="19">
        <v>0</v>
      </c>
      <c r="M2" s="19">
        <v>29.229999999999997</v>
      </c>
      <c r="N2" s="19">
        <v>34.56</v>
      </c>
      <c r="O2" s="19">
        <v>2.79</v>
      </c>
      <c r="P2" s="19">
        <v>0</v>
      </c>
      <c r="Q2" s="19">
        <v>0</v>
      </c>
      <c r="R2" s="15">
        <v>1.1200000000000001</v>
      </c>
      <c r="S2" s="15">
        <v>82.59</v>
      </c>
      <c r="T2" s="31">
        <f>'[1]28'!$T$80</f>
        <v>82.59</v>
      </c>
      <c r="U2" t="b">
        <f>S2=T2</f>
        <v>1</v>
      </c>
    </row>
    <row r="3" spans="1:21" ht="48" customHeight="1" x14ac:dyDescent="0.2">
      <c r="A3" s="15">
        <v>2024</v>
      </c>
      <c r="B3" s="16">
        <v>1000016205</v>
      </c>
      <c r="C3" s="17">
        <v>45358</v>
      </c>
      <c r="D3" s="17">
        <v>45323</v>
      </c>
      <c r="E3" s="17">
        <v>45351</v>
      </c>
      <c r="F3" s="18">
        <v>29</v>
      </c>
      <c r="G3" s="15">
        <v>28</v>
      </c>
      <c r="H3" s="15" t="str">
        <v>F1
F2
F3</v>
      </c>
      <c r="I3" s="19" t="str">
        <v>9
8
11</v>
      </c>
      <c r="J3" s="19" t="str">
        <v>12
8
15</v>
      </c>
      <c r="K3" s="19">
        <v>0</v>
      </c>
      <c r="L3" s="19">
        <v>0</v>
      </c>
      <c r="M3" s="19">
        <v>18.64</v>
      </c>
      <c r="N3" s="19">
        <v>3.37</v>
      </c>
      <c r="O3" s="19">
        <v>4.92</v>
      </c>
      <c r="P3" s="19">
        <v>0</v>
      </c>
      <c r="Q3" s="19">
        <v>0</v>
      </c>
      <c r="R3" s="15">
        <v>0</v>
      </c>
      <c r="S3" s="15">
        <v>27.28</v>
      </c>
      <c r="T3" s="31">
        <f>'[1]28'!$T$83</f>
        <v>27.28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1000016205</v>
      </c>
      <c r="C4" s="17">
        <v>45390</v>
      </c>
      <c r="D4" s="17">
        <v>45352</v>
      </c>
      <c r="E4" s="17">
        <v>45382</v>
      </c>
      <c r="F4" s="18">
        <v>31</v>
      </c>
      <c r="G4" s="15">
        <v>51</v>
      </c>
      <c r="H4" s="15" t="str">
        <v>F1
F2
F3</v>
      </c>
      <c r="I4" s="19" t="str">
        <v>11
18
22</v>
      </c>
      <c r="J4" s="19" t="str">
        <v>14
15
22</v>
      </c>
      <c r="K4" s="19">
        <v>0</v>
      </c>
      <c r="L4" s="19">
        <v>0</v>
      </c>
      <c r="M4" s="19">
        <v>19.880000000000003</v>
      </c>
      <c r="N4" s="19">
        <v>5.9</v>
      </c>
      <c r="O4" s="19">
        <v>5.81</v>
      </c>
      <c r="P4" s="19">
        <v>0</v>
      </c>
      <c r="Q4" s="19">
        <v>0</v>
      </c>
      <c r="R4" s="15">
        <v>0</v>
      </c>
      <c r="S4" s="15">
        <v>32.229999999999997</v>
      </c>
      <c r="T4" s="31">
        <f>'[1]28'!$T$86</f>
        <v>32.229999999999997</v>
      </c>
      <c r="U4" t="b">
        <f t="shared" si="0"/>
        <v>1</v>
      </c>
    </row>
    <row r="5" spans="1:21" ht="48" customHeight="1" x14ac:dyDescent="0.2">
      <c r="A5" s="15">
        <v>2024</v>
      </c>
      <c r="B5" s="16">
        <v>1000016205</v>
      </c>
      <c r="C5" s="17">
        <v>45419</v>
      </c>
      <c r="D5" s="17">
        <v>45383</v>
      </c>
      <c r="E5" s="17">
        <v>45412</v>
      </c>
      <c r="F5" s="18">
        <v>30</v>
      </c>
      <c r="G5" s="15">
        <v>51</v>
      </c>
      <c r="H5" s="15" t="str">
        <v>F1
F2
F3</v>
      </c>
      <c r="I5" s="19" t="str">
        <v>14
11
26</v>
      </c>
      <c r="J5" s="19" t="str">
        <v>19
15
33</v>
      </c>
      <c r="K5" s="19">
        <v>0</v>
      </c>
      <c r="L5" s="19">
        <v>0</v>
      </c>
      <c r="M5" s="19">
        <v>21.44</v>
      </c>
      <c r="N5" s="19">
        <v>5.68</v>
      </c>
      <c r="O5" s="19">
        <v>6.11</v>
      </c>
      <c r="P5" s="19">
        <v>0</v>
      </c>
      <c r="Q5" s="19">
        <v>0</v>
      </c>
      <c r="R5" s="15">
        <v>0</v>
      </c>
      <c r="S5" s="15">
        <v>33.869999999999997</v>
      </c>
      <c r="T5" s="31">
        <f>'[1]28'!$T$89</f>
        <v>33.869999999999997</v>
      </c>
      <c r="U5" t="b">
        <f t="shared" si="0"/>
        <v>1</v>
      </c>
    </row>
    <row r="6" spans="1:21" ht="48" customHeight="1" x14ac:dyDescent="0.2">
      <c r="A6" s="15">
        <v>2024</v>
      </c>
      <c r="B6" s="16">
        <v>1000016205</v>
      </c>
      <c r="C6" s="17">
        <v>45449</v>
      </c>
      <c r="D6" s="17">
        <v>45413</v>
      </c>
      <c r="E6" s="17">
        <v>45443</v>
      </c>
      <c r="F6" s="18">
        <v>31</v>
      </c>
      <c r="G6" s="15">
        <v>52</v>
      </c>
      <c r="H6" s="15" t="str">
        <v>F1
F2
F3</v>
      </c>
      <c r="I6" s="19" t="str">
        <v>15
12
25</v>
      </c>
      <c r="J6" s="19" t="str">
        <v>22
16
33</v>
      </c>
      <c r="K6" s="19">
        <v>0</v>
      </c>
      <c r="L6" s="19">
        <v>0</v>
      </c>
      <c r="M6" s="19">
        <v>21.509999999999998</v>
      </c>
      <c r="N6" s="19">
        <v>6.34</v>
      </c>
      <c r="O6" s="19">
        <v>6.27</v>
      </c>
      <c r="P6" s="19">
        <v>0</v>
      </c>
      <c r="Q6" s="19">
        <v>0</v>
      </c>
      <c r="R6" s="15">
        <v>0</v>
      </c>
      <c r="S6" s="15">
        <v>34.770000000000003</v>
      </c>
      <c r="T6" s="31">
        <f>'[1]28'!$T$92</f>
        <v>34.770000000000003</v>
      </c>
      <c r="U6" t="b">
        <f t="shared" si="0"/>
        <v>1</v>
      </c>
    </row>
    <row r="7" spans="1:21" ht="48" customHeight="1" x14ac:dyDescent="0.2">
      <c r="A7" s="15">
        <v>2024</v>
      </c>
      <c r="B7" s="16">
        <v>1000016205</v>
      </c>
      <c r="C7" s="17">
        <v>45478</v>
      </c>
      <c r="D7" s="17">
        <v>45444</v>
      </c>
      <c r="E7" s="17">
        <v>45473</v>
      </c>
      <c r="F7" s="18">
        <v>30</v>
      </c>
      <c r="G7" s="15">
        <v>57</v>
      </c>
      <c r="H7" s="15" t="str">
        <v>F1
F2
F3</v>
      </c>
      <c r="I7" s="19" t="str">
        <v>16
16
25</v>
      </c>
      <c r="J7" s="19" t="str">
        <v>25
23
37</v>
      </c>
      <c r="K7" s="19">
        <v>0</v>
      </c>
      <c r="L7" s="19">
        <v>0</v>
      </c>
      <c r="M7" s="19">
        <v>21.82</v>
      </c>
      <c r="N7" s="19">
        <v>7.77</v>
      </c>
      <c r="O7" s="19">
        <v>6.67</v>
      </c>
      <c r="P7" s="19">
        <v>0</v>
      </c>
      <c r="Q7" s="19">
        <v>0</v>
      </c>
      <c r="R7" s="15">
        <v>0</v>
      </c>
      <c r="S7" s="15">
        <v>36.97</v>
      </c>
      <c r="T7" s="31">
        <f>'[1]28'!$T$95</f>
        <v>36.97</v>
      </c>
      <c r="U7" t="b">
        <f t="shared" si="0"/>
        <v>1</v>
      </c>
    </row>
    <row r="8" spans="1:21" ht="48" customHeight="1" x14ac:dyDescent="0.2">
      <c r="A8" s="15">
        <v>2024</v>
      </c>
      <c r="B8" s="16">
        <v>1000016205</v>
      </c>
      <c r="C8" s="17">
        <v>45511</v>
      </c>
      <c r="D8" s="17">
        <v>45474</v>
      </c>
      <c r="E8" s="17">
        <v>45504</v>
      </c>
      <c r="F8" s="18">
        <v>31</v>
      </c>
      <c r="G8" s="15">
        <v>58</v>
      </c>
      <c r="H8" s="15" t="str">
        <v>F1
F2
F3</v>
      </c>
      <c r="I8" s="19" t="str">
        <v>20
14
24</v>
      </c>
      <c r="J8" s="19" t="str">
        <v>30
21
37</v>
      </c>
      <c r="K8" s="19">
        <v>0</v>
      </c>
      <c r="L8" s="19">
        <v>0</v>
      </c>
      <c r="M8" s="19">
        <v>21.87</v>
      </c>
      <c r="N8" s="19">
        <v>8.83</v>
      </c>
      <c r="O8" s="19">
        <v>6.91</v>
      </c>
      <c r="P8" s="19">
        <v>0</v>
      </c>
      <c r="Q8" s="19">
        <v>0</v>
      </c>
      <c r="R8" s="15">
        <v>0</v>
      </c>
      <c r="S8" s="15">
        <v>38.340000000000003</v>
      </c>
      <c r="T8" s="31">
        <f>'[1]28'!$T$98</f>
        <v>38.340000000000003</v>
      </c>
      <c r="U8" t="b">
        <f t="shared" si="0"/>
        <v>1</v>
      </c>
    </row>
    <row r="9" spans="1:21" ht="48" customHeight="1" x14ac:dyDescent="0.2">
      <c r="A9" s="15">
        <v>2024</v>
      </c>
      <c r="B9" s="16">
        <v>1000016205</v>
      </c>
      <c r="C9" s="17">
        <v>45541</v>
      </c>
      <c r="D9" s="17">
        <v>45505</v>
      </c>
      <c r="E9" s="17">
        <v>45535</v>
      </c>
      <c r="F9" s="18">
        <v>31</v>
      </c>
      <c r="G9" s="15">
        <v>31</v>
      </c>
      <c r="H9" s="15" t="str">
        <v>F1
F2
F3</v>
      </c>
      <c r="I9" s="19" t="str">
        <v>10
8
13</v>
      </c>
      <c r="J9" s="19" t="str">
        <v>15
12
18</v>
      </c>
      <c r="K9" s="19">
        <v>0</v>
      </c>
      <c r="L9" s="19">
        <v>0</v>
      </c>
      <c r="M9" s="19">
        <v>20.23</v>
      </c>
      <c r="N9" s="19">
        <v>4.91</v>
      </c>
      <c r="O9" s="19">
        <v>5.62</v>
      </c>
      <c r="P9" s="19">
        <v>0</v>
      </c>
      <c r="Q9" s="19">
        <v>0</v>
      </c>
      <c r="R9" s="15">
        <v>0</v>
      </c>
      <c r="S9" s="15">
        <v>31.15</v>
      </c>
      <c r="T9" s="31">
        <f>'[1]28'!$T$101</f>
        <v>31.15</v>
      </c>
      <c r="U9" t="b">
        <f t="shared" si="0"/>
        <v>1</v>
      </c>
    </row>
    <row r="10" spans="1:21" ht="48" customHeight="1" x14ac:dyDescent="0.2">
      <c r="A10" s="15">
        <v>2024</v>
      </c>
      <c r="B10" s="16">
        <v>1000016205</v>
      </c>
      <c r="C10" s="17">
        <v>45571</v>
      </c>
      <c r="D10" s="17">
        <v>45536</v>
      </c>
      <c r="E10" s="17">
        <v>45565</v>
      </c>
      <c r="F10" s="18">
        <v>30</v>
      </c>
      <c r="G10" s="15">
        <v>44</v>
      </c>
      <c r="H10" s="15" t="str">
        <v>F1
F2
F3</v>
      </c>
      <c r="I10" s="19" t="str">
        <v>14
12
18</v>
      </c>
      <c r="J10" s="19" t="str">
        <v>21
15
28</v>
      </c>
      <c r="K10" s="19">
        <v>0</v>
      </c>
      <c r="L10" s="19">
        <v>0</v>
      </c>
      <c r="M10" s="19">
        <v>21.03</v>
      </c>
      <c r="N10" s="19">
        <v>6.38</v>
      </c>
      <c r="O10" s="19">
        <v>6.15</v>
      </c>
      <c r="P10" s="19">
        <v>0</v>
      </c>
      <c r="Q10" s="19">
        <v>0</v>
      </c>
      <c r="R10" s="15">
        <v>0</v>
      </c>
      <c r="S10" s="15">
        <v>34.11</v>
      </c>
      <c r="T10" s="31">
        <f>'[1]28'!$T$104</f>
        <v>34.11</v>
      </c>
      <c r="U10" t="b">
        <f t="shared" si="0"/>
        <v>1</v>
      </c>
    </row>
    <row r="11" spans="1:21" ht="48" customHeight="1" x14ac:dyDescent="0.2">
      <c r="A11" s="15">
        <v>2024</v>
      </c>
      <c r="B11" s="16">
        <v>1000016205</v>
      </c>
      <c r="C11" s="17">
        <v>45604</v>
      </c>
      <c r="D11" s="17">
        <v>45566</v>
      </c>
      <c r="E11" s="17">
        <v>45596</v>
      </c>
      <c r="F11" s="18">
        <v>31</v>
      </c>
      <c r="G11" s="15">
        <v>13</v>
      </c>
      <c r="H11" s="15" t="str">
        <v>F1
F2
F3</v>
      </c>
      <c r="I11" s="19" t="str">
        <v>4
8
1</v>
      </c>
      <c r="J11" s="19" t="str">
        <v>1
2
0</v>
      </c>
      <c r="K11" s="19">
        <v>0</v>
      </c>
      <c r="L11" s="19">
        <v>0</v>
      </c>
      <c r="M11" s="19">
        <v>19.130000000000003</v>
      </c>
      <c r="N11" s="19">
        <v>1.98</v>
      </c>
      <c r="O11" s="19">
        <v>4.68</v>
      </c>
      <c r="P11" s="19">
        <v>0</v>
      </c>
      <c r="Q11" s="19">
        <v>0</v>
      </c>
      <c r="R11" s="15">
        <v>0</v>
      </c>
      <c r="S11" s="15">
        <v>25.95</v>
      </c>
      <c r="T11" s="31">
        <f>'[1]28'!$T$107</f>
        <v>25.95</v>
      </c>
      <c r="U11" t="b">
        <f t="shared" si="0"/>
        <v>1</v>
      </c>
    </row>
    <row r="12" spans="1:21" ht="48" customHeight="1" x14ac:dyDescent="0.2">
      <c r="A12" s="15">
        <v>2024</v>
      </c>
      <c r="B12" s="16">
        <v>1000016205</v>
      </c>
      <c r="C12" s="17">
        <v>45632</v>
      </c>
      <c r="D12" s="17">
        <v>45597</v>
      </c>
      <c r="E12" s="17">
        <v>45626</v>
      </c>
      <c r="F12" s="18">
        <v>30</v>
      </c>
      <c r="G12" s="15">
        <v>47</v>
      </c>
      <c r="H12" s="15" t="str">
        <v>F1
F2
F3</v>
      </c>
      <c r="I12" s="19" t="str">
        <v>11
7
29</v>
      </c>
      <c r="J12" s="19" t="str">
        <v>7
5
14</v>
      </c>
      <c r="K12" s="19">
        <v>0</v>
      </c>
      <c r="L12" s="19">
        <v>0</v>
      </c>
      <c r="M12" s="19">
        <v>21.21</v>
      </c>
      <c r="N12" s="19">
        <v>7.46</v>
      </c>
      <c r="O12" s="19">
        <v>6.44</v>
      </c>
      <c r="P12" s="19">
        <v>0</v>
      </c>
      <c r="Q12" s="19">
        <v>0</v>
      </c>
      <c r="R12" s="15">
        <v>0</v>
      </c>
      <c r="S12" s="15">
        <v>35.700000000000003</v>
      </c>
      <c r="T12" s="31">
        <f>'[1]28'!$T$110</f>
        <v>35.700000000000003</v>
      </c>
      <c r="U12" t="b">
        <f t="shared" si="0"/>
        <v>1</v>
      </c>
    </row>
    <row r="13" spans="1:21" ht="48" customHeight="1" x14ac:dyDescent="0.2">
      <c r="A13" s="15">
        <v>2024</v>
      </c>
      <c r="B13" s="16">
        <v>1000016205</v>
      </c>
      <c r="C13" s="17">
        <v>45665</v>
      </c>
      <c r="D13" s="17">
        <v>45627</v>
      </c>
      <c r="E13" s="17">
        <v>45657</v>
      </c>
      <c r="F13" s="18">
        <v>31</v>
      </c>
      <c r="G13" s="15">
        <v>85</v>
      </c>
      <c r="H13" s="15" t="str">
        <v>F1
F2
F3</v>
      </c>
      <c r="I13" s="19" t="str">
        <v>20
44
21</v>
      </c>
      <c r="J13" s="19" t="str">
        <v>8
15
11</v>
      </c>
      <c r="K13" s="19">
        <v>0</v>
      </c>
      <c r="L13" s="19">
        <v>0</v>
      </c>
      <c r="M13" s="19">
        <v>23.52</v>
      </c>
      <c r="N13" s="19">
        <v>15.16</v>
      </c>
      <c r="O13" s="19">
        <v>8.74</v>
      </c>
      <c r="P13" s="19">
        <v>0</v>
      </c>
      <c r="Q13" s="19">
        <v>0</v>
      </c>
      <c r="R13" s="15">
        <v>0</v>
      </c>
      <c r="S13" s="15">
        <v>48.48</v>
      </c>
      <c r="T13" s="31">
        <f>'[1]28'!$T$113</f>
        <v>48.48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2" priority="1" operator="notEqual">
      <formula>TRUE</formula>
    </cfRule>
  </conditionalFormatting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6BB5F-BE98-3F40-9D79-7F07335AC7D4}">
  <dimension ref="A1:U13"/>
  <sheetViews>
    <sheetView tabSelected="1" workbookViewId="0">
      <selection activeCell="U12" sqref="U12"/>
    </sheetView>
  </sheetViews>
  <sheetFormatPr baseColWidth="10" defaultColWidth="8.83203125" defaultRowHeight="15" x14ac:dyDescent="0.2"/>
  <cols>
    <col min="2" max="2" width="10.1640625" bestFit="1" customWidth="1"/>
    <col min="3" max="3" width="16.5" customWidth="1"/>
    <col min="4" max="4" width="10.83203125" customWidth="1"/>
    <col min="5" max="5" width="9" customWidth="1"/>
    <col min="8" max="8" width="13" customWidth="1"/>
    <col min="9" max="9" width="14.5" customWidth="1"/>
    <col min="10" max="10" width="13" customWidth="1"/>
    <col min="13" max="13" width="12.6640625" customWidth="1"/>
    <col min="14" max="14" width="12.83203125" customWidth="1"/>
    <col min="15" max="15" width="9.5" customWidth="1"/>
    <col min="16" max="16" width="8" customWidth="1"/>
    <col min="17" max="17" width="10.83203125" customWidth="1"/>
  </cols>
  <sheetData>
    <row r="1" spans="1:21" ht="56" customHeight="1" x14ac:dyDescent="0.2">
      <c r="A1" s="13" t="s">
        <v>133</v>
      </c>
      <c r="B1" s="13" t="s">
        <v>150</v>
      </c>
      <c r="C1" s="13" t="s">
        <v>134</v>
      </c>
      <c r="D1" s="36" t="s">
        <v>135</v>
      </c>
      <c r="E1" s="37"/>
      <c r="F1" s="14" t="s">
        <v>151</v>
      </c>
      <c r="G1" s="14" t="s">
        <v>137</v>
      </c>
      <c r="H1" s="14" t="s">
        <v>138</v>
      </c>
      <c r="I1" s="14" t="s">
        <v>139</v>
      </c>
      <c r="J1" s="14" t="s">
        <v>140</v>
      </c>
      <c r="K1" s="14" t="s">
        <v>141</v>
      </c>
      <c r="L1" s="14" t="s">
        <v>142</v>
      </c>
      <c r="M1" s="14" t="s">
        <v>143</v>
      </c>
      <c r="N1" s="14" t="s">
        <v>144</v>
      </c>
      <c r="O1" s="38" t="s">
        <v>145</v>
      </c>
      <c r="P1" s="37"/>
      <c r="Q1" s="14" t="s">
        <v>146</v>
      </c>
      <c r="R1" s="14" t="s">
        <v>147</v>
      </c>
      <c r="S1" s="14" t="s">
        <v>148</v>
      </c>
    </row>
    <row r="2" spans="1:21" ht="48" customHeight="1" x14ac:dyDescent="0.2">
      <c r="A2" s="15" cm="1">
        <f t="array" ref="A2:S13">_xlfn._xlws.FILTER(Calcolo!V:AN,Calcolo!A:A=Fabbricati!E30)</f>
        <v>2024</v>
      </c>
      <c r="B2" s="16">
        <v>346906944</v>
      </c>
      <c r="C2" s="17">
        <v>45349</v>
      </c>
      <c r="D2" s="17">
        <v>45292</v>
      </c>
      <c r="E2" s="17">
        <v>45322</v>
      </c>
      <c r="F2" s="18">
        <v>31</v>
      </c>
      <c r="G2" s="15">
        <v>1025</v>
      </c>
      <c r="H2" s="15" t="str">
        <v>F1
F2
F3</v>
      </c>
      <c r="I2" s="19" t="str">
        <v>175
325
525</v>
      </c>
      <c r="J2" s="19" t="str">
        <v>0
0
0</v>
      </c>
      <c r="K2" s="19">
        <v>0</v>
      </c>
      <c r="L2" s="19">
        <v>0</v>
      </c>
      <c r="M2" s="19">
        <v>78.36</v>
      </c>
      <c r="N2" s="19">
        <v>157.78</v>
      </c>
      <c r="O2" s="19">
        <v>12.81</v>
      </c>
      <c r="P2" s="19">
        <v>0</v>
      </c>
      <c r="Q2" s="19">
        <v>0</v>
      </c>
      <c r="R2" s="15">
        <v>5.13</v>
      </c>
      <c r="S2" s="15">
        <v>309.98</v>
      </c>
      <c r="T2" s="31">
        <f>'[1]29'!$T$80</f>
        <v>309.98</v>
      </c>
      <c r="U2" t="b">
        <f>S2=T2</f>
        <v>1</v>
      </c>
    </row>
    <row r="3" spans="1:21" ht="48" customHeight="1" x14ac:dyDescent="0.2">
      <c r="A3" s="15">
        <v>2024</v>
      </c>
      <c r="B3" s="16">
        <v>346906944</v>
      </c>
      <c r="C3" s="17">
        <v>45358</v>
      </c>
      <c r="D3" s="17">
        <v>45323</v>
      </c>
      <c r="E3" s="17">
        <v>45351</v>
      </c>
      <c r="F3" s="18">
        <v>29</v>
      </c>
      <c r="G3" s="15">
        <v>816</v>
      </c>
      <c r="H3" s="15" t="str">
        <v>F1
F2
F3</v>
      </c>
      <c r="I3" s="19" t="str">
        <v>160
300
356</v>
      </c>
      <c r="J3" s="19" t="str">
        <v>12
1
1</v>
      </c>
      <c r="K3" s="19">
        <v>0</v>
      </c>
      <c r="L3" s="19">
        <v>0</v>
      </c>
      <c r="M3" s="19">
        <v>62.039999999999992</v>
      </c>
      <c r="N3" s="19">
        <v>93.67</v>
      </c>
      <c r="O3" s="19">
        <v>36.5</v>
      </c>
      <c r="P3" s="19">
        <v>0</v>
      </c>
      <c r="Q3" s="19">
        <v>0</v>
      </c>
      <c r="R3" s="15">
        <v>0</v>
      </c>
      <c r="S3" s="15">
        <v>202.41</v>
      </c>
      <c r="T3" s="31">
        <f>'[1]29'!$T$83</f>
        <v>202.41</v>
      </c>
      <c r="U3" t="b">
        <f t="shared" ref="U3:U13" si="0">S3=T3</f>
        <v>1</v>
      </c>
    </row>
    <row r="4" spans="1:21" ht="48" customHeight="1" x14ac:dyDescent="0.2">
      <c r="A4" s="15">
        <v>2024</v>
      </c>
      <c r="B4" s="16">
        <v>346906944</v>
      </c>
      <c r="C4" s="17">
        <v>45390</v>
      </c>
      <c r="D4" s="17">
        <v>45352</v>
      </c>
      <c r="E4" s="17">
        <v>45382</v>
      </c>
      <c r="F4" s="18">
        <v>31</v>
      </c>
      <c r="G4" s="15">
        <v>889</v>
      </c>
      <c r="H4" s="15" t="str">
        <v>F1
F2
F3</v>
      </c>
      <c r="I4" s="19" t="str">
        <v>125
335
429</v>
      </c>
      <c r="J4" s="19" t="str">
        <v>12
1
0</v>
      </c>
      <c r="K4" s="19">
        <v>0</v>
      </c>
      <c r="L4" s="19">
        <v>0</v>
      </c>
      <c r="M4" s="19">
        <v>67.820000000000007</v>
      </c>
      <c r="N4" s="19">
        <v>101.74</v>
      </c>
      <c r="O4" s="19">
        <v>39.75</v>
      </c>
      <c r="P4" s="19">
        <v>0</v>
      </c>
      <c r="Q4" s="19">
        <v>0</v>
      </c>
      <c r="R4" s="15">
        <v>0</v>
      </c>
      <c r="S4" s="15">
        <v>220.42</v>
      </c>
      <c r="T4" s="31">
        <f>'[1]29'!$T$86</f>
        <v>220.42</v>
      </c>
      <c r="U4" t="b">
        <f t="shared" si="0"/>
        <v>1</v>
      </c>
    </row>
    <row r="5" spans="1:21" ht="48" customHeight="1" x14ac:dyDescent="0.2">
      <c r="A5" s="15">
        <v>2024</v>
      </c>
      <c r="B5" s="16">
        <v>346906944</v>
      </c>
      <c r="C5" s="17">
        <v>45419</v>
      </c>
      <c r="D5" s="17">
        <v>45383</v>
      </c>
      <c r="E5" s="17">
        <v>45412</v>
      </c>
      <c r="F5" s="18">
        <v>30</v>
      </c>
      <c r="G5" s="15">
        <v>723</v>
      </c>
      <c r="H5" s="15" t="str">
        <v>F1
F2
F3</v>
      </c>
      <c r="I5" s="19" t="str">
        <v>65
258
400</v>
      </c>
      <c r="J5" s="19" t="str">
        <v>15
1
0</v>
      </c>
      <c r="K5" s="19">
        <v>0</v>
      </c>
      <c r="L5" s="19">
        <v>0</v>
      </c>
      <c r="M5" s="19">
        <v>63.2</v>
      </c>
      <c r="N5" s="19">
        <v>82.38</v>
      </c>
      <c r="O5" s="19">
        <v>34.020000000000003</v>
      </c>
      <c r="P5" s="19">
        <v>0</v>
      </c>
      <c r="Q5" s="19">
        <v>0</v>
      </c>
      <c r="R5" s="15">
        <v>0</v>
      </c>
      <c r="S5" s="15">
        <v>188.64</v>
      </c>
      <c r="T5" s="31">
        <f>'[1]29'!$T$89</f>
        <v>188.64</v>
      </c>
      <c r="U5" t="b">
        <f t="shared" si="0"/>
        <v>1</v>
      </c>
    </row>
    <row r="6" spans="1:21" ht="48" customHeight="1" x14ac:dyDescent="0.2">
      <c r="A6" s="15">
        <v>2024</v>
      </c>
      <c r="B6" s="16">
        <v>346906944</v>
      </c>
      <c r="C6" s="17">
        <v>45449</v>
      </c>
      <c r="D6" s="17">
        <v>45413</v>
      </c>
      <c r="E6" s="17">
        <v>45443</v>
      </c>
      <c r="F6" s="18">
        <v>31</v>
      </c>
      <c r="G6" s="15">
        <v>732</v>
      </c>
      <c r="H6" s="15" t="str">
        <v>F1
F2
F3</v>
      </c>
      <c r="I6" s="19" t="str">
        <v>82
262
388</v>
      </c>
      <c r="J6" s="19" t="str">
        <v>22
2
1</v>
      </c>
      <c r="K6" s="19">
        <v>0</v>
      </c>
      <c r="L6" s="19">
        <v>0</v>
      </c>
      <c r="M6" s="19">
        <v>63.24</v>
      </c>
      <c r="N6" s="19">
        <v>89.61</v>
      </c>
      <c r="O6" s="19">
        <v>35.64</v>
      </c>
      <c r="P6" s="19">
        <v>0</v>
      </c>
      <c r="Q6" s="19">
        <v>0</v>
      </c>
      <c r="R6" s="15">
        <v>0</v>
      </c>
      <c r="S6" s="15">
        <v>197.64</v>
      </c>
      <c r="T6" s="31">
        <f>'[1]29'!$T$92</f>
        <v>197.64</v>
      </c>
      <c r="U6" t="b">
        <f t="shared" si="0"/>
        <v>1</v>
      </c>
    </row>
    <row r="7" spans="1:21" ht="48" customHeight="1" x14ac:dyDescent="0.2">
      <c r="A7" s="15">
        <v>2024</v>
      </c>
      <c r="B7" s="16">
        <v>346906944</v>
      </c>
      <c r="C7" s="17">
        <v>45485</v>
      </c>
      <c r="D7" s="17">
        <v>45444</v>
      </c>
      <c r="E7" s="17">
        <v>45473</v>
      </c>
      <c r="F7" s="18">
        <v>30</v>
      </c>
      <c r="G7" s="15">
        <v>3842</v>
      </c>
      <c r="H7" s="15" t="str">
        <v>F1
F2
F3</v>
      </c>
      <c r="I7" s="19" t="str">
        <v>491
1411
1940</v>
      </c>
      <c r="J7" s="19" t="str">
        <v>72
16
19</v>
      </c>
      <c r="K7" s="19">
        <v>0</v>
      </c>
      <c r="L7" s="19">
        <v>0</v>
      </c>
      <c r="M7" s="19">
        <v>110.8</v>
      </c>
      <c r="N7" s="19">
        <v>90.09</v>
      </c>
      <c r="O7" s="19">
        <v>47.73</v>
      </c>
      <c r="P7" s="19">
        <v>0</v>
      </c>
      <c r="Q7" s="19">
        <v>0</v>
      </c>
      <c r="R7" s="15">
        <v>0</v>
      </c>
      <c r="S7" s="15">
        <v>264.69</v>
      </c>
      <c r="T7" s="31">
        <f>'[1]29'!$T$95</f>
        <v>264.69</v>
      </c>
      <c r="U7" t="b">
        <f t="shared" si="0"/>
        <v>1</v>
      </c>
    </row>
    <row r="8" spans="1:21" ht="48" customHeight="1" x14ac:dyDescent="0.2">
      <c r="A8" s="15">
        <v>2024</v>
      </c>
      <c r="B8" s="16">
        <v>346906944</v>
      </c>
      <c r="C8" s="17">
        <v>45511</v>
      </c>
      <c r="D8" s="17">
        <v>45474</v>
      </c>
      <c r="E8" s="17">
        <v>45504</v>
      </c>
      <c r="F8" s="18">
        <v>31</v>
      </c>
      <c r="G8" s="15">
        <v>2866</v>
      </c>
      <c r="H8" s="15" t="str">
        <v>F1
F2
F3</v>
      </c>
      <c r="I8" s="19" t="str">
        <v>617
901
1348</v>
      </c>
      <c r="J8" s="19" t="str">
        <v>301
239
380</v>
      </c>
      <c r="K8" s="19">
        <v>0</v>
      </c>
      <c r="L8" s="19">
        <v>0</v>
      </c>
      <c r="M8" s="19">
        <v>317.60000000000002</v>
      </c>
      <c r="N8" s="19">
        <v>423.78</v>
      </c>
      <c r="O8" s="19">
        <v>170.99</v>
      </c>
      <c r="P8" s="19">
        <v>0</v>
      </c>
      <c r="Q8" s="19">
        <v>0</v>
      </c>
      <c r="R8" s="15">
        <v>0</v>
      </c>
      <c r="S8" s="15">
        <v>948.2</v>
      </c>
      <c r="T8" s="31">
        <f>'[1]29'!$T$98</f>
        <v>948.2</v>
      </c>
      <c r="U8" t="b">
        <f t="shared" si="0"/>
        <v>1</v>
      </c>
    </row>
    <row r="9" spans="1:21" ht="48" customHeight="1" x14ac:dyDescent="0.2">
      <c r="A9" s="15">
        <v>2024</v>
      </c>
      <c r="B9" s="16">
        <v>346906944</v>
      </c>
      <c r="C9" s="17">
        <v>45542</v>
      </c>
      <c r="D9" s="17">
        <v>45505</v>
      </c>
      <c r="E9" s="17">
        <v>45535</v>
      </c>
      <c r="F9" s="18">
        <v>31</v>
      </c>
      <c r="G9" s="15">
        <v>867</v>
      </c>
      <c r="H9" s="15" t="str">
        <v>F1
F2
F3</v>
      </c>
      <c r="I9" s="19" t="str">
        <v>69
267
531</v>
      </c>
      <c r="J9" s="19" t="str">
        <v>7
0
0</v>
      </c>
      <c r="K9" s="19">
        <v>0</v>
      </c>
      <c r="L9" s="19">
        <v>0</v>
      </c>
      <c r="M9" s="19">
        <v>76.87</v>
      </c>
      <c r="N9" s="19">
        <v>138.4</v>
      </c>
      <c r="O9" s="19">
        <v>49.74</v>
      </c>
      <c r="P9" s="19">
        <v>0</v>
      </c>
      <c r="Q9" s="19">
        <v>0</v>
      </c>
      <c r="R9" s="15">
        <v>0</v>
      </c>
      <c r="S9" s="15">
        <v>275.85000000000002</v>
      </c>
      <c r="T9" s="31">
        <f>'[1]29'!$T$101</f>
        <v>275.85000000000002</v>
      </c>
      <c r="U9" t="b">
        <f t="shared" si="0"/>
        <v>1</v>
      </c>
    </row>
    <row r="10" spans="1:21" ht="48" customHeight="1" x14ac:dyDescent="0.2">
      <c r="A10" s="15">
        <v>2024</v>
      </c>
      <c r="B10" s="16">
        <v>346906944</v>
      </c>
      <c r="C10" s="17">
        <v>45571</v>
      </c>
      <c r="D10" s="17">
        <v>45536</v>
      </c>
      <c r="E10" s="17">
        <v>45565</v>
      </c>
      <c r="F10" s="18">
        <v>30</v>
      </c>
      <c r="G10" s="15">
        <v>943</v>
      </c>
      <c r="H10" s="15" t="str">
        <v>F1
F2
F3</v>
      </c>
      <c r="I10" s="19" t="str">
        <v>65
341
537</v>
      </c>
      <c r="J10" s="19" t="str">
        <v>6
3
3</v>
      </c>
      <c r="K10" s="19">
        <v>0</v>
      </c>
      <c r="L10" s="19">
        <v>0</v>
      </c>
      <c r="M10" s="19">
        <v>92.7</v>
      </c>
      <c r="N10" s="19">
        <v>135.9</v>
      </c>
      <c r="O10" s="19">
        <v>52.89</v>
      </c>
      <c r="P10" s="19">
        <v>0</v>
      </c>
      <c r="Q10" s="19">
        <v>0</v>
      </c>
      <c r="R10" s="15">
        <v>0</v>
      </c>
      <c r="S10" s="15">
        <v>293.27999999999997</v>
      </c>
      <c r="T10" s="31">
        <f>'[1]29'!$T$104</f>
        <v>293.27999999999997</v>
      </c>
      <c r="U10" t="b">
        <f t="shared" si="0"/>
        <v>1</v>
      </c>
    </row>
    <row r="11" spans="1:21" ht="48" customHeight="1" x14ac:dyDescent="0.2">
      <c r="A11" s="15">
        <v>2024</v>
      </c>
      <c r="B11" s="16">
        <v>346906944</v>
      </c>
      <c r="C11" s="17">
        <v>45604</v>
      </c>
      <c r="D11" s="17">
        <v>45566</v>
      </c>
      <c r="E11" s="17">
        <v>45596</v>
      </c>
      <c r="F11" s="18">
        <v>31</v>
      </c>
      <c r="G11" s="15">
        <v>941</v>
      </c>
      <c r="H11" s="15" t="str">
        <v>F1
F2
F3</v>
      </c>
      <c r="I11" s="19" t="str">
        <v>145
355
441</v>
      </c>
      <c r="J11" s="19" t="str">
        <v>17
2
0</v>
      </c>
      <c r="K11" s="19">
        <v>0</v>
      </c>
      <c r="L11" s="19">
        <v>0</v>
      </c>
      <c r="M11" s="19">
        <v>80.930000000000007</v>
      </c>
      <c r="N11" s="19">
        <v>137.66999999999999</v>
      </c>
      <c r="O11" s="19">
        <v>50.68</v>
      </c>
      <c r="P11" s="19">
        <v>0</v>
      </c>
      <c r="Q11" s="19">
        <v>0</v>
      </c>
      <c r="R11" s="15">
        <v>0</v>
      </c>
      <c r="S11" s="15">
        <v>281.04000000000002</v>
      </c>
      <c r="T11" s="31">
        <f>'[1]29'!$T$107</f>
        <v>281.04000000000002</v>
      </c>
      <c r="U11" t="b">
        <f t="shared" si="0"/>
        <v>1</v>
      </c>
    </row>
    <row r="12" spans="1:21" ht="48" customHeight="1" x14ac:dyDescent="0.2">
      <c r="A12" s="15">
        <v>2024</v>
      </c>
      <c r="B12" s="16">
        <v>346906944</v>
      </c>
      <c r="C12" s="17">
        <v>45632</v>
      </c>
      <c r="D12" s="17">
        <v>45597</v>
      </c>
      <c r="E12" s="17">
        <v>45626</v>
      </c>
      <c r="F12" s="18">
        <v>30</v>
      </c>
      <c r="G12" s="15">
        <v>1048</v>
      </c>
      <c r="H12" s="15" t="str">
        <v>F1
F2
F3</v>
      </c>
      <c r="I12" s="19" t="str">
        <v>204
360
484</v>
      </c>
      <c r="J12" s="19" t="str">
        <v>13
1
1</v>
      </c>
      <c r="K12" s="19">
        <v>0</v>
      </c>
      <c r="L12" s="19">
        <v>0</v>
      </c>
      <c r="M12" s="19">
        <v>85.26</v>
      </c>
      <c r="N12" s="19">
        <v>168.56</v>
      </c>
      <c r="O12" s="19">
        <v>58.72</v>
      </c>
      <c r="P12" s="19">
        <v>0</v>
      </c>
      <c r="Q12" s="19">
        <v>0</v>
      </c>
      <c r="R12" s="15">
        <v>0</v>
      </c>
      <c r="S12" s="15">
        <v>325.64</v>
      </c>
      <c r="T12" s="31">
        <f>'[1]29'!$T$110</f>
        <v>325.64</v>
      </c>
      <c r="U12" t="b">
        <f t="shared" si="0"/>
        <v>1</v>
      </c>
    </row>
    <row r="13" spans="1:21" ht="48" customHeight="1" x14ac:dyDescent="0.2">
      <c r="A13" s="15">
        <v>2024</v>
      </c>
      <c r="B13" s="16">
        <v>346906944</v>
      </c>
      <c r="C13" s="17">
        <v>45665</v>
      </c>
      <c r="D13" s="17">
        <v>45627</v>
      </c>
      <c r="E13" s="17">
        <v>45657</v>
      </c>
      <c r="F13" s="18">
        <v>31</v>
      </c>
      <c r="G13" s="15">
        <v>1519</v>
      </c>
      <c r="H13" s="15" t="str">
        <v>F1
F2
F3</v>
      </c>
      <c r="I13" s="19" t="str">
        <v>254
444
821</v>
      </c>
      <c r="J13" s="19" t="str">
        <v>8
1
0</v>
      </c>
      <c r="K13" s="19">
        <v>0</v>
      </c>
      <c r="L13" s="19">
        <v>0</v>
      </c>
      <c r="M13" s="19">
        <v>130.16999999999999</v>
      </c>
      <c r="N13" s="19">
        <v>251.25</v>
      </c>
      <c r="O13" s="19">
        <v>88.09</v>
      </c>
      <c r="P13" s="19">
        <v>0</v>
      </c>
      <c r="Q13" s="19">
        <v>0</v>
      </c>
      <c r="R13" s="15">
        <v>0</v>
      </c>
      <c r="S13" s="15">
        <v>488.5</v>
      </c>
      <c r="T13" s="31">
        <f>'[1]29'!$T$113</f>
        <v>488.5</v>
      </c>
      <c r="U13" t="b">
        <f t="shared" si="0"/>
        <v>1</v>
      </c>
    </row>
  </sheetData>
  <mergeCells count="2">
    <mergeCell ref="D1:E1"/>
    <mergeCell ref="O1:P1"/>
  </mergeCells>
  <conditionalFormatting sqref="U2:U13">
    <cfRule type="cellIs" dxfId="0" priority="1" operator="notEqual">
      <formula>TRUE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33</vt:i4>
      </vt:variant>
    </vt:vector>
  </HeadingPairs>
  <TitlesOfParts>
    <vt:vector size="33" baseType="lpstr">
      <vt:lpstr>Fabbricati</vt:lpstr>
      <vt:lpstr>Elettricità</vt:lpstr>
      <vt:lpstr>Calcolo</vt:lpstr>
      <vt:lpstr>_TemplateFabbricato (2)</vt:lpstr>
      <vt:lpstr>01</vt:lpstr>
      <vt:lpstr>02</vt:lpstr>
      <vt:lpstr>03</vt:lpstr>
      <vt:lpstr>04</vt:lpstr>
      <vt:lpstr>05</vt:lpstr>
      <vt:lpstr>06</vt:lpstr>
      <vt:lpstr>07</vt:lpstr>
      <vt:lpstr>08</vt:lpstr>
      <vt:lpstr>09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Gianni Sigalotti</cp:lastModifiedBy>
  <dcterms:created xsi:type="dcterms:W3CDTF">2026-05-08T08:04:33Z</dcterms:created>
  <dcterms:modified xsi:type="dcterms:W3CDTF">2026-07-20T15:35:52Z</dcterms:modified>
</cp:coreProperties>
</file>