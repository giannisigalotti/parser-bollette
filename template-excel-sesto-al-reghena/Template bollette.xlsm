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6" codeName="{643B0D74-A683-FBA9-23B4-8A0AA6E0B6B9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/Users/gianni/Development/parser-bollette/"/>
    </mc:Choice>
  </mc:AlternateContent>
  <xr:revisionPtr revIDLastSave="0" documentId="13_ncr:1_{934C1093-C971-AB43-B2E6-457C64524510}" xr6:coauthVersionLast="47" xr6:coauthVersionMax="47" xr10:uidLastSave="{00000000-0000-0000-0000-000000000000}"/>
  <bookViews>
    <workbookView xWindow="-7860" yWindow="-23620" windowWidth="29840" windowHeight="20340" xr2:uid="{00000000-000D-0000-FFFF-FFFF00000000}"/>
  </bookViews>
  <sheets>
    <sheet name="Fabbricati" sheetId="1" r:id="rId1"/>
    <sheet name="Elettricità" sheetId="2" r:id="rId2"/>
    <sheet name="Calcolo" sheetId="3" r:id="rId3"/>
    <sheet name="_TemplateFabbricato (2)" sheetId="5" state="hidden" r:id="rId4"/>
  </sheets>
  <definedNames>
    <definedName name="_xlnm._FilterDatabase" localSheetId="2" hidden="1">Calcolo!$A$1:$AN$2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" i="3" l="1"/>
  <c r="AJ2" i="3" s="1"/>
  <c r="T2" i="3"/>
  <c r="AM2" i="3" s="1"/>
  <c r="S2" i="3"/>
  <c r="R2" i="3"/>
  <c r="Q2" i="3"/>
  <c r="AI2" i="3" s="1"/>
  <c r="P2" i="3"/>
  <c r="O2" i="3"/>
  <c r="AN2" i="3" s="1"/>
  <c r="N2" i="3"/>
  <c r="M2" i="3"/>
  <c r="L2" i="3"/>
  <c r="K2" i="3"/>
  <c r="AE2" i="3" s="1"/>
  <c r="J2" i="3"/>
  <c r="I2" i="3"/>
  <c r="H2" i="3"/>
  <c r="G2" i="3"/>
  <c r="F2" i="3"/>
  <c r="AB2" i="3" s="1"/>
  <c r="E2" i="3"/>
  <c r="Z2" i="3" s="1"/>
  <c r="D2" i="3"/>
  <c r="Y2" i="3" s="1"/>
  <c r="V2" i="3" s="1"/>
  <c r="C2" i="3"/>
  <c r="X2" i="3" s="1"/>
  <c r="B2" i="3"/>
  <c r="A2" i="3"/>
  <c r="W2" i="3" s="1"/>
  <c r="U1" i="3"/>
  <c r="T1" i="3"/>
  <c r="S1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AA2" i="3" l="1"/>
  <c r="AD2" i="3"/>
  <c r="AH2" i="3"/>
</calcChain>
</file>

<file path=xl/sharedStrings.xml><?xml version="1.0" encoding="utf-8"?>
<sst xmlns="http://schemas.openxmlformats.org/spreadsheetml/2006/main" count="233" uniqueCount="197">
  <si>
    <t>N° prog.</t>
  </si>
  <si>
    <t>Settore - area d'attività</t>
  </si>
  <si>
    <t>Fabbricato</t>
  </si>
  <si>
    <t>Numero Cliente</t>
  </si>
  <si>
    <t>Codice POD</t>
  </si>
  <si>
    <t>01</t>
  </si>
  <si>
    <t>Associazioni</t>
  </si>
  <si>
    <t>Centro sociale Pila Riso</t>
  </si>
  <si>
    <t>IT001E04170971</t>
  </si>
  <si>
    <t>02</t>
  </si>
  <si>
    <t>Uffici</t>
  </si>
  <si>
    <t>Sede Municipale</t>
  </si>
  <si>
    <t>IT001E04170966</t>
  </si>
  <si>
    <t>03</t>
  </si>
  <si>
    <t>Torre Porta Prima</t>
  </si>
  <si>
    <t>IT001E04171047</t>
  </si>
  <si>
    <t>04</t>
  </si>
  <si>
    <t>Centro Sociale Bagnarola</t>
  </si>
  <si>
    <t>IT001E04171043</t>
  </si>
  <si>
    <t>05</t>
  </si>
  <si>
    <t>Delegazione</t>
  </si>
  <si>
    <t>IT001E04171034</t>
  </si>
  <si>
    <t>06</t>
  </si>
  <si>
    <t>Polifunzionale Ramuscello</t>
  </si>
  <si>
    <t>IT001E382914830</t>
  </si>
  <si>
    <t>07</t>
  </si>
  <si>
    <t>Auditorium "Don Bosco"</t>
  </si>
  <si>
    <t>IT001E04170953</t>
  </si>
  <si>
    <t>08</t>
  </si>
  <si>
    <t>Magazzino</t>
  </si>
  <si>
    <t>Magazzino Bagnarola</t>
  </si>
  <si>
    <t>IT001E04171039</t>
  </si>
  <si>
    <t>09</t>
  </si>
  <si>
    <t>Centro Sociale Ramuscello</t>
  </si>
  <si>
    <t>IT001E04171009</t>
  </si>
  <si>
    <t>10</t>
  </si>
  <si>
    <t>Cimiteri</t>
  </si>
  <si>
    <t>Area cimiteriale Capoluogo</t>
  </si>
  <si>
    <t>IT001E04170930</t>
  </si>
  <si>
    <t>11</t>
  </si>
  <si>
    <t>Scuole</t>
  </si>
  <si>
    <t>Elementare Capoluogo</t>
  </si>
  <si>
    <t>IT001E04170922</t>
  </si>
  <si>
    <t>12</t>
  </si>
  <si>
    <t>Assistenza</t>
  </si>
  <si>
    <t>Centro Anziani (Ex-Eca)</t>
  </si>
  <si>
    <t>IT001E04170926</t>
  </si>
  <si>
    <t>13</t>
  </si>
  <si>
    <t>Protezione civile</t>
  </si>
  <si>
    <t>Sede Marignana</t>
  </si>
  <si>
    <t>IT001E04171054</t>
  </si>
  <si>
    <t>14</t>
  </si>
  <si>
    <t>Area cimiteriale Bagnarola</t>
  </si>
  <si>
    <t>IT001E04171050</t>
  </si>
  <si>
    <t>15</t>
  </si>
  <si>
    <t>Centro Sociale Versiola</t>
  </si>
  <si>
    <t>IT001E04170962</t>
  </si>
  <si>
    <t>16</t>
  </si>
  <si>
    <t>Area cimiteriale Ramuscello</t>
  </si>
  <si>
    <t>IT001E04171021</t>
  </si>
  <si>
    <t>17</t>
  </si>
  <si>
    <t>Sport</t>
  </si>
  <si>
    <t>Impianto Ramuscello</t>
  </si>
  <si>
    <t>IT001E04171025</t>
  </si>
  <si>
    <t>18</t>
  </si>
  <si>
    <t>Palazzetto Burovich</t>
  </si>
  <si>
    <t>IT001E04170957</t>
  </si>
  <si>
    <t>19</t>
  </si>
  <si>
    <t>Elementare Bagnarola</t>
  </si>
  <si>
    <t>IT001E04183781</t>
  </si>
  <si>
    <t>20</t>
  </si>
  <si>
    <t>Materna Ramuscello</t>
  </si>
  <si>
    <t>IT001E04171013</t>
  </si>
  <si>
    <t>21</t>
  </si>
  <si>
    <t>Impianto tennis Bagnarola</t>
  </si>
  <si>
    <t>IT001E04170980</t>
  </si>
  <si>
    <t>22</t>
  </si>
  <si>
    <t>Media Bagnarola</t>
  </si>
  <si>
    <t>IT001E04170994</t>
  </si>
  <si>
    <t>23</t>
  </si>
  <si>
    <t>Impianto Bagnarola</t>
  </si>
  <si>
    <t>IT001E04170984</t>
  </si>
  <si>
    <t>24</t>
  </si>
  <si>
    <t>Palestra Bagnarola</t>
  </si>
  <si>
    <t>IT001E04170988</t>
  </si>
  <si>
    <t>25</t>
  </si>
  <si>
    <t>Impianto Sesto</t>
  </si>
  <si>
    <t>IT001E04170934</t>
  </si>
  <si>
    <t>26</t>
  </si>
  <si>
    <t>Magazzino Capoluogo</t>
  </si>
  <si>
    <t>IT001E04170940</t>
  </si>
  <si>
    <t>27</t>
  </si>
  <si>
    <t>Ecopiazzole</t>
  </si>
  <si>
    <t>Centro raccolta Capoluogo</t>
  </si>
  <si>
    <t>IT001E34174747</t>
  </si>
  <si>
    <t>28</t>
  </si>
  <si>
    <t>Centro sociale Casette</t>
  </si>
  <si>
    <t>IT001E04171031</t>
  </si>
  <si>
    <t>29</t>
  </si>
  <si>
    <t>Manifestazioni pubbliche</t>
  </si>
  <si>
    <t>IT001E34690694</t>
  </si>
  <si>
    <t>source_file</t>
  </si>
  <si>
    <t>supplier_template</t>
  </si>
  <si>
    <t>supplier_name</t>
  </si>
  <si>
    <t>invoice_number</t>
  </si>
  <si>
    <t>invoice_date</t>
  </si>
  <si>
    <t>due_date</t>
  </si>
  <si>
    <t>customer_name</t>
  </si>
  <si>
    <t>supply_address</t>
  </si>
  <si>
    <t>pod_code</t>
  </si>
  <si>
    <t>tariff_code</t>
  </si>
  <si>
    <t>billing_period_start</t>
  </si>
  <si>
    <t>billing_period_end</t>
  </si>
  <si>
    <t>consumption_kwh</t>
  </si>
  <si>
    <t>consumption_f1_kwh</t>
  </si>
  <si>
    <t>consumption_f2_kwh</t>
  </si>
  <si>
    <t>consumption_f3_kwh</t>
  </si>
  <si>
    <t>reactive_energy_kvarh</t>
  </si>
  <si>
    <t>reactive_energy_f1_kvarh</t>
  </si>
  <si>
    <t>reactive_energy_f2_kvarh</t>
  </si>
  <si>
    <t>reactive_energy_f3_kvarh</t>
  </si>
  <si>
    <t>committed_power_kw</t>
  </si>
  <si>
    <t>available_power_kw</t>
  </si>
  <si>
    <t>total_amount_eur</t>
  </si>
  <si>
    <t>invoice_total_eur</t>
  </si>
  <si>
    <t>bonus_eur</t>
  </si>
  <si>
    <t>energy_cost_eur</t>
  </si>
  <si>
    <t>transport_eur</t>
  </si>
  <si>
    <t>system_charges_eur</t>
  </si>
  <si>
    <t>taxes_eur</t>
  </si>
  <si>
    <t>vat_eur</t>
  </si>
  <si>
    <t>tv_license_eur</t>
  </si>
  <si>
    <t>energy_qty</t>
  </si>
  <si>
    <t>energy_unit_rate</t>
  </si>
  <si>
    <t>energy_imponibile_eur</t>
  </si>
  <si>
    <t>losses_qty</t>
  </si>
  <si>
    <t>losses_unit_rate</t>
  </si>
  <si>
    <t>losses_imponibile_eur</t>
  </si>
  <si>
    <t>dispbt_qty</t>
  </si>
  <si>
    <t>dispbt_unit_rate</t>
  </si>
  <si>
    <t>dispbt_imponibile_eur</t>
  </si>
  <si>
    <t>commercialization_qty</t>
  </si>
  <si>
    <t>commercialization_unit_rate</t>
  </si>
  <si>
    <t>commercialization_imponibile_eur</t>
  </si>
  <si>
    <t>capacity_market_qty</t>
  </si>
  <si>
    <t>capacity_market_unit_rate</t>
  </si>
  <si>
    <t>capacity_market_imponibile_eur</t>
  </si>
  <si>
    <t>dispatching_qty</t>
  </si>
  <si>
    <t>dispatching_unit_rate</t>
  </si>
  <si>
    <t>dispatching_imponibile_eur</t>
  </si>
  <si>
    <t>transport_energy_qty</t>
  </si>
  <si>
    <t>transport_energy_unit_rate</t>
  </si>
  <si>
    <t>transport_energy_imponibile_eur</t>
  </si>
  <si>
    <t>transport_fixed_qty</t>
  </si>
  <si>
    <t>transport_fixed_unit_rate</t>
  </si>
  <si>
    <t>transport_fixed_imponibile_eur</t>
  </si>
  <si>
    <t>transport_power_qty</t>
  </si>
  <si>
    <t>transport_power_unit_rate</t>
  </si>
  <si>
    <t>transport_power_imponibile_eur</t>
  </si>
  <si>
    <t>uc3_qty</t>
  </si>
  <si>
    <t>uc3_unit_rate</t>
  </si>
  <si>
    <t>uc3_imponibile_eur</t>
  </si>
  <si>
    <t>uc6_fixed_qty</t>
  </si>
  <si>
    <t>uc6_fixed_unit_rate</t>
  </si>
  <si>
    <t>uc6_fixed_imponibile_eur</t>
  </si>
  <si>
    <t>uc6_variable_qty</t>
  </si>
  <si>
    <t>uc6_variable_unit_rate</t>
  </si>
  <si>
    <t>uc6_variable_imponibile_eur</t>
  </si>
  <si>
    <t>arim_qty</t>
  </si>
  <si>
    <t>arim_unit_rate</t>
  </si>
  <si>
    <t>arim_imponibile_eur</t>
  </si>
  <si>
    <t>asos_qty</t>
  </si>
  <si>
    <t>asos_unit_rate</t>
  </si>
  <si>
    <t>asos_imponibile_eur</t>
  </si>
  <si>
    <t>excise_qty</t>
  </si>
  <si>
    <t>excise_unit_rate</t>
  </si>
  <si>
    <t>excise_imponibile_eur</t>
  </si>
  <si>
    <t>notes</t>
  </si>
  <si>
    <t>Anno</t>
  </si>
  <si>
    <t>Data  fattura</t>
  </si>
  <si>
    <t>Periodo di riferimento</t>
  </si>
  <si>
    <t>Giorni</t>
  </si>
  <si>
    <t>Consumi totali</t>
  </si>
  <si>
    <t>Fasce orarie di riferimento</t>
  </si>
  <si>
    <t>Consumo energia attiva (prelievi)</t>
  </si>
  <si>
    <t>Consumo energia reattiva (prelievi)</t>
  </si>
  <si>
    <t>cos fi</t>
  </si>
  <si>
    <t>Potenza (prelievo)</t>
  </si>
  <si>
    <t>Corrispettivo uso reti (quota fissa, potenza, energia)</t>
  </si>
  <si>
    <t>Corrispettivo acquisto, vendita, ..</t>
  </si>
  <si>
    <t>Imposte</t>
  </si>
  <si>
    <t>Proventi e oneri diversi</t>
  </si>
  <si>
    <t>IVA 22%</t>
  </si>
  <si>
    <t>Totale Bolletta</t>
  </si>
  <si>
    <t>F1
F2
F3</t>
  </si>
  <si>
    <t>Numero cliente</t>
  </si>
  <si>
    <t>Numero giorni di riferimento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</si>
</sst>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 \ ###\ \ ###"/>
    <numFmt numFmtId="165" formatCode="##\ \ ###\ \ #\ \ ###\ \ ###\ \ ##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DDDDDD"/>
        <bgColor rgb="FFDDDDDD"/>
      </patternFill>
    </fill>
    <fill>
      <patternFill patternType="solid">
        <fgColor indexed="53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rgb="FFFFCC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4" fontId="0" fillId="0" borderId="0" xfId="0" applyNumberFormat="1"/>
    <xf numFmtId="0" fontId="4" fillId="0" borderId="0" xfId="0" applyFont="1"/>
    <xf numFmtId="0" fontId="4" fillId="5" borderId="0" xfId="0" applyFont="1" applyFill="1" applyAlignment="1">
      <alignment horizontal="left" vertical="center"/>
    </xf>
    <xf numFmtId="14" fontId="4" fillId="5" borderId="0" xfId="0" applyNumberFormat="1" applyFont="1" applyFill="1" applyAlignment="1">
      <alignment horizontal="left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2" fillId="3" borderId="5" xfId="0" applyFont="1" applyFill="1" applyBorder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3" fillId="4" borderId="7" xfId="0" applyFont="1" applyFill="1" applyBorder="1" applyAlignment="1">
      <alignment horizontal="center" wrapText="1"/>
    </xf>
    <xf numFmtId="14" fontId="2" fillId="3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0" fontId="2" fillId="6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0" borderId="4" xfId="0" applyBorder="1"/>
    <xf numFmtId="14" fontId="2" fillId="3" borderId="1" xfId="0" applyNumberFormat="1" applyFont="1" applyFill="1" applyBorder="1" applyAlignment="1">
      <alignment horizontal="center" vertical="center" wrapText="1"/>
    </xf>
    <xf numFmtId="0" fontId="0" fillId="0" borderId="8" xfId="0" applyBorder="1"/>
    <xf numFmtId="0" fontId="2" fillId="3" borderId="1" xfId="0" applyFont="1" applyFill="1" applyBorder="1" applyAlignment="1">
      <alignment horizontal="center" vertical="center" wrapText="1"/>
    </xf>
  </cellXfs>
  <cellStyles count="1"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821267</xdr:colOff>
          <xdr:row>1</xdr:row>
          <xdr:rowOff>55033</xdr:rowOff>
        </xdr:from>
        <xdr:to>
          <xdr:col>7</xdr:col>
          <xdr:colOff>711199</xdr:colOff>
          <xdr:row>9</xdr:row>
          <xdr:rowOff>25400</xdr:rowOff>
        </xdr:to>
        <xdr:grpSp>
          <xdr:nvGrpSpPr>
            <xdr:cNvPr id="2" name="Gruppo 1">
              <a:extLst>
                <a:ext uri="{FF2B5EF4-FFF2-40B4-BE49-F238E27FC236}">
                  <a16:creationId xmlns:a16="http://schemas.microsoft.com/office/drawing/2014/main" id="{E9B402F4-D9C3-EA2C-5F1D-A5CC85F0A98C}"/>
                </a:ext>
              </a:extLst>
            </xdr:cNvPr>
            <xdr:cNvGrpSpPr/>
          </xdr:nvGrpSpPr>
          <xdr:grpSpPr>
            <a:xfrm>
              <a:off x="10843684" y="541866"/>
              <a:ext cx="1540932" cy="1494367"/>
              <a:chOff x="10843684" y="541866"/>
              <a:chExt cx="1540932" cy="1494367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BF4BE6B5-B45B-FE71-C222-CB1F3B787C45}"/>
                  </a:ext>
                </a:extLst>
              </xdr:cNvPr>
              <xdr:cNvSpPr/>
            </xdr:nvSpPr>
            <xdr:spPr bwMode="auto">
              <a:xfrm>
                <a:off x="10843684" y="1096434"/>
                <a:ext cx="1519767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it-IT" sz="1000" b="0" i="0" u="none" strike="noStrike" baseline="0">
                    <a:solidFill>
                      <a:srgbClr val="000000"/>
                    </a:solidFill>
                    <a:latin typeface="Arial" pitchFamily="2" charset="0"/>
                    <a:cs typeface="Arial" pitchFamily="2" charset="0"/>
                  </a:rPr>
                  <a:t>Aggiorna fogli fabbricati</a:t>
                </a:r>
              </a:p>
            </xdr:txBody>
          </xdr: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3D97BC19-A314-896A-4FA4-32547C137B35}"/>
                  </a:ext>
                </a:extLst>
              </xdr:cNvPr>
              <xdr:cNvSpPr/>
            </xdr:nvSpPr>
            <xdr:spPr bwMode="auto">
              <a:xfrm>
                <a:off x="10856383" y="541866"/>
                <a:ext cx="1528233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it-IT" sz="1000" b="0" i="0" u="none" strike="noStrike" baseline="0">
                    <a:solidFill>
                      <a:srgbClr val="000000"/>
                    </a:solidFill>
                    <a:latin typeface="Arial" pitchFamily="2" charset="0"/>
                    <a:cs typeface="Arial" pitchFamily="2" charset="0"/>
                  </a:rPr>
                  <a:t>Cancella fogli fabbricati</a:t>
                </a:r>
              </a:p>
            </xdr:txBody>
          </xdr:sp>
          <xdr:sp macro="" textlink="">
            <xdr:nvSpPr>
              <xdr:cNvPr id="1028" name="Button 4" descr="Ricalcola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9B066C72-98C5-A68F-4D54-77BA87D4CE99}"/>
                  </a:ext>
                </a:extLst>
              </xdr:cNvPr>
              <xdr:cNvSpPr/>
            </xdr:nvSpPr>
            <xdr:spPr bwMode="auto">
              <a:xfrm>
                <a:off x="10845801" y="1655233"/>
                <a:ext cx="1524000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it-IT" sz="1100" b="0" i="0" u="none" strike="noStrike" baseline="0">
                    <a:solidFill>
                      <a:srgbClr val="000000"/>
                    </a:solidFill>
                    <a:latin typeface="Calibri" pitchFamily="2" charset="0"/>
                    <a:cs typeface="Calibri" pitchFamily="2" charset="0"/>
                  </a:rPr>
                  <a:t>Ricalcola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E30"/>
  <sheetViews>
    <sheetView tabSelected="1" zoomScale="120" zoomScaleNormal="120" workbookViewId="0">
      <selection activeCell="G15" sqref="G15"/>
    </sheetView>
  </sheetViews>
  <sheetFormatPr baseColWidth="10" defaultRowHeight="15" x14ac:dyDescent="0.2"/>
  <cols>
    <col min="1" max="1" width="18.6640625" customWidth="1"/>
    <col min="2" max="2" width="25.5" customWidth="1"/>
    <col min="3" max="3" width="33" customWidth="1"/>
    <col min="4" max="4" width="26.83203125" customWidth="1"/>
    <col min="5" max="5" width="27.5" customWidth="1"/>
  </cols>
  <sheetData>
    <row r="1" spans="1:5" ht="38" customHeight="1" x14ac:dyDescent="0.2">
      <c r="A1" s="30" t="s">
        <v>0</v>
      </c>
      <c r="B1" s="30" t="s">
        <v>1</v>
      </c>
      <c r="C1" s="31" t="s">
        <v>2</v>
      </c>
      <c r="D1" s="31" t="s">
        <v>3</v>
      </c>
      <c r="E1" s="31" t="s">
        <v>4</v>
      </c>
    </row>
    <row r="2" spans="1:5" x14ac:dyDescent="0.2">
      <c r="A2" s="25" t="s">
        <v>5</v>
      </c>
      <c r="B2" s="26" t="s">
        <v>6</v>
      </c>
      <c r="C2" s="27" t="s">
        <v>7</v>
      </c>
      <c r="D2" s="28">
        <v>382910133</v>
      </c>
      <c r="E2" s="29" t="s">
        <v>8</v>
      </c>
    </row>
    <row r="3" spans="1:5" x14ac:dyDescent="0.2">
      <c r="A3" s="25" t="s">
        <v>9</v>
      </c>
      <c r="B3" s="26" t="s">
        <v>10</v>
      </c>
      <c r="C3" s="27" t="s">
        <v>11</v>
      </c>
      <c r="D3" s="28">
        <v>382909771</v>
      </c>
      <c r="E3" s="29" t="s">
        <v>12</v>
      </c>
    </row>
    <row r="4" spans="1:5" x14ac:dyDescent="0.2">
      <c r="A4" s="25" t="s">
        <v>13</v>
      </c>
      <c r="B4" s="26" t="s">
        <v>6</v>
      </c>
      <c r="C4" s="27" t="s">
        <v>14</v>
      </c>
      <c r="D4" s="28">
        <v>382909739</v>
      </c>
      <c r="E4" s="29" t="s">
        <v>15</v>
      </c>
    </row>
    <row r="5" spans="1:5" x14ac:dyDescent="0.2">
      <c r="A5" s="25" t="s">
        <v>16</v>
      </c>
      <c r="B5" s="26" t="s">
        <v>6</v>
      </c>
      <c r="C5" s="27" t="s">
        <v>17</v>
      </c>
      <c r="D5" s="28">
        <v>382926102</v>
      </c>
      <c r="E5" s="29" t="s">
        <v>18</v>
      </c>
    </row>
    <row r="6" spans="1:5" x14ac:dyDescent="0.2">
      <c r="A6" s="25" t="s">
        <v>19</v>
      </c>
      <c r="B6" s="26" t="s">
        <v>10</v>
      </c>
      <c r="C6" s="27" t="s">
        <v>20</v>
      </c>
      <c r="D6" s="28">
        <v>382926072</v>
      </c>
      <c r="E6" s="29" t="s">
        <v>21</v>
      </c>
    </row>
    <row r="7" spans="1:5" x14ac:dyDescent="0.2">
      <c r="A7" s="25" t="s">
        <v>22</v>
      </c>
      <c r="B7" s="26" t="s">
        <v>6</v>
      </c>
      <c r="C7" s="27" t="s">
        <v>23</v>
      </c>
      <c r="D7" s="28">
        <v>382914830</v>
      </c>
      <c r="E7" s="29" t="s">
        <v>24</v>
      </c>
    </row>
    <row r="8" spans="1:5" x14ac:dyDescent="0.2">
      <c r="A8" s="25" t="s">
        <v>25</v>
      </c>
      <c r="B8" s="26" t="s">
        <v>6</v>
      </c>
      <c r="C8" s="27" t="s">
        <v>26</v>
      </c>
      <c r="D8" s="28">
        <v>382443721</v>
      </c>
      <c r="E8" s="29" t="s">
        <v>27</v>
      </c>
    </row>
    <row r="9" spans="1:5" x14ac:dyDescent="0.2">
      <c r="A9" s="25" t="s">
        <v>28</v>
      </c>
      <c r="B9" s="26" t="s">
        <v>29</v>
      </c>
      <c r="C9" s="27" t="s">
        <v>30</v>
      </c>
      <c r="D9" s="28">
        <v>302479003</v>
      </c>
      <c r="E9" s="29" t="s">
        <v>31</v>
      </c>
    </row>
    <row r="10" spans="1:5" x14ac:dyDescent="0.2">
      <c r="A10" s="25" t="s">
        <v>32</v>
      </c>
      <c r="B10" s="26" t="s">
        <v>6</v>
      </c>
      <c r="C10" s="27" t="s">
        <v>33</v>
      </c>
      <c r="D10" s="28">
        <v>382913337</v>
      </c>
      <c r="E10" s="29" t="s">
        <v>34</v>
      </c>
    </row>
    <row r="11" spans="1:5" x14ac:dyDescent="0.2">
      <c r="A11" s="25" t="s">
        <v>35</v>
      </c>
      <c r="B11" s="26" t="s">
        <v>36</v>
      </c>
      <c r="C11" s="27" t="s">
        <v>37</v>
      </c>
      <c r="D11" s="28">
        <v>382908350</v>
      </c>
      <c r="E11" s="29" t="s">
        <v>38</v>
      </c>
    </row>
    <row r="12" spans="1:5" x14ac:dyDescent="0.2">
      <c r="A12" s="25" t="s">
        <v>39</v>
      </c>
      <c r="B12" s="26" t="s">
        <v>40</v>
      </c>
      <c r="C12" s="27" t="s">
        <v>41</v>
      </c>
      <c r="D12" s="28">
        <v>382908635</v>
      </c>
      <c r="E12" s="29" t="s">
        <v>42</v>
      </c>
    </row>
    <row r="13" spans="1:5" x14ac:dyDescent="0.2">
      <c r="A13" s="25" t="s">
        <v>43</v>
      </c>
      <c r="B13" s="26" t="s">
        <v>44</v>
      </c>
      <c r="C13" s="27" t="s">
        <v>45</v>
      </c>
      <c r="D13" s="28">
        <v>382397959</v>
      </c>
      <c r="E13" s="29" t="s">
        <v>46</v>
      </c>
    </row>
    <row r="14" spans="1:5" x14ac:dyDescent="0.2">
      <c r="A14" s="25" t="s">
        <v>47</v>
      </c>
      <c r="B14" s="26" t="s">
        <v>48</v>
      </c>
      <c r="C14" s="27" t="s">
        <v>49</v>
      </c>
      <c r="D14" s="28">
        <v>382909313</v>
      </c>
      <c r="E14" s="29" t="s">
        <v>50</v>
      </c>
    </row>
    <row r="15" spans="1:5" x14ac:dyDescent="0.2">
      <c r="A15" s="25" t="s">
        <v>51</v>
      </c>
      <c r="B15" s="26" t="s">
        <v>36</v>
      </c>
      <c r="C15" s="27" t="s">
        <v>52</v>
      </c>
      <c r="D15" s="28">
        <v>382921101</v>
      </c>
      <c r="E15" s="29" t="s">
        <v>53</v>
      </c>
    </row>
    <row r="16" spans="1:5" x14ac:dyDescent="0.2">
      <c r="A16" s="25" t="s">
        <v>54</v>
      </c>
      <c r="B16" s="26" t="s">
        <v>6</v>
      </c>
      <c r="C16" s="27" t="s">
        <v>55</v>
      </c>
      <c r="D16" s="28">
        <v>382402260</v>
      </c>
      <c r="E16" s="29" t="s">
        <v>56</v>
      </c>
    </row>
    <row r="17" spans="1:5" x14ac:dyDescent="0.2">
      <c r="A17" s="25" t="s">
        <v>57</v>
      </c>
      <c r="B17" s="26" t="s">
        <v>36</v>
      </c>
      <c r="C17" s="27" t="s">
        <v>58</v>
      </c>
      <c r="D17" s="28">
        <v>382911814</v>
      </c>
      <c r="E17" s="29" t="s">
        <v>59</v>
      </c>
    </row>
    <row r="18" spans="1:5" x14ac:dyDescent="0.2">
      <c r="A18" s="25" t="s">
        <v>60</v>
      </c>
      <c r="B18" s="26" t="s">
        <v>61</v>
      </c>
      <c r="C18" s="27" t="s">
        <v>62</v>
      </c>
      <c r="D18" s="28">
        <v>382911971</v>
      </c>
      <c r="E18" s="29" t="s">
        <v>63</v>
      </c>
    </row>
    <row r="19" spans="1:5" x14ac:dyDescent="0.2">
      <c r="A19" s="25" t="s">
        <v>64</v>
      </c>
      <c r="B19" s="26" t="s">
        <v>10</v>
      </c>
      <c r="C19" s="27" t="s">
        <v>65</v>
      </c>
      <c r="D19" s="28">
        <v>382905555</v>
      </c>
      <c r="E19" s="29" t="s">
        <v>66</v>
      </c>
    </row>
    <row r="20" spans="1:5" x14ac:dyDescent="0.2">
      <c r="A20" s="25" t="s">
        <v>67</v>
      </c>
      <c r="B20" s="26" t="s">
        <v>40</v>
      </c>
      <c r="C20" s="27" t="s">
        <v>68</v>
      </c>
      <c r="D20" s="28">
        <v>382919688</v>
      </c>
      <c r="E20" s="29" t="s">
        <v>69</v>
      </c>
    </row>
    <row r="21" spans="1:5" x14ac:dyDescent="0.2">
      <c r="A21" s="25" t="s">
        <v>70</v>
      </c>
      <c r="B21" s="26" t="s">
        <v>40</v>
      </c>
      <c r="C21" s="27" t="s">
        <v>71</v>
      </c>
      <c r="D21" s="28">
        <v>382912918</v>
      </c>
      <c r="E21" s="29" t="s">
        <v>72</v>
      </c>
    </row>
    <row r="22" spans="1:5" x14ac:dyDescent="0.2">
      <c r="A22" s="25" t="s">
        <v>73</v>
      </c>
      <c r="B22" s="26" t="s">
        <v>61</v>
      </c>
      <c r="C22" s="27" t="s">
        <v>74</v>
      </c>
      <c r="D22" s="28">
        <v>300469116</v>
      </c>
      <c r="E22" s="29" t="s">
        <v>75</v>
      </c>
    </row>
    <row r="23" spans="1:5" x14ac:dyDescent="0.2">
      <c r="A23" s="25" t="s">
        <v>76</v>
      </c>
      <c r="B23" s="26" t="s">
        <v>40</v>
      </c>
      <c r="C23" s="27" t="s">
        <v>77</v>
      </c>
      <c r="D23" s="28">
        <v>382917065</v>
      </c>
      <c r="E23" s="29" t="s">
        <v>78</v>
      </c>
    </row>
    <row r="24" spans="1:5" x14ac:dyDescent="0.2">
      <c r="A24" s="25" t="s">
        <v>79</v>
      </c>
      <c r="B24" s="26" t="s">
        <v>61</v>
      </c>
      <c r="C24" s="27" t="s">
        <v>80</v>
      </c>
      <c r="D24" s="28">
        <v>382917332</v>
      </c>
      <c r="E24" s="29" t="s">
        <v>81</v>
      </c>
    </row>
    <row r="25" spans="1:5" x14ac:dyDescent="0.2">
      <c r="A25" s="25" t="s">
        <v>82</v>
      </c>
      <c r="B25" s="26" t="s">
        <v>61</v>
      </c>
      <c r="C25" s="27" t="s">
        <v>83</v>
      </c>
      <c r="D25" s="28">
        <v>382437926</v>
      </c>
      <c r="E25" s="29" t="s">
        <v>84</v>
      </c>
    </row>
    <row r="26" spans="1:5" x14ac:dyDescent="0.2">
      <c r="A26" s="25" t="s">
        <v>85</v>
      </c>
      <c r="B26" s="26" t="s">
        <v>61</v>
      </c>
      <c r="C26" s="27" t="s">
        <v>86</v>
      </c>
      <c r="D26" s="28">
        <v>382908180</v>
      </c>
      <c r="E26" s="29" t="s">
        <v>87</v>
      </c>
    </row>
    <row r="27" spans="1:5" x14ac:dyDescent="0.2">
      <c r="A27" s="25" t="s">
        <v>88</v>
      </c>
      <c r="B27" s="26" t="s">
        <v>29</v>
      </c>
      <c r="C27" s="27" t="s">
        <v>89</v>
      </c>
      <c r="D27" s="28">
        <v>343500343</v>
      </c>
      <c r="E27" s="29" t="s">
        <v>90</v>
      </c>
    </row>
    <row r="28" spans="1:5" x14ac:dyDescent="0.2">
      <c r="A28" s="25" t="s">
        <v>91</v>
      </c>
      <c r="B28" s="26" t="s">
        <v>92</v>
      </c>
      <c r="C28" s="27" t="s">
        <v>93</v>
      </c>
      <c r="D28" s="28">
        <v>341747473</v>
      </c>
      <c r="E28" s="29" t="s">
        <v>94</v>
      </c>
    </row>
    <row r="29" spans="1:5" x14ac:dyDescent="0.2">
      <c r="A29" s="25" t="s">
        <v>95</v>
      </c>
      <c r="B29" s="26" t="s">
        <v>6</v>
      </c>
      <c r="C29" s="27" t="s">
        <v>96</v>
      </c>
      <c r="D29" s="28">
        <v>1000016205</v>
      </c>
      <c r="E29" s="29" t="s">
        <v>97</v>
      </c>
    </row>
    <row r="30" spans="1:5" x14ac:dyDescent="0.2">
      <c r="A30" s="25" t="s">
        <v>98</v>
      </c>
      <c r="B30" s="26" t="s">
        <v>6</v>
      </c>
      <c r="C30" s="27" t="s">
        <v>99</v>
      </c>
      <c r="D30" s="28">
        <v>346906944</v>
      </c>
      <c r="E30" s="29" t="s">
        <v>100</v>
      </c>
    </row>
  </sheetData>
  <pageMargins left="0.7" right="0.7" top="0.75" bottom="0.75" header="0.3" footer="0.3"/>
  <ignoredErrors>
    <ignoredError sqref="A2:A30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ggiornaFogliFabbricati">
                <anchor moveWithCells="1" sizeWithCells="1">
                  <from>
                    <xdr:col>5</xdr:col>
                    <xdr:colOff>825500</xdr:colOff>
                    <xdr:row>4</xdr:row>
                    <xdr:rowOff>38100</xdr:rowOff>
                  </from>
                  <to>
                    <xdr:col>7</xdr:col>
                    <xdr:colOff>685800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ncellaFogliFabbricati">
                <anchor moveWithCells="1" sizeWithCells="1">
                  <from>
                    <xdr:col>6</xdr:col>
                    <xdr:colOff>12700</xdr:colOff>
                    <xdr:row>1</xdr:row>
                    <xdr:rowOff>50800</xdr:rowOff>
                  </from>
                  <to>
                    <xdr:col>7</xdr:col>
                    <xdr:colOff>711200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llineaFoglioCalcoloDaElettricita" altText="Ricalcola">
                <anchor moveWithCells="1" sizeWithCells="1">
                  <from>
                    <xdr:col>5</xdr:col>
                    <xdr:colOff>825500</xdr:colOff>
                    <xdr:row>7</xdr:row>
                    <xdr:rowOff>25400</xdr:rowOff>
                  </from>
                  <to>
                    <xdr:col>7</xdr:col>
                    <xdr:colOff>698500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BY347"/>
  <sheetViews>
    <sheetView zoomScale="130" zoomScaleNormal="130" workbookViewId="0">
      <selection activeCell="A2" sqref="A2:XFD2"/>
    </sheetView>
  </sheetViews>
  <sheetFormatPr baseColWidth="10" defaultColWidth="8.83203125" defaultRowHeight="15" x14ac:dyDescent="0.2"/>
  <cols>
    <col min="1" max="1" width="33" customWidth="1"/>
    <col min="2" max="2" width="19" customWidth="1"/>
    <col min="3" max="3" width="40" customWidth="1"/>
    <col min="4" max="4" width="16" customWidth="1"/>
    <col min="5" max="6" width="21" customWidth="1"/>
    <col min="7" max="7" width="28" customWidth="1"/>
    <col min="8" max="8" width="40" customWidth="1"/>
    <col min="9" max="9" width="16" customWidth="1"/>
    <col min="10" max="10" width="34" customWidth="1"/>
    <col min="11" max="11" width="22" customWidth="1"/>
    <col min="12" max="12" width="21" customWidth="1"/>
    <col min="13" max="13" width="17" customWidth="1"/>
    <col min="14" max="16" width="20" customWidth="1"/>
    <col min="17" max="17" width="23" customWidth="1"/>
    <col min="18" max="20" width="26" customWidth="1"/>
    <col min="21" max="22" width="20" customWidth="1"/>
    <col min="23" max="23" width="18" customWidth="1"/>
    <col min="24" max="24" width="19" customWidth="1"/>
    <col min="25" max="25" width="11" customWidth="1"/>
    <col min="26" max="26" width="17" customWidth="1"/>
    <col min="27" max="27" width="15" customWidth="1"/>
    <col min="28" max="28" width="20" customWidth="1"/>
    <col min="29" max="30" width="11" customWidth="1"/>
    <col min="31" max="31" width="16" customWidth="1"/>
    <col min="32" max="32" width="12" customWidth="1"/>
    <col min="33" max="33" width="18" customWidth="1"/>
    <col min="34" max="34" width="23" customWidth="1"/>
    <col min="35" max="35" width="12" customWidth="1"/>
    <col min="36" max="36" width="18" customWidth="1"/>
    <col min="37" max="37" width="23" customWidth="1"/>
    <col min="38" max="38" width="12" customWidth="1"/>
    <col min="39" max="39" width="18" customWidth="1"/>
    <col min="40" max="41" width="23" customWidth="1"/>
    <col min="42" max="42" width="29" customWidth="1"/>
    <col min="43" max="43" width="34" customWidth="1"/>
    <col min="44" max="44" width="21" customWidth="1"/>
    <col min="45" max="45" width="27" customWidth="1"/>
    <col min="46" max="46" width="32" customWidth="1"/>
    <col min="47" max="47" width="17" customWidth="1"/>
    <col min="48" max="48" width="23" customWidth="1"/>
    <col min="49" max="49" width="28" customWidth="1"/>
    <col min="50" max="50" width="22" customWidth="1"/>
    <col min="51" max="51" width="28" customWidth="1"/>
    <col min="52" max="52" width="33" customWidth="1"/>
    <col min="53" max="53" width="21" customWidth="1"/>
    <col min="54" max="54" width="27" customWidth="1"/>
    <col min="55" max="55" width="32" customWidth="1"/>
    <col min="56" max="56" width="21" customWidth="1"/>
    <col min="57" max="57" width="27" customWidth="1"/>
    <col min="58" max="58" width="32" customWidth="1"/>
    <col min="59" max="59" width="9" customWidth="1"/>
    <col min="60" max="60" width="15" customWidth="1"/>
    <col min="61" max="61" width="20" customWidth="1"/>
    <col min="62" max="62" width="15" customWidth="1"/>
    <col min="63" max="63" width="21" customWidth="1"/>
    <col min="64" max="64" width="26" customWidth="1"/>
    <col min="65" max="65" width="18" customWidth="1"/>
    <col min="66" max="66" width="24" customWidth="1"/>
    <col min="67" max="67" width="29" customWidth="1"/>
    <col min="68" max="68" width="10" customWidth="1"/>
    <col min="69" max="69" width="16" customWidth="1"/>
    <col min="70" max="70" width="21" customWidth="1"/>
    <col min="71" max="71" width="10" customWidth="1"/>
    <col min="72" max="72" width="16" customWidth="1"/>
    <col min="73" max="73" width="21" customWidth="1"/>
    <col min="74" max="74" width="12" customWidth="1"/>
    <col min="75" max="75" width="18" customWidth="1"/>
    <col min="76" max="76" width="23" customWidth="1"/>
    <col min="77" max="77" width="40" customWidth="1"/>
  </cols>
  <sheetData>
    <row r="1" spans="1:77" x14ac:dyDescent="0.2">
      <c r="A1" s="1" t="s">
        <v>101</v>
      </c>
      <c r="B1" s="1" t="s">
        <v>102</v>
      </c>
      <c r="C1" s="1" t="s">
        <v>103</v>
      </c>
      <c r="D1" s="1" t="s">
        <v>104</v>
      </c>
      <c r="E1" s="1" t="s">
        <v>105</v>
      </c>
      <c r="F1" s="1" t="s">
        <v>106</v>
      </c>
      <c r="G1" s="1" t="s">
        <v>107</v>
      </c>
      <c r="H1" s="1" t="s">
        <v>108</v>
      </c>
      <c r="I1" s="1" t="s">
        <v>109</v>
      </c>
      <c r="J1" s="1" t="s">
        <v>110</v>
      </c>
      <c r="K1" s="1" t="s">
        <v>111</v>
      </c>
      <c r="L1" s="1" t="s">
        <v>112</v>
      </c>
      <c r="M1" s="1" t="s">
        <v>113</v>
      </c>
      <c r="N1" s="1" t="s">
        <v>114</v>
      </c>
      <c r="O1" s="1" t="s">
        <v>115</v>
      </c>
      <c r="P1" s="1" t="s">
        <v>116</v>
      </c>
      <c r="Q1" s="1" t="s">
        <v>117</v>
      </c>
      <c r="R1" s="1" t="s">
        <v>118</v>
      </c>
      <c r="S1" s="1" t="s">
        <v>119</v>
      </c>
      <c r="T1" s="1" t="s">
        <v>120</v>
      </c>
      <c r="U1" s="1" t="s">
        <v>121</v>
      </c>
      <c r="V1" s="1" t="s">
        <v>122</v>
      </c>
      <c r="W1" s="1" t="s">
        <v>123</v>
      </c>
      <c r="X1" s="1" t="s">
        <v>124</v>
      </c>
      <c r="Y1" s="1" t="s">
        <v>125</v>
      </c>
      <c r="Z1" s="1" t="s">
        <v>126</v>
      </c>
      <c r="AA1" s="1" t="s">
        <v>127</v>
      </c>
      <c r="AB1" s="1" t="s">
        <v>128</v>
      </c>
      <c r="AC1" s="1" t="s">
        <v>129</v>
      </c>
      <c r="AD1" s="1" t="s">
        <v>130</v>
      </c>
      <c r="AE1" s="1" t="s">
        <v>131</v>
      </c>
      <c r="AF1" s="1" t="s">
        <v>132</v>
      </c>
      <c r="AG1" s="1" t="s">
        <v>133</v>
      </c>
      <c r="AH1" s="1" t="s">
        <v>134</v>
      </c>
      <c r="AI1" s="1" t="s">
        <v>135</v>
      </c>
      <c r="AJ1" s="1" t="s">
        <v>136</v>
      </c>
      <c r="AK1" s="1" t="s">
        <v>137</v>
      </c>
      <c r="AL1" s="1" t="s">
        <v>138</v>
      </c>
      <c r="AM1" s="1" t="s">
        <v>139</v>
      </c>
      <c r="AN1" s="1" t="s">
        <v>140</v>
      </c>
      <c r="AO1" s="1" t="s">
        <v>141</v>
      </c>
      <c r="AP1" s="1" t="s">
        <v>142</v>
      </c>
      <c r="AQ1" s="1" t="s">
        <v>143</v>
      </c>
      <c r="AR1" s="1" t="s">
        <v>144</v>
      </c>
      <c r="AS1" s="1" t="s">
        <v>145</v>
      </c>
      <c r="AT1" s="1" t="s">
        <v>146</v>
      </c>
      <c r="AU1" s="1" t="s">
        <v>147</v>
      </c>
      <c r="AV1" s="1" t="s">
        <v>148</v>
      </c>
      <c r="AW1" s="1" t="s">
        <v>149</v>
      </c>
      <c r="AX1" s="1" t="s">
        <v>150</v>
      </c>
      <c r="AY1" s="1" t="s">
        <v>151</v>
      </c>
      <c r="AZ1" s="1" t="s">
        <v>152</v>
      </c>
      <c r="BA1" s="1" t="s">
        <v>153</v>
      </c>
      <c r="BB1" s="1" t="s">
        <v>154</v>
      </c>
      <c r="BC1" s="1" t="s">
        <v>155</v>
      </c>
      <c r="BD1" s="1" t="s">
        <v>156</v>
      </c>
      <c r="BE1" s="1" t="s">
        <v>157</v>
      </c>
      <c r="BF1" s="1" t="s">
        <v>158</v>
      </c>
      <c r="BG1" s="1" t="s">
        <v>159</v>
      </c>
      <c r="BH1" s="1" t="s">
        <v>160</v>
      </c>
      <c r="BI1" s="1" t="s">
        <v>161</v>
      </c>
      <c r="BJ1" s="1" t="s">
        <v>162</v>
      </c>
      <c r="BK1" s="1" t="s">
        <v>163</v>
      </c>
      <c r="BL1" s="1" t="s">
        <v>164</v>
      </c>
      <c r="BM1" s="1" t="s">
        <v>165</v>
      </c>
      <c r="BN1" s="1" t="s">
        <v>166</v>
      </c>
      <c r="BO1" s="1" t="s">
        <v>167</v>
      </c>
      <c r="BP1" s="1" t="s">
        <v>168</v>
      </c>
      <c r="BQ1" s="1" t="s">
        <v>169</v>
      </c>
      <c r="BR1" s="1" t="s">
        <v>170</v>
      </c>
      <c r="BS1" s="1" t="s">
        <v>171</v>
      </c>
      <c r="BT1" s="1" t="s">
        <v>172</v>
      </c>
      <c r="BU1" s="1" t="s">
        <v>173</v>
      </c>
      <c r="BV1" s="1" t="s">
        <v>174</v>
      </c>
      <c r="BW1" s="1" t="s">
        <v>175</v>
      </c>
      <c r="BX1" s="1" t="s">
        <v>176</v>
      </c>
      <c r="BY1" s="1" t="s">
        <v>177</v>
      </c>
    </row>
    <row r="2" spans="1:77" ht="15" customHeight="1" x14ac:dyDescent="0.2"/>
    <row r="3" spans="1:77" ht="15" customHeight="1" x14ac:dyDescent="0.2"/>
    <row r="4" spans="1:77" ht="15" customHeight="1" x14ac:dyDescent="0.2"/>
    <row r="5" spans="1:77" ht="15" customHeight="1" x14ac:dyDescent="0.2"/>
    <row r="6" spans="1:77" ht="15" customHeight="1" x14ac:dyDescent="0.2"/>
    <row r="7" spans="1:77" ht="15" customHeight="1" x14ac:dyDescent="0.2"/>
    <row r="8" spans="1:77" ht="15" customHeight="1" x14ac:dyDescent="0.2"/>
    <row r="9" spans="1:77" ht="15" customHeight="1" x14ac:dyDescent="0.2"/>
    <row r="10" spans="1:77" ht="15" customHeight="1" x14ac:dyDescent="0.2"/>
    <row r="11" spans="1:77" ht="15" customHeight="1" x14ac:dyDescent="0.2"/>
    <row r="12" spans="1:77" ht="15" customHeight="1" x14ac:dyDescent="0.2"/>
    <row r="13" spans="1:77" ht="15" customHeight="1" x14ac:dyDescent="0.2"/>
    <row r="14" spans="1:77" ht="15" customHeight="1" x14ac:dyDescent="0.2"/>
    <row r="15" spans="1:77" ht="15" customHeight="1" x14ac:dyDescent="0.2"/>
    <row r="16" spans="1:77" ht="15" customHeight="1" x14ac:dyDescent="0.2"/>
    <row r="17" ht="15" customHeight="1" x14ac:dyDescent="0.2"/>
    <row r="18" ht="15" customHeight="1" x14ac:dyDescent="0.2"/>
    <row r="19" ht="15" customHeight="1" x14ac:dyDescent="0.2"/>
    <row r="20" ht="15" customHeight="1" x14ac:dyDescent="0.2"/>
    <row r="21" ht="15" customHeight="1" x14ac:dyDescent="0.2"/>
    <row r="22" ht="15" customHeight="1" x14ac:dyDescent="0.2"/>
    <row r="23" ht="15" customHeight="1" x14ac:dyDescent="0.2"/>
    <row r="24" ht="15" customHeight="1" x14ac:dyDescent="0.2"/>
    <row r="25" ht="15" customHeight="1" x14ac:dyDescent="0.2"/>
    <row r="26" ht="15" customHeight="1" x14ac:dyDescent="0.2"/>
    <row r="27" ht="15" customHeight="1" x14ac:dyDescent="0.2"/>
    <row r="28" ht="15" customHeight="1" x14ac:dyDescent="0.2"/>
    <row r="29" ht="15" customHeight="1" x14ac:dyDescent="0.2"/>
    <row r="30" ht="15" customHeight="1" x14ac:dyDescent="0.2"/>
    <row r="31" ht="15" customHeight="1" x14ac:dyDescent="0.2"/>
    <row r="32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  <row r="56" ht="15" customHeight="1" x14ac:dyDescent="0.2"/>
    <row r="57" ht="15" customHeight="1" x14ac:dyDescent="0.2"/>
    <row r="58" ht="15" customHeight="1" x14ac:dyDescent="0.2"/>
    <row r="59" ht="15" customHeight="1" x14ac:dyDescent="0.2"/>
    <row r="60" ht="15" customHeight="1" x14ac:dyDescent="0.2"/>
    <row r="61" ht="15" customHeight="1" x14ac:dyDescent="0.2"/>
    <row r="62" ht="15" customHeight="1" x14ac:dyDescent="0.2"/>
    <row r="63" ht="15" customHeight="1" x14ac:dyDescent="0.2"/>
    <row r="64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72" ht="15" customHeight="1" x14ac:dyDescent="0.2"/>
    <row r="73" ht="15" customHeight="1" x14ac:dyDescent="0.2"/>
    <row r="74" ht="15" customHeight="1" x14ac:dyDescent="0.2"/>
    <row r="75" ht="15" customHeight="1" x14ac:dyDescent="0.2"/>
    <row r="76" ht="15" customHeight="1" x14ac:dyDescent="0.2"/>
    <row r="77" ht="15" customHeight="1" x14ac:dyDescent="0.2"/>
    <row r="78" ht="15" customHeight="1" x14ac:dyDescent="0.2"/>
    <row r="79" ht="15" customHeight="1" x14ac:dyDescent="0.2"/>
    <row r="80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1" ht="15" customHeight="1" x14ac:dyDescent="0.2"/>
    <row r="172" ht="15" customHeight="1" x14ac:dyDescent="0.2"/>
    <row r="173" ht="15" customHeight="1" x14ac:dyDescent="0.2"/>
    <row r="174" ht="15" customHeight="1" x14ac:dyDescent="0.2"/>
    <row r="175" ht="15" customHeight="1" x14ac:dyDescent="0.2"/>
    <row r="176" ht="15" customHeight="1" x14ac:dyDescent="0.2"/>
    <row r="177" ht="15" customHeight="1" x14ac:dyDescent="0.2"/>
    <row r="178" ht="15" customHeight="1" x14ac:dyDescent="0.2"/>
    <row r="179" ht="15" customHeight="1" x14ac:dyDescent="0.2"/>
    <row r="180" ht="15" customHeight="1" x14ac:dyDescent="0.2"/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  <row r="186" ht="15" customHeight="1" x14ac:dyDescent="0.2"/>
    <row r="187" ht="15" customHeight="1" x14ac:dyDescent="0.2"/>
    <row r="188" ht="15" customHeight="1" x14ac:dyDescent="0.2"/>
    <row r="189" ht="15" customHeight="1" x14ac:dyDescent="0.2"/>
    <row r="190" ht="15" customHeight="1" x14ac:dyDescent="0.2"/>
    <row r="191" ht="15" customHeight="1" x14ac:dyDescent="0.2"/>
    <row r="192" ht="15" customHeight="1" x14ac:dyDescent="0.2"/>
    <row r="193" ht="15" customHeight="1" x14ac:dyDescent="0.2"/>
    <row r="194" ht="15" customHeight="1" x14ac:dyDescent="0.2"/>
    <row r="195" ht="15" customHeight="1" x14ac:dyDescent="0.2"/>
    <row r="196" ht="15" customHeight="1" x14ac:dyDescent="0.2"/>
    <row r="197" ht="15" customHeight="1" x14ac:dyDescent="0.2"/>
    <row r="198" ht="15" customHeight="1" x14ac:dyDescent="0.2"/>
    <row r="199" ht="15" customHeight="1" x14ac:dyDescent="0.2"/>
    <row r="200" ht="15" customHeight="1" x14ac:dyDescent="0.2"/>
    <row r="201" ht="15" customHeight="1" x14ac:dyDescent="0.2"/>
    <row r="202" ht="15" customHeight="1" x14ac:dyDescent="0.2"/>
    <row r="203" ht="15" customHeight="1" x14ac:dyDescent="0.2"/>
    <row r="204" ht="15" customHeight="1" x14ac:dyDescent="0.2"/>
    <row r="205" ht="15" customHeight="1" x14ac:dyDescent="0.2"/>
    <row r="206" ht="15" customHeight="1" x14ac:dyDescent="0.2"/>
    <row r="207" ht="15" customHeight="1" x14ac:dyDescent="0.2"/>
    <row r="208" ht="15" customHeight="1" x14ac:dyDescent="0.2"/>
    <row r="209" ht="15" customHeight="1" x14ac:dyDescent="0.2"/>
    <row r="210" ht="15" customHeight="1" x14ac:dyDescent="0.2"/>
    <row r="211" ht="15" customHeight="1" x14ac:dyDescent="0.2"/>
    <row r="212" ht="15" customHeight="1" x14ac:dyDescent="0.2"/>
    <row r="213" ht="15" customHeight="1" x14ac:dyDescent="0.2"/>
    <row r="214" ht="15" customHeight="1" x14ac:dyDescent="0.2"/>
    <row r="215" ht="15" customHeight="1" x14ac:dyDescent="0.2"/>
    <row r="216" ht="15" customHeight="1" x14ac:dyDescent="0.2"/>
    <row r="217" ht="15" customHeight="1" x14ac:dyDescent="0.2"/>
    <row r="218" ht="15" customHeight="1" x14ac:dyDescent="0.2"/>
    <row r="219" ht="15" customHeight="1" x14ac:dyDescent="0.2"/>
    <row r="220" ht="15" customHeight="1" x14ac:dyDescent="0.2"/>
    <row r="221" ht="15" customHeight="1" x14ac:dyDescent="0.2"/>
    <row r="222" ht="15" customHeight="1" x14ac:dyDescent="0.2"/>
    <row r="223" ht="15" customHeight="1" x14ac:dyDescent="0.2"/>
    <row r="224" ht="15" customHeight="1" x14ac:dyDescent="0.2"/>
    <row r="225" ht="15" customHeight="1" x14ac:dyDescent="0.2"/>
    <row r="226" ht="15" customHeight="1" x14ac:dyDescent="0.2"/>
    <row r="227" ht="15" customHeight="1" x14ac:dyDescent="0.2"/>
    <row r="228" ht="15" customHeight="1" x14ac:dyDescent="0.2"/>
    <row r="229" ht="15" customHeight="1" x14ac:dyDescent="0.2"/>
    <row r="230" ht="15" customHeight="1" x14ac:dyDescent="0.2"/>
    <row r="231" ht="1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5" customHeight="1" x14ac:dyDescent="0.2"/>
    <row r="263" ht="15" customHeight="1" x14ac:dyDescent="0.2"/>
    <row r="264" ht="15" customHeight="1" x14ac:dyDescent="0.2"/>
    <row r="265" ht="15" customHeight="1" x14ac:dyDescent="0.2"/>
    <row r="266" ht="15" customHeight="1" x14ac:dyDescent="0.2"/>
    <row r="267" ht="15" customHeight="1" x14ac:dyDescent="0.2"/>
    <row r="268" ht="15" customHeight="1" x14ac:dyDescent="0.2"/>
    <row r="269" ht="15" customHeight="1" x14ac:dyDescent="0.2"/>
    <row r="270" ht="15" customHeight="1" x14ac:dyDescent="0.2"/>
    <row r="271" ht="15" customHeight="1" x14ac:dyDescent="0.2"/>
    <row r="272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  <row r="301" ht="15" customHeight="1" x14ac:dyDescent="0.2"/>
    <row r="302" ht="15" customHeight="1" x14ac:dyDescent="0.2"/>
    <row r="303" ht="15" customHeight="1" x14ac:dyDescent="0.2"/>
    <row r="304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" customHeight="1" x14ac:dyDescent="0.2"/>
    <row r="322" ht="15" customHeight="1" x14ac:dyDescent="0.2"/>
    <row r="323" ht="15" customHeight="1" x14ac:dyDescent="0.2"/>
    <row r="324" ht="15" customHeight="1" x14ac:dyDescent="0.2"/>
    <row r="325" ht="15" customHeight="1" x14ac:dyDescent="0.2"/>
    <row r="326" ht="15" customHeight="1" x14ac:dyDescent="0.2"/>
    <row r="327" ht="1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" customHeight="1" x14ac:dyDescent="0.2"/>
    <row r="340" ht="1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" customHeight="1" x14ac:dyDescent="0.2"/>
    <row r="346" ht="15" customHeight="1" x14ac:dyDescent="0.2"/>
    <row r="347" ht="15" customHeight="1" x14ac:dyDescent="0.2"/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AN2"/>
  <sheetViews>
    <sheetView zoomScale="150" zoomScaleNormal="150" workbookViewId="0">
      <selection activeCell="A2" sqref="A2"/>
    </sheetView>
  </sheetViews>
  <sheetFormatPr baseColWidth="10" defaultRowHeight="15" x14ac:dyDescent="0.2"/>
  <cols>
    <col min="1" max="1" width="14.33203125" bestFit="1" customWidth="1"/>
    <col min="2" max="2" width="26.83203125" customWidth="1"/>
    <col min="3" max="3" width="15.33203125" style="7" customWidth="1"/>
    <col min="4" max="4" width="18.33203125" style="7" customWidth="1"/>
    <col min="5" max="5" width="17.33203125" style="7" customWidth="1"/>
    <col min="6" max="6" width="15.33203125" bestFit="1" customWidth="1"/>
    <col min="7" max="9" width="17.83203125" bestFit="1" customWidth="1"/>
    <col min="10" max="10" width="18.1640625" bestFit="1" customWidth="1"/>
    <col min="11" max="13" width="23.6640625" bestFit="1" customWidth="1"/>
    <col min="14" max="14" width="15" bestFit="1" customWidth="1"/>
    <col min="15" max="15" width="14.5" bestFit="1" customWidth="1"/>
    <col min="16" max="16" width="9.1640625" bestFit="1" customWidth="1"/>
    <col min="17" max="17" width="13.5" bestFit="1" customWidth="1"/>
    <col min="18" max="18" width="11.6640625" bestFit="1" customWidth="1"/>
    <col min="19" max="19" width="16.33203125" bestFit="1" customWidth="1"/>
    <col min="28" max="29" width="14" customWidth="1"/>
    <col min="30" max="30" width="17" style="15" customWidth="1"/>
    <col min="31" max="33" width="15.83203125" style="15" customWidth="1"/>
    <col min="34" max="34" width="17.6640625" customWidth="1"/>
    <col min="35" max="35" width="17.5" customWidth="1"/>
  </cols>
  <sheetData>
    <row r="1" spans="1:40" s="8" customFormat="1" ht="30" customHeight="1" thickBot="1" x14ac:dyDescent="0.25">
      <c r="A1" s="9" t="str">
        <f>Elettricità!I1</f>
        <v>pod_code</v>
      </c>
      <c r="B1" s="9" t="str">
        <f>Elettricità!A1</f>
        <v>source_file</v>
      </c>
      <c r="C1" s="10" t="str">
        <f>Elettricità!E1</f>
        <v>invoice_date</v>
      </c>
      <c r="D1" s="10" t="str">
        <f>Elettricità!K1</f>
        <v>billing_period_start</v>
      </c>
      <c r="E1" s="10" t="str">
        <f>Elettricità!L1</f>
        <v>billing_period_end</v>
      </c>
      <c r="F1" s="9" t="str">
        <f>Elettricità!M1</f>
        <v>consumption_kwh</v>
      </c>
      <c r="G1" s="9" t="str">
        <f>Elettricità!N1</f>
        <v>consumption_f1_kwh</v>
      </c>
      <c r="H1" s="9" t="str">
        <f>Elettricità!O1</f>
        <v>consumption_f2_kwh</v>
      </c>
      <c r="I1" s="9" t="str">
        <f>Elettricità!P1</f>
        <v>consumption_f3_kwh</v>
      </c>
      <c r="J1" s="9" t="str">
        <f>Elettricità!Q1</f>
        <v>reactive_energy_kvarh</v>
      </c>
      <c r="K1" s="9" t="str">
        <f>Elettricità!R1</f>
        <v>reactive_energy_f1_kvarh</v>
      </c>
      <c r="L1" s="9" t="str">
        <f>Elettricità!S1</f>
        <v>reactive_energy_f2_kvarh</v>
      </c>
      <c r="M1" s="9" t="str">
        <f>Elettricità!T1</f>
        <v>reactive_energy_f3_kvarh</v>
      </c>
      <c r="N1" s="9" t="str">
        <f>Elettricità!W1</f>
        <v>total_amount_eur</v>
      </c>
      <c r="O1" s="9" t="str">
        <f>Elettricità!X1</f>
        <v>invoice_total_eur</v>
      </c>
      <c r="P1" s="9" t="str">
        <f>Elettricità!Y1</f>
        <v>bonus_eur</v>
      </c>
      <c r="Q1" s="9" t="str">
        <f>Elettricità!Z1</f>
        <v>energy_cost_eur</v>
      </c>
      <c r="R1" s="9" t="str">
        <f>Elettricità!AA1</f>
        <v>transport_eur</v>
      </c>
      <c r="S1" s="9" t="str">
        <f>Elettricità!AB1</f>
        <v>system_charges_eur</v>
      </c>
      <c r="T1" s="9" t="str">
        <f>Elettricità!AC1</f>
        <v>taxes_eur</v>
      </c>
      <c r="U1" s="9" t="str">
        <f>Elettricità!AD1</f>
        <v>vat_eur</v>
      </c>
      <c r="V1" s="2" t="s">
        <v>178</v>
      </c>
      <c r="W1" s="2" t="s">
        <v>3</v>
      </c>
      <c r="X1" s="2" t="s">
        <v>179</v>
      </c>
      <c r="Y1" s="32" t="s">
        <v>180</v>
      </c>
      <c r="Z1" s="33"/>
      <c r="AA1" s="5" t="s">
        <v>181</v>
      </c>
      <c r="AB1" s="5" t="s">
        <v>182</v>
      </c>
      <c r="AC1" s="5" t="s">
        <v>183</v>
      </c>
      <c r="AD1" s="5" t="s">
        <v>184</v>
      </c>
      <c r="AE1" s="13" t="s">
        <v>185</v>
      </c>
      <c r="AF1" s="5" t="s">
        <v>186</v>
      </c>
      <c r="AG1" s="3" t="s">
        <v>187</v>
      </c>
      <c r="AH1" s="3" t="s">
        <v>188</v>
      </c>
      <c r="AI1" s="3" t="s">
        <v>189</v>
      </c>
      <c r="AJ1" s="32" t="s">
        <v>190</v>
      </c>
      <c r="AK1" s="33"/>
      <c r="AL1" s="4" t="s">
        <v>191</v>
      </c>
      <c r="AM1" s="5" t="s">
        <v>192</v>
      </c>
      <c r="AN1" s="6" t="s">
        <v>193</v>
      </c>
    </row>
    <row r="2" spans="1:40" ht="48" x14ac:dyDescent="0.2">
      <c r="A2" s="11" t="e">
        <f>Elettricità!#REF!</f>
        <v>#REF!</v>
      </c>
      <c r="B2" s="11" t="e">
        <f>Elettricità!#REF!</f>
        <v>#REF!</v>
      </c>
      <c r="C2" s="12" t="e">
        <f>Elettricità!#REF!</f>
        <v>#REF!</v>
      </c>
      <c r="D2" s="12" t="e">
        <f>Elettricità!#REF!</f>
        <v>#REF!</v>
      </c>
      <c r="E2" s="12" t="e">
        <f>Elettricità!#REF!</f>
        <v>#REF!</v>
      </c>
      <c r="F2" s="11" t="e">
        <f>Elettricità!#REF!</f>
        <v>#REF!</v>
      </c>
      <c r="G2" s="11" t="e">
        <f>Elettricità!#REF!</f>
        <v>#REF!</v>
      </c>
      <c r="H2" s="11" t="e">
        <f>Elettricità!#REF!</f>
        <v>#REF!</v>
      </c>
      <c r="I2" s="11" t="e">
        <f>Elettricità!#REF!</f>
        <v>#REF!</v>
      </c>
      <c r="J2" s="11" t="e">
        <f>Elettricità!#REF!</f>
        <v>#REF!</v>
      </c>
      <c r="K2" s="11" t="e">
        <f>Elettricità!#REF!</f>
        <v>#REF!</v>
      </c>
      <c r="L2" s="11" t="e">
        <f>Elettricità!#REF!</f>
        <v>#REF!</v>
      </c>
      <c r="M2" s="11" t="e">
        <f>Elettricità!#REF!</f>
        <v>#REF!</v>
      </c>
      <c r="N2" s="11" t="e">
        <f>Elettricità!#REF!</f>
        <v>#REF!</v>
      </c>
      <c r="O2" s="11" t="e">
        <f>Elettricità!#REF!</f>
        <v>#REF!</v>
      </c>
      <c r="P2" s="11" t="e">
        <f>Elettricità!#REF!</f>
        <v>#REF!</v>
      </c>
      <c r="Q2" s="11" t="e">
        <f>Elettricità!#REF!</f>
        <v>#REF!</v>
      </c>
      <c r="R2" s="11" t="e">
        <f>Elettricità!#REF!</f>
        <v>#REF!</v>
      </c>
      <c r="S2" s="11" t="e">
        <f>Elettricità!#REF!</f>
        <v>#REF!</v>
      </c>
      <c r="T2" s="11" t="e">
        <f>Elettricità!#REF!</f>
        <v>#REF!</v>
      </c>
      <c r="U2" s="11" t="e">
        <f>Elettricità!#REF!</f>
        <v>#REF!</v>
      </c>
      <c r="V2" s="11" t="e">
        <f t="shared" ref="V2" si="0">YEAR(Y2)</f>
        <v>#REF!</v>
      </c>
      <c r="W2" s="11" t="e">
        <f>_xlfn.XLOOKUP(A2,Fabbricati!E:E,Fabbricati!D:D)</f>
        <v>#REF!</v>
      </c>
      <c r="X2" s="12" t="e">
        <f t="shared" ref="X2" si="1">C2</f>
        <v>#REF!</v>
      </c>
      <c r="Y2" s="12" t="e">
        <f t="shared" ref="Y2" si="2">D2</f>
        <v>#REF!</v>
      </c>
      <c r="Z2" s="12" t="e">
        <f t="shared" ref="Z2" si="3">E2</f>
        <v>#REF!</v>
      </c>
      <c r="AA2" s="11" t="e">
        <f t="shared" ref="AA2" si="4">Z2-Y2+1</f>
        <v>#REF!</v>
      </c>
      <c r="AB2" s="11" t="e">
        <f t="shared" ref="AB2" si="5">F2</f>
        <v>#REF!</v>
      </c>
      <c r="AC2" s="17" t="s">
        <v>194</v>
      </c>
      <c r="AD2" s="14" t="e">
        <f>G2  &amp; _xlfn.UNICHAR(10) &amp; H2  &amp; _xlfn.UNICHAR(10)  &amp;  I2</f>
        <v>#REF!</v>
      </c>
      <c r="AE2" s="14" t="e">
        <f>K2  &amp; _xlfn.UNICHAR(10) &amp; L2  &amp; _xlfn.UNICHAR(10)  &amp;  M2</f>
        <v>#REF!</v>
      </c>
      <c r="AF2" s="14"/>
      <c r="AG2" s="14"/>
      <c r="AH2" s="11" t="e">
        <f t="shared" ref="AH2" si="6">R2+S2</f>
        <v>#REF!</v>
      </c>
      <c r="AI2" s="11" t="e">
        <f t="shared" ref="AI2" si="7">Q2</f>
        <v>#REF!</v>
      </c>
      <c r="AJ2" s="11" t="e">
        <f t="shared" ref="AJ2" si="8">U2</f>
        <v>#REF!</v>
      </c>
      <c r="AK2" s="11"/>
      <c r="AL2" s="11"/>
      <c r="AM2" s="11" t="e">
        <f t="shared" ref="AM2" si="9">T2</f>
        <v>#REF!</v>
      </c>
      <c r="AN2" s="11" t="e">
        <f t="shared" ref="AN2" si="10">O2</f>
        <v>#REF!</v>
      </c>
    </row>
  </sheetData>
  <autoFilter ref="A1:AN2" xr:uid="{00000000-0009-0000-0000-000002000000}">
    <filterColumn colId="24" showButton="0"/>
    <filterColumn colId="35" showButton="0"/>
  </autoFilter>
  <mergeCells count="2">
    <mergeCell ref="Y1:Z1"/>
    <mergeCell ref="AJ1:A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ED9CC-1141-7B47-AABC-3BE6BBF0F52C}">
  <sheetPr codeName="Foglio5"/>
  <dimension ref="A1:S13"/>
  <sheetViews>
    <sheetView zoomScale="120" zoomScaleNormal="120" workbookViewId="0">
      <selection activeCell="C5" sqref="C5"/>
    </sheetView>
  </sheetViews>
  <sheetFormatPr baseColWidth="10" defaultRowHeight="15" x14ac:dyDescent="0.2"/>
  <cols>
    <col min="3" max="3" width="16.5" style="7" customWidth="1"/>
    <col min="4" max="4" width="10.83203125" style="7" customWidth="1"/>
    <col min="5" max="5" width="9" style="7" customWidth="1"/>
    <col min="8" max="8" width="13" style="16" customWidth="1"/>
    <col min="9" max="9" width="14.5" style="16" customWidth="1"/>
    <col min="10" max="12" width="13" style="16" customWidth="1"/>
    <col min="13" max="13" width="12.6640625" style="16" customWidth="1"/>
    <col min="14" max="14" width="12.83203125" style="16" customWidth="1"/>
    <col min="15" max="15" width="9.5" style="16" customWidth="1"/>
    <col min="16" max="16" width="8" style="16" customWidth="1"/>
    <col min="17" max="19" width="10.83203125" style="16" customWidth="1"/>
  </cols>
  <sheetData>
    <row r="1" spans="1:19" ht="56" customHeight="1" x14ac:dyDescent="0.2">
      <c r="A1" s="18" t="s">
        <v>178</v>
      </c>
      <c r="B1" s="18" t="s">
        <v>195</v>
      </c>
      <c r="C1" s="18" t="s">
        <v>179</v>
      </c>
      <c r="D1" s="34" t="s">
        <v>180</v>
      </c>
      <c r="E1" s="35"/>
      <c r="F1" s="19" t="s">
        <v>196</v>
      </c>
      <c r="G1" s="19" t="s">
        <v>182</v>
      </c>
      <c r="H1" s="19" t="s">
        <v>183</v>
      </c>
      <c r="I1" s="19" t="s">
        <v>184</v>
      </c>
      <c r="J1" s="19" t="s">
        <v>185</v>
      </c>
      <c r="K1" s="19" t="s">
        <v>186</v>
      </c>
      <c r="L1" s="19" t="s">
        <v>187</v>
      </c>
      <c r="M1" s="19" t="s">
        <v>188</v>
      </c>
      <c r="N1" s="19" t="s">
        <v>189</v>
      </c>
      <c r="O1" s="36" t="s">
        <v>190</v>
      </c>
      <c r="P1" s="35"/>
      <c r="Q1" s="19" t="s">
        <v>191</v>
      </c>
      <c r="R1" s="19" t="s">
        <v>192</v>
      </c>
      <c r="S1" s="19" t="s">
        <v>193</v>
      </c>
    </row>
    <row r="2" spans="1:19" ht="48" customHeight="1" x14ac:dyDescent="0.2">
      <c r="A2" s="20"/>
      <c r="B2" s="21"/>
      <c r="C2" s="22"/>
      <c r="D2" s="22"/>
      <c r="E2" s="22"/>
      <c r="F2" s="23"/>
      <c r="G2" s="20"/>
      <c r="H2" s="20"/>
      <c r="I2" s="24"/>
      <c r="J2" s="24"/>
      <c r="K2" s="24"/>
      <c r="L2" s="24"/>
      <c r="M2" s="24"/>
      <c r="N2" s="24"/>
      <c r="O2" s="24"/>
      <c r="P2" s="24"/>
      <c r="Q2" s="24"/>
      <c r="R2" s="20"/>
      <c r="S2" s="20"/>
    </row>
    <row r="3" spans="1:19" ht="48" customHeight="1" x14ac:dyDescent="0.2">
      <c r="A3" s="20"/>
      <c r="B3" s="21"/>
      <c r="C3" s="22"/>
      <c r="D3" s="22"/>
      <c r="E3" s="22"/>
      <c r="F3" s="23"/>
      <c r="G3" s="20"/>
      <c r="H3" s="20"/>
      <c r="I3" s="24"/>
      <c r="J3" s="24"/>
      <c r="K3" s="24"/>
      <c r="L3" s="24"/>
      <c r="M3" s="24"/>
      <c r="N3" s="24"/>
      <c r="O3" s="24"/>
      <c r="P3" s="24"/>
      <c r="Q3" s="24"/>
      <c r="R3" s="20"/>
      <c r="S3" s="20"/>
    </row>
    <row r="4" spans="1:19" ht="48" customHeight="1" x14ac:dyDescent="0.2">
      <c r="A4" s="20"/>
      <c r="B4" s="21"/>
      <c r="C4" s="22"/>
      <c r="D4" s="22"/>
      <c r="E4" s="22"/>
      <c r="F4" s="23"/>
      <c r="G4" s="20"/>
      <c r="H4" s="20"/>
      <c r="I4" s="24"/>
      <c r="J4" s="24"/>
      <c r="K4" s="24"/>
      <c r="L4" s="24"/>
      <c r="M4" s="24"/>
      <c r="N4" s="24"/>
      <c r="O4" s="24"/>
      <c r="P4" s="24"/>
      <c r="Q4" s="24"/>
      <c r="R4" s="20"/>
      <c r="S4" s="20"/>
    </row>
    <row r="5" spans="1:19" ht="48" customHeight="1" x14ac:dyDescent="0.2">
      <c r="A5" s="20"/>
      <c r="B5" s="21"/>
      <c r="C5" s="22"/>
      <c r="D5" s="22"/>
      <c r="E5" s="22"/>
      <c r="F5" s="23"/>
      <c r="G5" s="20"/>
      <c r="H5" s="20"/>
      <c r="I5" s="24"/>
      <c r="J5" s="24"/>
      <c r="K5" s="24"/>
      <c r="L5" s="24"/>
      <c r="M5" s="24"/>
      <c r="N5" s="24"/>
      <c r="O5" s="24"/>
      <c r="P5" s="24"/>
      <c r="Q5" s="24"/>
      <c r="R5" s="20"/>
      <c r="S5" s="20"/>
    </row>
    <row r="6" spans="1:19" ht="48" customHeight="1" x14ac:dyDescent="0.2">
      <c r="A6" s="20"/>
      <c r="B6" s="21"/>
      <c r="C6" s="22"/>
      <c r="D6" s="22"/>
      <c r="E6" s="22"/>
      <c r="F6" s="23"/>
      <c r="G6" s="20"/>
      <c r="H6" s="20"/>
      <c r="I6" s="24"/>
      <c r="J6" s="24"/>
      <c r="K6" s="24"/>
      <c r="L6" s="24"/>
      <c r="M6" s="24"/>
      <c r="N6" s="24"/>
      <c r="O6" s="24"/>
      <c r="P6" s="24"/>
      <c r="Q6" s="24"/>
      <c r="R6" s="20"/>
      <c r="S6" s="20"/>
    </row>
    <row r="7" spans="1:19" ht="48" customHeight="1" x14ac:dyDescent="0.2">
      <c r="A7" s="20"/>
      <c r="B7" s="21"/>
      <c r="C7" s="22"/>
      <c r="D7" s="22"/>
      <c r="E7" s="22"/>
      <c r="F7" s="23"/>
      <c r="G7" s="20"/>
      <c r="H7" s="20"/>
      <c r="I7" s="24"/>
      <c r="J7" s="24"/>
      <c r="K7" s="24"/>
      <c r="L7" s="24"/>
      <c r="M7" s="24"/>
      <c r="N7" s="24"/>
      <c r="O7" s="24"/>
      <c r="P7" s="24"/>
      <c r="Q7" s="24"/>
      <c r="R7" s="20"/>
      <c r="S7" s="20"/>
    </row>
    <row r="8" spans="1:19" ht="48" customHeight="1" x14ac:dyDescent="0.2">
      <c r="A8" s="20"/>
      <c r="B8" s="21"/>
      <c r="C8" s="22"/>
      <c r="D8" s="22"/>
      <c r="E8" s="22"/>
      <c r="F8" s="23"/>
      <c r="G8" s="20"/>
      <c r="H8" s="20"/>
      <c r="I8" s="24"/>
      <c r="J8" s="24"/>
      <c r="K8" s="24"/>
      <c r="L8" s="24"/>
      <c r="M8" s="24"/>
      <c r="N8" s="24"/>
      <c r="O8" s="24"/>
      <c r="P8" s="24"/>
      <c r="Q8" s="24"/>
      <c r="R8" s="20"/>
      <c r="S8" s="20"/>
    </row>
    <row r="9" spans="1:19" ht="48" customHeight="1" x14ac:dyDescent="0.2">
      <c r="A9" s="20"/>
      <c r="B9" s="21"/>
      <c r="C9" s="22"/>
      <c r="D9" s="22"/>
      <c r="E9" s="22"/>
      <c r="F9" s="23"/>
      <c r="G9" s="20"/>
      <c r="H9" s="20"/>
      <c r="I9" s="24"/>
      <c r="J9" s="24"/>
      <c r="K9" s="24"/>
      <c r="L9" s="24"/>
      <c r="M9" s="24"/>
      <c r="N9" s="24"/>
      <c r="O9" s="24"/>
      <c r="P9" s="24"/>
      <c r="Q9" s="24"/>
      <c r="R9" s="20"/>
      <c r="S9" s="20"/>
    </row>
    <row r="10" spans="1:19" ht="48" customHeight="1" x14ac:dyDescent="0.2">
      <c r="A10" s="20"/>
      <c r="B10" s="21"/>
      <c r="C10" s="22"/>
      <c r="D10" s="22"/>
      <c r="E10" s="22"/>
      <c r="F10" s="23"/>
      <c r="G10" s="20"/>
      <c r="H10" s="20"/>
      <c r="I10" s="24"/>
      <c r="J10" s="24"/>
      <c r="K10" s="24"/>
      <c r="L10" s="24"/>
      <c r="M10" s="24"/>
      <c r="N10" s="24"/>
      <c r="O10" s="24"/>
      <c r="P10" s="24"/>
      <c r="Q10" s="24"/>
      <c r="R10" s="20"/>
      <c r="S10" s="20"/>
    </row>
    <row r="11" spans="1:19" ht="48" customHeight="1" x14ac:dyDescent="0.2">
      <c r="A11" s="20"/>
      <c r="B11" s="21"/>
      <c r="C11" s="22"/>
      <c r="D11" s="22"/>
      <c r="E11" s="22"/>
      <c r="F11" s="23"/>
      <c r="G11" s="20"/>
      <c r="H11" s="20"/>
      <c r="I11" s="24"/>
      <c r="J11" s="24"/>
      <c r="K11" s="24"/>
      <c r="L11" s="24"/>
      <c r="M11" s="24"/>
      <c r="N11" s="24"/>
      <c r="O11" s="24"/>
      <c r="P11" s="24"/>
      <c r="Q11" s="24"/>
      <c r="R11" s="20"/>
      <c r="S11" s="20"/>
    </row>
    <row r="12" spans="1:19" ht="48" customHeight="1" x14ac:dyDescent="0.2">
      <c r="A12" s="20"/>
      <c r="B12" s="21"/>
      <c r="C12" s="22"/>
      <c r="D12" s="22"/>
      <c r="E12" s="22"/>
      <c r="F12" s="23"/>
      <c r="G12" s="20"/>
      <c r="H12" s="20"/>
      <c r="I12" s="24"/>
      <c r="J12" s="24"/>
      <c r="K12" s="24"/>
      <c r="L12" s="24"/>
      <c r="M12" s="24"/>
      <c r="N12" s="24"/>
      <c r="O12" s="24"/>
      <c r="P12" s="24"/>
      <c r="Q12" s="24"/>
      <c r="R12" s="20"/>
      <c r="S12" s="20"/>
    </row>
    <row r="13" spans="1:19" ht="48" customHeight="1" x14ac:dyDescent="0.2">
      <c r="A13" s="20"/>
      <c r="B13" s="21"/>
      <c r="C13" s="22"/>
      <c r="D13" s="22"/>
      <c r="E13" s="22"/>
      <c r="F13" s="23"/>
      <c r="G13" s="20"/>
      <c r="H13" s="20"/>
      <c r="I13" s="24"/>
      <c r="J13" s="24"/>
      <c r="K13" s="24"/>
      <c r="L13" s="24"/>
      <c r="M13" s="24"/>
      <c r="N13" s="24"/>
      <c r="O13" s="24"/>
      <c r="P13" s="24"/>
      <c r="Q13" s="24"/>
      <c r="R13" s="20"/>
      <c r="S13" s="20"/>
    </row>
  </sheetData>
  <mergeCells count="2">
    <mergeCell ref="D1:E1"/>
    <mergeCell ref="O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Fabbricati</vt:lpstr>
      <vt:lpstr>Elettricità</vt:lpstr>
      <vt:lpstr>Calcolo</vt:lpstr>
      <vt:lpstr>_TemplateFabbricato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Gianni Sigalotti</cp:lastModifiedBy>
  <dcterms:created xsi:type="dcterms:W3CDTF">2026-05-08T08:04:33Z</dcterms:created>
  <dcterms:modified xsi:type="dcterms:W3CDTF">2026-05-08T17:48:25Z</dcterms:modified>
</cp:coreProperties>
</file>